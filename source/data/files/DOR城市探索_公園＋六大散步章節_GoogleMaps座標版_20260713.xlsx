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ris\Downloads\"/>
    </mc:Choice>
  </mc:AlternateContent>
  <xr:revisionPtr revIDLastSave="0" documentId="8_{3B921257-6DC5-4CD2-BC83-02B7B63CA0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知名公園清單" sheetId="1" r:id="rId1"/>
    <sheet name="縣市摘要" sheetId="2" r:id="rId2"/>
    <sheet name="篩選原則" sheetId="3" r:id="rId3"/>
    <sheet name="Google Maps複核清單" sheetId="4" r:id="rId4"/>
    <sheet name="新增六章節總表" sheetId="5" r:id="rId5"/>
    <sheet name="01老街歷史街區" sheetId="6" r:id="rId6"/>
    <sheet name="02鐵道舊鐵路" sheetId="7" r:id="rId7"/>
    <sheet name="03水岸港口漁港" sheetId="8" r:id="rId8"/>
    <sheet name="04文化聚落產業" sheetId="9" r:id="rId9"/>
    <sheet name="05城市綠道水圳" sheetId="10" r:id="rId10"/>
    <sheet name="06公共藝術建築" sheetId="11" r:id="rId11"/>
    <sheet name="六章節摘要" sheetId="12" r:id="rId12"/>
    <sheet name="六章節Google複核" sheetId="13" r:id="rId13"/>
    <sheet name="六章節使用說明" sheetId="14" r:id="rId14"/>
  </sheets>
  <calcPr calcId="0"/>
  <fileRecoveryPr repairLoad="1"/>
</workbook>
</file>

<file path=xl/calcChain.xml><?xml version="1.0" encoding="utf-8"?>
<calcChain xmlns="http://schemas.openxmlformats.org/spreadsheetml/2006/main">
  <c r="K28" i="2" l="1"/>
  <c r="L28" i="2" s="1"/>
  <c r="K27" i="2"/>
  <c r="L27" i="2" s="1"/>
  <c r="K26" i="2"/>
  <c r="L26" i="2" s="1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13" i="2"/>
  <c r="G13" i="2"/>
  <c r="F13" i="2"/>
  <c r="E13" i="2"/>
  <c r="D13" i="2"/>
  <c r="C13" i="2"/>
  <c r="B13" i="2"/>
  <c r="H12" i="2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H4" i="2"/>
  <c r="G4" i="2"/>
  <c r="F4" i="2"/>
  <c r="E4" i="2"/>
  <c r="D4" i="2"/>
  <c r="C4" i="2"/>
  <c r="B4" i="2"/>
  <c r="H3" i="2"/>
  <c r="H25" i="2" s="1"/>
  <c r="G3" i="2"/>
  <c r="G25" i="2" s="1"/>
  <c r="F3" i="2"/>
  <c r="F25" i="2" s="1"/>
  <c r="E3" i="2"/>
  <c r="E25" i="2" s="1"/>
  <c r="D3" i="2"/>
  <c r="D25" i="2" s="1"/>
  <c r="C3" i="2"/>
  <c r="C25" i="2" s="1"/>
  <c r="B3" i="2"/>
  <c r="B25" i="2" s="1"/>
</calcChain>
</file>

<file path=xl/sharedStrings.xml><?xml version="1.0" encoding="utf-8"?>
<sst xmlns="http://schemas.openxmlformats.org/spreadsheetml/2006/main" count="15387" uniqueCount="2307">
  <si>
    <t>全台灣知名公園實務母清單｜Google Maps 公園地標為主要核對基準｜共 231 處｜更新日期：2026-07-13</t>
  </si>
  <si>
    <t>序號</t>
  </si>
  <si>
    <t>縣市</t>
  </si>
  <si>
    <t>行政區</t>
  </si>
  <si>
    <t>公園名稱</t>
  </si>
  <si>
    <t>類型</t>
  </si>
  <si>
    <t>知名度層級</t>
  </si>
  <si>
    <t>DOR收錄優先級</t>
  </si>
  <si>
    <t>代表性理由</t>
  </si>
  <si>
    <t>適合玩法／任務</t>
  </si>
  <si>
    <t>與現有DOR重疊</t>
  </si>
  <si>
    <t>場域性質</t>
  </si>
  <si>
    <t>開放／營運備註</t>
  </si>
  <si>
    <t>官方／主要來源</t>
  </si>
  <si>
    <t>複核狀態</t>
  </si>
  <si>
    <t>Google Maps 地標緯度候選（WGS84）</t>
  </si>
  <si>
    <t>Google Maps 地標經度候選（WGS84）</t>
  </si>
  <si>
    <t>Google Maps 核對狀態</t>
  </si>
  <si>
    <t>座標基準／比對方式</t>
  </si>
  <si>
    <t>Google Maps 使用說明</t>
  </si>
  <si>
    <t>Google Maps 地標搜尋</t>
  </si>
  <si>
    <t>目前座標檢視</t>
  </si>
  <si>
    <t>Google Maps 查詢字串</t>
  </si>
  <si>
    <t>場域座標類型</t>
  </si>
  <si>
    <t>臺北市</t>
  </si>
  <si>
    <t>大安區</t>
  </si>
  <si>
    <t>大安森林公園</t>
  </si>
  <si>
    <t>大型城市公園</t>
  </si>
  <si>
    <t>S｜全國知名</t>
  </si>
  <si>
    <t>P0｜核心</t>
  </si>
  <si>
    <t>城市代表性高、腹地大，兼具休閒、活動與跑步使用。</t>
  </si>
  <si>
    <t>環園探索＋代表地標拍照＋末段加速</t>
  </si>
  <si>
    <t>是｜名稱相同或高度重疊</t>
  </si>
  <si>
    <t>正式公園</t>
  </si>
  <si>
    <t>公共開放為主；活動、施工、夜間照明與局部設施仍須上線前複核。</t>
  </si>
  <si>
    <t>https://play4u.gov.taipei/</t>
  </si>
  <si>
    <t>Google Maps 主基準工作版；依核對狀態逐筆確認</t>
  </si>
  <si>
    <t>A｜Google Maps 單一 POI 候選</t>
  </si>
  <si>
    <t>Google Maps 公園地標名稱搜尋為第一順位；現有 WGS84 座標作候選值，既有 DOR／政府資料僅供交叉比對。</t>
  </si>
  <si>
    <t>請開啟 Google Maps 地標搜尋，確認圖釘名稱、縣市與行政區一致；確認後可將圖釘座標作為公園地標座標。</t>
  </si>
  <si>
    <t>https://www.google.com/maps/search/?api=1&amp;query=%E5%A4%A7%E5%AE%89%E6%A3%AE%E6%9E%97%E5%85%AC%E5%9C%92%20%E5%A4%A7%E5%AE%89%E5%8D%80%20%E8%87%BA%E5%8C%97%E5%B8%82</t>
  </si>
  <si>
    <t>https://www.google.com/maps?q=25.033420,121.535200</t>
  </si>
  <si>
    <t>大安森林公園 大安區 臺北市</t>
  </si>
  <si>
    <t>單一公園 POI</t>
  </si>
  <si>
    <t>中正區</t>
  </si>
  <si>
    <t>二二八和平公園</t>
  </si>
  <si>
    <t>文化景觀公園</t>
  </si>
  <si>
    <t>文化地標、歷史場景與公共綠地結合，適合巡遊任務。</t>
  </si>
  <si>
    <t>文化地標巡遊＋拍照＋簡易問答</t>
  </si>
  <si>
    <t>待比對</t>
  </si>
  <si>
    <t>https://www.google.com/maps/search/?api=1&amp;query=%E4%BA%8C%E4%BA%8C%E5%85%AB%E5%92%8C%E5%B9%B3%E5%85%AC%E5%9C%92%20%E4%B8%AD%E6%AD%A3%E5%8D%80%20%E8%87%BA%E5%8C%97%E5%B8%82</t>
  </si>
  <si>
    <t>https://www.google.com/maps?q=25.040440,121.514170</t>
  </si>
  <si>
    <t>二二八和平公園 中正區 臺北市</t>
  </si>
  <si>
    <t>士林區</t>
  </si>
  <si>
    <t>士林官邸公園</t>
  </si>
  <si>
    <t>https://www.google.com/maps/search/?api=1&amp;query=%E5%A3%AB%E6%9E%97%E5%AE%98%E9%82%B8%E5%85%AC%E5%9C%92%20%E5%A3%AB%E6%9E%97%E5%8D%80%20%E8%87%BA%E5%8C%97%E5%B8%82</t>
  </si>
  <si>
    <t>https://www.google.com/maps?q=25.094900,121.530150</t>
  </si>
  <si>
    <t>士林官邸公園 士林區 臺北市</t>
  </si>
  <si>
    <t>北投區</t>
  </si>
  <si>
    <t>北投公園</t>
  </si>
  <si>
    <t>A｜縣市代表</t>
  </si>
  <si>
    <t>https://www.google.com/maps/search/?api=1&amp;query=%E5%8C%97%E6%8A%95%E5%85%AC%E5%9C%92%20%E5%8C%97%E6%8A%95%E5%8D%80%20%E8%87%BA%E5%8C%97%E5%B8%82</t>
  </si>
  <si>
    <t>https://www.google.com/maps?q=25.136560,121.504730</t>
  </si>
  <si>
    <t>北投公園 北投區 臺北市</t>
  </si>
  <si>
    <t>陽明公園</t>
  </si>
  <si>
    <t>山坡森林公園</t>
  </si>
  <si>
    <t>P1｜擴充</t>
  </si>
  <si>
    <t>林蔭、坡度或視野明顯，適合爬升與地形任務。</t>
  </si>
  <si>
    <t>坡跑／階梯＋爬升高度＋觀景點</t>
  </si>
  <si>
    <t>https://www.google.com/maps/search/?api=1&amp;query=%E9%99%BD%E6%98%8E%E5%85%AC%E5%9C%92%20%E5%8C%97%E6%8A%95%E5%8D%80%20%E8%87%BA%E5%8C%97%E5%B8%82</t>
  </si>
  <si>
    <t>https://www.google.com/maps?q=25.157870,121.542520</t>
  </si>
  <si>
    <t>陽明公園 北投區 臺北市</t>
  </si>
  <si>
    <t>內湖區</t>
  </si>
  <si>
    <t>大湖公園</t>
  </si>
  <si>
    <t>城市公園</t>
  </si>
  <si>
    <t>生活圈辨識度高，適合日常探索與環園任務。</t>
  </si>
  <si>
    <t>環園一圈＋指定設施／地標打卡</t>
  </si>
  <si>
    <t>https://www.google.com/maps/search/?api=1&amp;query=%E5%A4%A7%E6%B9%96%E5%85%AC%E5%9C%92%20%E5%85%A7%E6%B9%96%E5%8D%80%20%E8%87%BA%E5%8C%97%E5%B8%82</t>
  </si>
  <si>
    <t>https://www.google.com/maps?q=25.083700,121.602000</t>
  </si>
  <si>
    <t>大湖公園 內湖區 臺北市</t>
  </si>
  <si>
    <t>碧湖公園</t>
  </si>
  <si>
    <t>https://www.google.com/maps/search/?api=1&amp;query=%E7%A2%A7%E6%B9%96%E5%85%AC%E5%9C%92%20%E5%85%A7%E6%B9%96%E5%8D%80%20%E8%87%BA%E5%8C%97%E5%B8%82</t>
  </si>
  <si>
    <t>https://www.google.com/maps?q=25.082190,121.584290</t>
  </si>
  <si>
    <t>碧湖公園 內湖區 臺北市</t>
  </si>
  <si>
    <t>南港區</t>
  </si>
  <si>
    <t>南港公園</t>
  </si>
  <si>
    <t>https://www.google.com/maps/search/?api=1&amp;query=%E5%8D%97%E6%B8%AF%E5%85%AC%E5%9C%92%20%E5%8D%97%E6%B8%AF%E5%8D%80%20%E8%87%BA%E5%8C%97%E5%B8%82</t>
  </si>
  <si>
    <t>https://www.google.com/maps?q=25.039400,121.590500</t>
  </si>
  <si>
    <t>南港公園 南港區 臺北市</t>
  </si>
  <si>
    <t>萬華區</t>
  </si>
  <si>
    <t>青年公園</t>
  </si>
  <si>
    <t>運動公園</t>
  </si>
  <si>
    <t>區域運動核心，適合圈數、配速與體能任務。</t>
  </si>
  <si>
    <t>圈數任務＋穩定配速＋體能挑戰</t>
  </si>
  <si>
    <t>https://www.google.com/maps/search/?api=1&amp;query=%E9%9D%92%E5%B9%B4%E5%85%AC%E5%9C%92%20%E8%90%AC%E8%8F%AF%E5%8D%80%20%E8%87%BA%E5%8C%97%E5%B8%82</t>
  </si>
  <si>
    <t>https://www.google.com/maps?q=25.022700,121.505200</t>
  </si>
  <si>
    <t>青年公園 萬華區 臺北市</t>
  </si>
  <si>
    <t>中山區</t>
  </si>
  <si>
    <t>花博公園（圓山／美術／新生園區）</t>
  </si>
  <si>
    <t>C｜Google Maps 需人工選定主地標</t>
  </si>
  <si>
    <t>名稱包含多園區或複合場域，Google Maps 可能顯示多個圖釘；須先拆分或指定主園區後，再確定唯一座標。</t>
  </si>
  <si>
    <t>https://www.google.com/maps/search/?api=1&amp;query=%E8%8A%B1%E5%8D%9A%E5%85%AC%E5%9C%92%EF%BC%88%E5%9C%93%E5%B1%B1%EF%BC%8F%E7%BE%8E%E8%A1%93%EF%BC%8F%E6%96%B0%E7%94%9F%E5%9C%92%E5%8D%80%EF%BC%89%20%E4%B8%AD%E5%B1%B1%E5%8D%80%20%E8%87%BA%E5%8C%97%E5%B8%82</t>
  </si>
  <si>
    <t>https://www.google.com/maps?q=25.069100,121.532300</t>
  </si>
  <si>
    <t>花博公園（圓山／美術／新生園區） 中山區 臺北市</t>
  </si>
  <si>
    <t>複合／多園區地標</t>
  </si>
  <si>
    <t>榮星花園公園</t>
  </si>
  <si>
    <t>https://www.google.com/maps/search/?api=1&amp;query=%E6%A6%AE%E6%98%9F%E8%8A%B1%E5%9C%92%E5%85%AC%E5%9C%92%20%E4%B8%AD%E5%B1%B1%E5%8D%80%20%E8%87%BA%E5%8C%97%E5%B8%82</t>
  </si>
  <si>
    <t>https://www.google.com/maps?q=25.062650,121.540500</t>
  </si>
  <si>
    <t>榮星花園公園 中山區 臺北市</t>
  </si>
  <si>
    <t>天母運動公園</t>
  </si>
  <si>
    <t>https://www.google.com/maps/search/?api=1&amp;query=%E5%A4%A9%E6%AF%8D%E9%81%8B%E5%8B%95%E5%85%AC%E5%9C%92%20%E5%A3%AB%E6%9E%97%E5%8D%80%20%E8%87%BA%E5%8C%97%E5%B8%82</t>
  </si>
  <si>
    <t>https://www.google.com/maps?q=25.115800,121.532000</t>
  </si>
  <si>
    <t>天母運動公園 士林區 臺北市</t>
  </si>
  <si>
    <t>大佳河濱公園</t>
  </si>
  <si>
    <t>河濱水岸公園</t>
  </si>
  <si>
    <t>水岸動線清楚，適合折返跑、長距離與地標打卡。</t>
  </si>
  <si>
    <t>3–10K折返＋橋梁／水岸節點雙打卡</t>
  </si>
  <si>
    <t>Google Maps 可能只標示入口、廣場或局部河段；須人工選定最具辨識度的主地標。此座標不應直接等同 DOR 路線任務圓心。</t>
  </si>
  <si>
    <t>https://www.google.com/maps/search/?api=1&amp;query=%E5%A4%A7%E4%BD%B3%E6%B2%B3%E6%BF%B1%E5%85%AC%E5%9C%92%20%E4%B8%AD%E5%B1%B1%E5%8D%80%20%E8%87%BA%E5%8C%97%E5%B8%82</t>
  </si>
  <si>
    <t>https://www.google.com/maps?q=25.072700,121.535000</t>
  </si>
  <si>
    <t>大佳河濱公園 中山區 臺北市</t>
  </si>
  <si>
    <t>線性／跨區場域代表點</t>
  </si>
  <si>
    <t>美堤河濱公園</t>
  </si>
  <si>
    <t>https://www.google.com/maps/search/?api=1&amp;query=%E7%BE%8E%E5%A0%A4%E6%B2%B3%E6%BF%B1%E5%85%AC%E5%9C%92%20%E4%B8%AD%E5%B1%B1%E5%8D%80%20%E8%87%BA%E5%8C%97%E5%B8%82</t>
  </si>
  <si>
    <t>https://www.google.com/maps?q=25.078400,121.555500</t>
  </si>
  <si>
    <t>美堤河濱公園 中山區 臺北市</t>
  </si>
  <si>
    <t>松山區</t>
  </si>
  <si>
    <t>彩虹河濱公園</t>
  </si>
  <si>
    <t>https://www.google.com/maps/search/?api=1&amp;query=%E5%BD%A9%E8%99%B9%E6%B2%B3%E6%BF%B1%E5%85%AC%E5%9C%92%20%E6%9D%BE%E5%B1%B1%E5%8D%80%20%E8%87%BA%E5%8C%97%E5%B8%82</t>
  </si>
  <si>
    <t>https://www.google.com/maps?q=25.050500,121.577500</t>
  </si>
  <si>
    <t>彩虹河濱公園 松山區 臺北市</t>
  </si>
  <si>
    <t>華中河濱公園</t>
  </si>
  <si>
    <t>https://www.google.com/maps/search/?api=1&amp;query=%E8%8F%AF%E4%B8%AD%E6%B2%B3%E6%BF%B1%E5%85%AC%E5%9C%92%20%E8%90%AC%E8%8F%AF%E5%8D%80%20%E8%87%BA%E5%8C%97%E5%B8%82</t>
  </si>
  <si>
    <t>https://www.google.com/maps?q=25.019900,121.504600</t>
  </si>
  <si>
    <t>華中河濱公園 萬華區 臺北市</t>
  </si>
  <si>
    <t>百齡河濱公園</t>
  </si>
  <si>
    <t>https://www.google.com/maps/search/?api=1&amp;query=%E7%99%BE%E9%BD%A1%E6%B2%B3%E6%BF%B1%E5%85%AC%E5%9C%92%20%E5%A3%AB%E6%9E%97%E5%8D%80%20%E8%87%BA%E5%8C%97%E5%B8%82</t>
  </si>
  <si>
    <t>https://www.google.com/maps?q=25.088100,121.517600</t>
  </si>
  <si>
    <t>百齡河濱公園 士林區 臺北市</t>
  </si>
  <si>
    <t>關渡自然公園</t>
  </si>
  <si>
    <t>生態濕地公園</t>
  </si>
  <si>
    <t>生態與季節景觀鮮明，適合低強度探索與觀察任務。</t>
  </si>
  <si>
    <t>慢速探索＋生態觀察＋季節拍照</t>
  </si>
  <si>
    <t>公園型公共園區</t>
  </si>
  <si>
    <t>納入廣義公園清單；可能有開放時間、門票或場域管理規則，需另外複核。</t>
  </si>
  <si>
    <t>B｜Google Maps 名稱搜尋待核對</t>
  </si>
  <si>
    <t>屬大型景區或公共園區，Google Maps 圖釘可能落在遊客中心、入口或核心設施；需依產品用途確認代表點。</t>
  </si>
  <si>
    <t>https://www.google.com/maps/search/?api=1&amp;query=%E9%97%9C%E6%B8%A1%E8%87%AA%E7%84%B6%E5%85%AC%E5%9C%92%20%E5%8C%97%E6%8A%95%E5%8D%80%20%E8%87%BA%E5%8C%97%E5%B8%82</t>
  </si>
  <si>
    <t>https://www.google.com/maps?q=25.119900,121.469700</t>
  </si>
  <si>
    <t>關渡自然公園 北投區 臺北市</t>
  </si>
  <si>
    <t>景區／公共園區 POI</t>
  </si>
  <si>
    <t>新北市</t>
  </si>
  <si>
    <t>三重區</t>
  </si>
  <si>
    <t>新北大都會公園</t>
  </si>
  <si>
    <t>https://www.cpqweb.com/</t>
  </si>
  <si>
    <t>https://www.google.com/maps/search/?api=1&amp;query=%E6%96%B0%E5%8C%97%E5%A4%A7%E9%83%BD%E6%9C%83%E5%85%AC%E5%9C%92%20%E4%B8%89%E9%87%8D%E5%8D%80%20%E6%96%B0%E5%8C%97%E5%B8%82</t>
  </si>
  <si>
    <t>https://www.google.com/maps?q=25.055400,121.482400</t>
  </si>
  <si>
    <t>新北大都會公園 三重區 新北市</t>
  </si>
  <si>
    <t>幸福水漾公園</t>
  </si>
  <si>
    <t>https://www.google.com/maps/search/?api=1&amp;query=%E5%B9%B8%E7%A6%8F%E6%B0%B4%E6%BC%BE%E5%85%AC%E5%9C%92%20%E4%B8%89%E9%87%8D%E5%8D%80%20%E6%96%B0%E5%8C%97%E5%B8%82</t>
  </si>
  <si>
    <t>https://www.google.com/maps?q=25.058000,121.486000</t>
  </si>
  <si>
    <t>幸福水漾公園 三重區 新北市</t>
  </si>
  <si>
    <t>新店區</t>
  </si>
  <si>
    <t>陽光運動公園</t>
  </si>
  <si>
    <t>https://www.google.com/maps/search/?api=1&amp;query=%E9%99%BD%E5%85%89%E9%81%8B%E5%8B%95%E5%85%AC%E5%9C%92%20%E6%96%B0%E5%BA%97%E5%8D%80%20%E6%96%B0%E5%8C%97%E5%B8%82</t>
  </si>
  <si>
    <t>https://www.google.com/maps?q=24.965000,121.534000</t>
  </si>
  <si>
    <t>陽光運動公園 新店區 新北市</t>
  </si>
  <si>
    <t>中和區</t>
  </si>
  <si>
    <t>八二三紀念公園（四號公園）</t>
  </si>
  <si>
    <t>https://www.google.com/maps/search/?api=1&amp;query=%E5%85%AB%E4%BA%8C%E4%B8%89%E7%B4%80%E5%BF%B5%E5%85%AC%E5%9C%92%EF%BC%88%E5%9B%9B%E8%99%9F%E5%85%AC%E5%9C%92%EF%BC%89%20%E4%B8%AD%E5%92%8C%E5%8D%80%20%E6%96%B0%E5%8C%97%E5%B8%82</t>
  </si>
  <si>
    <t>https://www.google.com/maps?q=25.001600,121.514400</t>
  </si>
  <si>
    <t>八二三紀念公園（四號公園） 中和區 新北市</t>
  </si>
  <si>
    <t>板橋區</t>
  </si>
  <si>
    <t>新板萬坪都會公園</t>
  </si>
  <si>
    <t>https://www.google.com/maps/search/?api=1&amp;query=%E6%96%B0%E6%9D%BF%E8%90%AC%E5%9D%AA%E9%83%BD%E6%9C%83%E5%85%AC%E5%9C%92%20%E6%9D%BF%E6%A9%8B%E5%8D%80%20%E6%96%B0%E5%8C%97%E5%B8%82</t>
  </si>
  <si>
    <t>https://www.google.com/maps?q=25.012600,121.462800</t>
  </si>
  <si>
    <t>新板萬坪都會公園 板橋區 新北市</t>
  </si>
  <si>
    <t>板橋435藝文特區戶外園區</t>
  </si>
  <si>
    <t>https://www.google.com/maps/search/?api=1&amp;query=%E6%9D%BF%E6%A9%8B435%E8%97%9D%E6%96%87%E7%89%B9%E5%8D%80%E6%88%B6%E5%A4%96%E5%9C%92%E5%8D%80%20%E6%9D%BF%E6%A9%8B%E5%8D%80%20%E6%96%B0%E5%8C%97%E5%B8%82</t>
  </si>
  <si>
    <t>https://www.google.com/maps?q=25.023800,121.451500</t>
  </si>
  <si>
    <t>板橋435藝文特區戶外園區 板橋區 新北市</t>
  </si>
  <si>
    <t>永和區</t>
  </si>
  <si>
    <t>仁愛公園</t>
  </si>
  <si>
    <t>https://www.google.com/maps/search/?api=1&amp;query=%E4%BB%81%E6%84%9B%E5%85%AC%E5%9C%92%20%E6%B0%B8%E5%92%8C%E5%8D%80%20%E6%96%B0%E5%8C%97%E5%B8%82</t>
  </si>
  <si>
    <t>https://www.google.com/maps?q=25.009600,121.509000</t>
  </si>
  <si>
    <t>仁愛公園 永和區 新北市</t>
  </si>
  <si>
    <t>錦和運動公園</t>
  </si>
  <si>
    <t>https://www.google.com/maps/search/?api=1&amp;query=%E9%8C%A6%E5%92%8C%E9%81%8B%E5%8B%95%E5%85%AC%E5%9C%92%20%E4%B8%AD%E5%92%8C%E5%8D%80%20%E6%96%B0%E5%8C%97%E5%B8%82</t>
  </si>
  <si>
    <t>https://www.google.com/maps?q=24.992900,121.490000</t>
  </si>
  <si>
    <t>錦和運動公園 中和區 新北市</t>
  </si>
  <si>
    <t>新莊區</t>
  </si>
  <si>
    <t>新莊運動公園</t>
  </si>
  <si>
    <t>https://www.google.com/maps/search/?api=1&amp;query=%E6%96%B0%E8%8E%8A%E9%81%8B%E5%8B%95%E5%85%AC%E5%9C%92%20%E6%96%B0%E8%8E%8A%E5%8D%80%20%E6%96%B0%E5%8C%97%E5%B8%82</t>
  </si>
  <si>
    <t>https://www.google.com/maps?q=25.041000,121.449600</t>
  </si>
  <si>
    <t>新莊運動公園 新莊區 新北市</t>
  </si>
  <si>
    <t>林口區</t>
  </si>
  <si>
    <t>林口運動公園</t>
  </si>
  <si>
    <t>https://www.google.com/maps/search/?api=1&amp;query=%E6%9E%97%E5%8F%A3%E9%81%8B%E5%8B%95%E5%85%AC%E5%9C%92%20%E6%9E%97%E5%8F%A3%E5%8D%80%20%E6%96%B0%E5%8C%97%E5%B8%82</t>
  </si>
  <si>
    <t>https://www.google.com/maps?q=25.073000,121.381000</t>
  </si>
  <si>
    <t>林口運動公園 林口區 新北市</t>
  </si>
  <si>
    <t>綠寶石河濱公園</t>
  </si>
  <si>
    <t>https://www.google.com/maps/search/?api=1&amp;query=%E7%B6%A0%E5%AF%B6%E7%9F%B3%E6%B2%B3%E6%BF%B1%E5%85%AC%E5%9C%92%20%E6%B0%B8%E5%92%8C%E5%8D%80%20%E6%96%B0%E5%8C%97%E5%B8%82</t>
  </si>
  <si>
    <t>https://www.google.com/maps?q=25.011500,121.511600</t>
  </si>
  <si>
    <t>綠寶石河濱公園 永和區 新北市</t>
  </si>
  <si>
    <t>浮洲藝術河濱公園</t>
  </si>
  <si>
    <t>B｜區域熱門</t>
  </si>
  <si>
    <t>https://www.google.com/maps/search/?api=1&amp;query=%E6%B5%AE%E6%B4%B2%E8%97%9D%E8%A1%93%E6%B2%B3%E6%BF%B1%E5%85%AC%E5%9C%92%20%E6%9D%BF%E6%A9%8B%E5%8D%80%20%E6%96%B0%E5%8C%97%E5%B8%82</t>
  </si>
  <si>
    <t>https://www.google.com/maps?q=25.002500,121.444500</t>
  </si>
  <si>
    <t>浮洲藝術河濱公園 板橋區 新北市</t>
  </si>
  <si>
    <t>八里區</t>
  </si>
  <si>
    <t>八里左岸公園</t>
  </si>
  <si>
    <t>https://www.google.com/maps/search/?api=1&amp;query=%E5%85%AB%E9%87%8C%E5%B7%A6%E5%B2%B8%E5%85%AC%E5%9C%92%20%E5%85%AB%E9%87%8C%E5%8D%80%20%E6%96%B0%E5%8C%97%E5%B8%82</t>
  </si>
  <si>
    <t>https://www.google.com/maps?q=25.158000,121.434000</t>
  </si>
  <si>
    <t>八里左岸公園 八里區 新北市</t>
  </si>
  <si>
    <t>十三行文化公園</t>
  </si>
  <si>
    <t>https://www.google.com/maps/search/?api=1&amp;query=%E5%8D%81%E4%B8%89%E8%A1%8C%E6%96%87%E5%8C%96%E5%85%AC%E5%9C%92%20%E5%85%AB%E9%87%8C%E5%8D%80%20%E6%96%B0%E5%8C%97%E5%B8%82</t>
  </si>
  <si>
    <t>https://www.google.com/maps?q=25.156000,121.405400</t>
  </si>
  <si>
    <t>十三行文化公園 八里區 新北市</t>
  </si>
  <si>
    <t>蘆洲區</t>
  </si>
  <si>
    <t>微風運河公園</t>
  </si>
  <si>
    <t>https://www.google.com/maps/search/?api=1&amp;query=%E5%BE%AE%E9%A2%A8%E9%81%8B%E6%B2%B3%E5%85%AC%E5%9C%92%20%E8%98%86%E6%B4%B2%E5%8D%80%20%E6%96%B0%E5%8C%97%E5%B8%82</t>
  </si>
  <si>
    <t>https://www.google.com/maps?q=25.090000,121.456000</t>
  </si>
  <si>
    <t>微風運河公園 蘆洲區 新北市</t>
  </si>
  <si>
    <t>三峽區</t>
  </si>
  <si>
    <t>三峽河濱運動公園</t>
  </si>
  <si>
    <t>P2｜候補</t>
  </si>
  <si>
    <t>https://www.google.com/maps/search/?api=1&amp;query=%E4%B8%89%E5%B3%BD%E6%B2%B3%E6%BF%B1%E9%81%8B%E5%8B%95%E5%85%AC%E5%9C%92%20%E4%B8%89%E5%B3%BD%E5%8D%80%20%E6%96%B0%E5%8C%97%E5%B8%82</t>
  </si>
  <si>
    <t>https://www.google.com/maps?q=24.938000,121.368000</t>
  </si>
  <si>
    <t>三峽河濱運動公園 三峽區 新北市</t>
  </si>
  <si>
    <t>汐止區</t>
  </si>
  <si>
    <t>康誥坑公園（汐止星際遊戲場）</t>
  </si>
  <si>
    <t>親子特色公園</t>
  </si>
  <si>
    <t>特色遊具或共融設施具話題性，家庭客群辨識度高。</t>
  </si>
  <si>
    <t>短距離探索＋特色遊具／共融設施打卡</t>
  </si>
  <si>
    <t>https://www.google.com/maps/search/?api=1&amp;query=%E5%BA%B7%E8%AA%A5%E5%9D%91%E5%85%AC%E5%9C%92%EF%BC%88%E6%B1%90%E6%AD%A2%E6%98%9F%E9%9A%9B%E9%81%8A%E6%88%B2%E5%A0%B4%EF%BC%89%20%E6%B1%90%E6%AD%A2%E5%8D%80%20%E6%96%B0%E5%8C%97%E5%B8%82</t>
  </si>
  <si>
    <t>https://www.google.com/maps?q=25.067800,121.659400</t>
  </si>
  <si>
    <t>康誥坑公園（汐止星際遊戲場） 汐止區 新北市</t>
  </si>
  <si>
    <t>員山公園</t>
  </si>
  <si>
    <t>https://www.google.com/maps/search/?api=1&amp;query=%E5%93%A1%E5%B1%B1%E5%85%AC%E5%9C%92%20%E4%B8%AD%E5%92%8C%E5%8D%80%20%E6%96%B0%E5%8C%97%E5%B8%82</t>
  </si>
  <si>
    <t>https://www.google.com/maps?q=25.001300,121.480000</t>
  </si>
  <si>
    <t>員山公園 中和區 新北市</t>
  </si>
  <si>
    <t>基隆市</t>
  </si>
  <si>
    <t>潮境公園</t>
  </si>
  <si>
    <t>海岸景觀公園</t>
  </si>
  <si>
    <t>海岸視野與風勢特色強，適合觀光跑與季節任務。</t>
  </si>
  <si>
    <t>海岸折返＋風勢挑戰＋景觀拍照</t>
  </si>
  <si>
    <t>https://travel.klcg.gov.tw/</t>
  </si>
  <si>
    <t>https://www.google.com/maps/search/?api=1&amp;query=%E6%BD%AE%E5%A2%83%E5%85%AC%E5%9C%92%20%E4%B8%AD%E6%AD%A3%E5%8D%80%20%E5%9F%BA%E9%9A%86%E5%B8%82</t>
  </si>
  <si>
    <t>https://www.google.com/maps?q=25.143000,121.800000</t>
  </si>
  <si>
    <t>潮境公園 中正區 基隆市</t>
  </si>
  <si>
    <t>中正公園</t>
  </si>
  <si>
    <t>https://www.google.com/maps/search/?api=1&amp;query=%E4%B8%AD%E6%AD%A3%E5%85%AC%E5%9C%92%20%E4%B8%AD%E6%AD%A3%E5%8D%80%20%E5%9F%BA%E9%9A%86%E5%B8%82</t>
  </si>
  <si>
    <t>https://www.google.com/maps?q=25.134000,121.748000</t>
  </si>
  <si>
    <t>中正公園 中正區 基隆市</t>
  </si>
  <si>
    <t>和平島公園</t>
  </si>
  <si>
    <t>https://www.google.com/maps/search/?api=1&amp;query=%E5%92%8C%E5%B9%B3%E5%B3%B6%E5%85%AC%E5%9C%92%20%E4%B8%AD%E6%AD%A3%E5%8D%80%20%E5%9F%BA%E9%9A%86%E5%B8%82</t>
  </si>
  <si>
    <t>https://www.google.com/maps?q=25.162800,121.763900</t>
  </si>
  <si>
    <t>和平島公園 中正區 基隆市</t>
  </si>
  <si>
    <t>暖暖區</t>
  </si>
  <si>
    <t>暖暖運動公園</t>
  </si>
  <si>
    <t>https://www.google.com/maps/search/?api=1&amp;query=%E6%9A%96%E6%9A%96%E9%81%8B%E5%8B%95%E5%85%AC%E5%9C%92%20%E6%9A%96%E6%9A%96%E5%8D%80%20%E5%9F%BA%E9%9A%86%E5%B8%82</t>
  </si>
  <si>
    <t>https://www.google.com/maps?q=25.101000,121.736000</t>
  </si>
  <si>
    <t>暖暖運動公園 暖暖區 基隆市</t>
  </si>
  <si>
    <t>安樂區</t>
  </si>
  <si>
    <t>情人湖公園</t>
  </si>
  <si>
    <t>生態景觀公園</t>
  </si>
  <si>
    <t>自然景觀與休閒功能兼具，適合環湖與拍照任務。</t>
  </si>
  <si>
    <t>環湖／環園＋景觀節點打卡</t>
  </si>
  <si>
    <t>https://www.google.com/maps/search/?api=1&amp;query=%E6%83%85%E4%BA%BA%E6%B9%96%E5%85%AC%E5%9C%92%20%E5%AE%89%E6%A8%82%E5%8D%80%20%E5%9F%BA%E9%9A%86%E5%B8%82</t>
  </si>
  <si>
    <t>https://www.google.com/maps?q=25.157800,121.706500</t>
  </si>
  <si>
    <t>情人湖公園 安樂區 基隆市</t>
  </si>
  <si>
    <t>安和親子公園（四維公園）</t>
  </si>
  <si>
    <t>https://www.google.com/maps/search/?api=1&amp;query=%E5%AE%89%E5%92%8C%E8%A6%AA%E5%AD%90%E5%85%AC%E5%9C%92%EF%BC%88%E5%9B%9B%E7%B6%AD%E5%85%AC%E5%9C%92%EF%BC%89%20%E5%AE%89%E6%A8%82%E5%8D%80%20%E5%9F%BA%E9%9A%86%E5%B8%82</t>
  </si>
  <si>
    <t>https://www.google.com/maps?q=25.128900,121.710500</t>
  </si>
  <si>
    <t>安和親子公園（四維公園） 安樂區 基隆市</t>
  </si>
  <si>
    <t>信義區</t>
  </si>
  <si>
    <t>希望之丘親子遊戲場</t>
  </si>
  <si>
    <t>C｜Google Maps 優先複核</t>
  </si>
  <si>
    <t>https://www.google.com/maps/search/?api=1&amp;query=%E5%B8%8C%E6%9C%9B%E4%B9%8B%E4%B8%98%E8%A6%AA%E5%AD%90%E9%81%8A%E6%88%B2%E5%A0%B4%20%E4%BF%A1%E7%BE%A9%E5%8D%80%20%E5%9F%BA%E9%9A%86%E5%B8%82</t>
  </si>
  <si>
    <t>https://www.google.com/maps?q=25.127800,121.757000</t>
  </si>
  <si>
    <t>希望之丘親子遊戲場 信義區 基隆市</t>
  </si>
  <si>
    <t>桃園市</t>
  </si>
  <si>
    <t>桃園區</t>
  </si>
  <si>
    <t>虎頭山公園</t>
  </si>
  <si>
    <t>https://www.taoyuan-parkgo.tw/parks</t>
  </si>
  <si>
    <t>https://www.google.com/maps/search/?api=1&amp;query=%E8%99%8E%E9%A0%AD%E5%B1%B1%E5%85%AC%E5%9C%92%20%E6%A1%83%E5%9C%92%E5%8D%80%20%E6%A1%83%E5%9C%92%E5%B8%82</t>
  </si>
  <si>
    <t>https://www.google.com/maps?q=25.003000,121.326000</t>
  </si>
  <si>
    <t>虎頭山公園 桃園區 桃園市</t>
  </si>
  <si>
    <t>中壢區</t>
  </si>
  <si>
    <t>青塘園</t>
  </si>
  <si>
    <t>https://www.google.com/maps/search/?api=1&amp;query=%E9%9D%92%E5%A1%98%E5%9C%92%20%E4%B8%AD%E5%A3%A2%E5%8D%80%20%E6%A1%83%E5%9C%92%E5%B8%82</t>
  </si>
  <si>
    <t>https://www.google.com/maps?q=25.012000,121.206000</t>
  </si>
  <si>
    <t>青塘園 中壢區 桃園市</t>
  </si>
  <si>
    <t>大園區</t>
  </si>
  <si>
    <t>橫山書法藝術公園</t>
  </si>
  <si>
    <t>https://www.google.com/maps/search/?api=1&amp;query=%E6%A9%AB%E5%B1%B1%E6%9B%B8%E6%B3%95%E8%97%9D%E8%A1%93%E5%85%AC%E5%9C%92%20%E5%A4%A7%E5%9C%92%E5%8D%80%20%E6%A1%83%E5%9C%92%E5%B8%82</t>
  </si>
  <si>
    <t>https://www.google.com/maps?q=25.015300,121.214000</t>
  </si>
  <si>
    <t>橫山書法藝術公園 大園區 桃園市</t>
  </si>
  <si>
    <t>風禾公園</t>
  </si>
  <si>
    <t>https://www.google.com/maps/search/?api=1&amp;query=%E9%A2%A8%E7%A6%BE%E5%85%AC%E5%9C%92%20%E6%A1%83%E5%9C%92%E5%8D%80%20%E6%A1%83%E5%9C%92%E5%B8%82</t>
  </si>
  <si>
    <t>https://www.google.com/maps?q=25.003400,121.286700</t>
  </si>
  <si>
    <t>風禾公園 桃園區 桃園市</t>
  </si>
  <si>
    <t>陽明運動公園</t>
  </si>
  <si>
    <t>https://www.google.com/maps/search/?api=1&amp;query=%E9%99%BD%E6%98%8E%E9%81%8B%E5%8B%95%E5%85%AC%E5%9C%92%20%E6%A1%83%E5%9C%92%E5%8D%80%20%E6%A1%83%E5%9C%92%E5%B8%82</t>
  </si>
  <si>
    <t>https://www.google.com/maps?q=24.980300,121.310600</t>
  </si>
  <si>
    <t>陽明運動公園 桃園區 桃園市</t>
  </si>
  <si>
    <t>三民運動公園</t>
  </si>
  <si>
    <t>https://www.google.com/maps/search/?api=1&amp;query=%E4%B8%89%E6%B0%91%E9%81%8B%E5%8B%95%E5%85%AC%E5%9C%92%20%E6%A1%83%E5%9C%92%E5%8D%80%20%E6%A1%83%E5%9C%92%E5%B8%82</t>
  </si>
  <si>
    <t>https://www.google.com/maps?q=25.003400,121.319000</t>
  </si>
  <si>
    <t>三民運動公園 桃園區 桃園市</t>
  </si>
  <si>
    <t>中壢運動公園</t>
  </si>
  <si>
    <t>https://www.google.com/maps/search/?api=1&amp;query=%E4%B8%AD%E5%A3%A2%E9%81%8B%E5%8B%95%E5%85%AC%E5%9C%92%20%E4%B8%AD%E5%A3%A2%E5%8D%80%20%E6%A1%83%E5%9C%92%E5%B8%82</t>
  </si>
  <si>
    <t>https://www.google.com/maps?q=24.964000,121.220000</t>
  </si>
  <si>
    <t>中壢運動公園 中壢區 桃園市</t>
  </si>
  <si>
    <t>光明公園</t>
  </si>
  <si>
    <t>https://www.google.com/maps/search/?api=1&amp;query=%E5%85%89%E6%98%8E%E5%85%AC%E5%9C%92%20%E4%B8%AD%E5%A3%A2%E5%8D%80%20%E6%A1%83%E5%9C%92%E5%B8%82</t>
  </si>
  <si>
    <t>https://www.google.com/maps?q=24.959000,121.214000</t>
  </si>
  <si>
    <t>光明公園 中壢區 桃園市</t>
  </si>
  <si>
    <t>青埔運動公園</t>
  </si>
  <si>
    <t>https://www.google.com/maps/search/?api=1&amp;query=%E9%9D%92%E5%9F%94%E9%81%8B%E5%8B%95%E5%85%AC%E5%9C%92%20%E4%B8%AD%E5%A3%A2%E5%8D%80%20%E6%A1%83%E5%9C%92%E5%B8%82</t>
  </si>
  <si>
    <t>https://www.google.com/maps?q=25.000000,121.212000</t>
  </si>
  <si>
    <t>青埔運動公園 中壢區 桃園市</t>
  </si>
  <si>
    <t>平鎮區</t>
  </si>
  <si>
    <t>新勢公園</t>
  </si>
  <si>
    <t>https://www.google.com/maps/search/?api=1&amp;query=%E6%96%B0%E5%8B%A2%E5%85%AC%E5%9C%92%20%E5%B9%B3%E9%8E%AE%E5%8D%80%20%E6%A1%83%E5%9C%92%E5%B8%82</t>
  </si>
  <si>
    <t>https://www.google.com/maps?q=24.947500,121.215000</t>
  </si>
  <si>
    <t>新勢公園 平鎮區 桃園市</t>
  </si>
  <si>
    <t>平鎮運動公園</t>
  </si>
  <si>
    <t>https://www.google.com/maps/search/?api=1&amp;query=%E5%B9%B3%E9%8E%AE%E9%81%8B%E5%8B%95%E5%85%AC%E5%9C%92%20%E5%B9%B3%E9%8E%AE%E5%8D%80%20%E6%A1%83%E5%9C%92%E5%B8%82</t>
  </si>
  <si>
    <t>https://www.google.com/maps?q=24.908000,121.214000</t>
  </si>
  <si>
    <t>平鎮運動公園 平鎮區 桃園市</t>
  </si>
  <si>
    <t>龍潭區</t>
  </si>
  <si>
    <t>龍潭運動公園</t>
  </si>
  <si>
    <t>https://www.google.com/maps/search/?api=1&amp;query=%E9%BE%8D%E6%BD%AD%E9%81%8B%E5%8B%95%E5%85%AC%E5%9C%92%20%E9%BE%8D%E6%BD%AD%E5%8D%80%20%E6%A1%83%E5%9C%92%E5%B8%82</t>
  </si>
  <si>
    <t>https://www.google.com/maps?q=24.864000,121.216000</t>
  </si>
  <si>
    <t>龍潭運動公園 龍潭區 桃園市</t>
  </si>
  <si>
    <t>八德區</t>
  </si>
  <si>
    <t>八德埤塘自然生態公園</t>
  </si>
  <si>
    <t>https://www.google.com/maps/search/?api=1&amp;query=%E5%85%AB%E5%BE%B7%E5%9F%A4%E5%A1%98%E8%87%AA%E7%84%B6%E7%94%9F%E6%85%8B%E5%85%AC%E5%9C%92%20%E5%85%AB%E5%BE%B7%E5%8D%80%20%E6%A1%83%E5%9C%92%E5%B8%82</t>
  </si>
  <si>
    <t>https://www.google.com/maps?q=24.933000,121.280000</t>
  </si>
  <si>
    <t>八德埤塘自然生態公園 八德區 桃園市</t>
  </si>
  <si>
    <t>大有梯田生態公園</t>
  </si>
  <si>
    <t>https://www.google.com/maps/search/?api=1&amp;query=%E5%A4%A7%E6%9C%89%E6%A2%AF%E7%94%B0%E7%94%9F%E6%85%8B%E5%85%AC%E5%9C%92%20%E6%A1%83%E5%9C%92%E5%8D%80%20%E6%A1%83%E5%9C%92%E5%B8%82</t>
  </si>
  <si>
    <t>https://www.google.com/maps?q=25.014000,121.316700</t>
  </si>
  <si>
    <t>大有梯田生態公園 桃園區 桃園市</t>
  </si>
  <si>
    <t>復興區</t>
  </si>
  <si>
    <t>角板山公園</t>
  </si>
  <si>
    <t>https://www.google.com/maps/search/?api=1&amp;query=%E8%A7%92%E6%9D%BF%E5%B1%B1%E5%85%AC%E5%9C%92%20%E5%BE%A9%E8%88%88%E5%8D%80%20%E6%A1%83%E5%9C%92%E5%B8%82</t>
  </si>
  <si>
    <t>https://www.google.com/maps?q=24.817200,121.350500</t>
  </si>
  <si>
    <t>角板山公園 復興區 桃園市</t>
  </si>
  <si>
    <t>楊梅區</t>
  </si>
  <si>
    <t>中山親水公園</t>
  </si>
  <si>
    <t>https://www.google.com/maps/search/?api=1&amp;query=%E4%B8%AD%E5%B1%B1%E8%A6%AA%E6%B0%B4%E5%85%AC%E5%9C%92%20%E6%A5%8A%E6%A2%85%E5%8D%80%20%E6%A1%83%E5%9C%92%E5%B8%82</t>
  </si>
  <si>
    <t>https://www.google.com/maps?q=24.912300,121.147600</t>
  </si>
  <si>
    <t>中山親水公園 楊梅區 桃園市</t>
  </si>
  <si>
    <t>新竹市</t>
  </si>
  <si>
    <t>東區</t>
  </si>
  <si>
    <t>新竹公園</t>
  </si>
  <si>
    <t>https://tourism.hccg.gov.tw/</t>
  </si>
  <si>
    <t>https://www.google.com/maps/search/?api=1&amp;query=%E6%96%B0%E7%AB%B9%E5%85%AC%E5%9C%92%20%E6%9D%B1%E5%8D%80%20%E6%96%B0%E7%AB%B9%E5%B8%82</t>
  </si>
  <si>
    <t>https://www.google.com/maps?q=24.800400,120.978400</t>
  </si>
  <si>
    <t>新竹公園 東區 新竹市</t>
  </si>
  <si>
    <t>十八尖山公園</t>
  </si>
  <si>
    <t>https://www.google.com/maps/search/?api=1&amp;query=%E5%8D%81%E5%85%AB%E5%B0%96%E5%B1%B1%E5%85%AC%E5%9C%92%20%E6%9D%B1%E5%8D%80%20%E6%96%B0%E7%AB%B9%E5%B8%82</t>
  </si>
  <si>
    <t>https://www.google.com/maps?q=24.793000,120.989000</t>
  </si>
  <si>
    <t>十八尖山公園 東區 新竹市</t>
  </si>
  <si>
    <t>北區</t>
  </si>
  <si>
    <t>新竹左岸運動公園</t>
  </si>
  <si>
    <t>https://www.google.com/maps/search/?api=1&amp;query=%E6%96%B0%E7%AB%B9%E5%B7%A6%E5%B2%B8%E9%81%8B%E5%8B%95%E5%85%AC%E5%9C%92%20%E5%8C%97%E5%8D%80%20%E6%96%B0%E7%AB%B9%E5%B8%82</t>
  </si>
  <si>
    <t>https://www.google.com/maps?q=24.815000,120.967000</t>
  </si>
  <si>
    <t>新竹左岸運動公園 北區 新竹市</t>
  </si>
  <si>
    <t>香山區</t>
  </si>
  <si>
    <t>青青草原</t>
  </si>
  <si>
    <t>https://www.google.com/maps/search/?api=1&amp;query=%E9%9D%92%E9%9D%92%E8%8D%89%E5%8E%9F%20%E9%A6%99%E5%B1%B1%E5%8D%80%20%E6%96%B0%E7%AB%B9%E5%B8%82</t>
  </si>
  <si>
    <t>https://www.google.com/maps?q=24.731700,120.923000</t>
  </si>
  <si>
    <t>青青草原 香山區 新竹市</t>
  </si>
  <si>
    <t>南寮運動公園</t>
  </si>
  <si>
    <t>https://www.google.com/maps/search/?api=1&amp;query=%E5%8D%97%E5%AF%AE%E9%81%8B%E5%8B%95%E5%85%AC%E5%9C%92%20%E5%8C%97%E5%8D%80%20%E6%96%B0%E7%AB%B9%E5%B8%82</t>
  </si>
  <si>
    <t>https://www.google.com/maps?q=24.846300,120.930500</t>
  </si>
  <si>
    <t>南寮運動公園 北區 新竹市</t>
  </si>
  <si>
    <t>中央公園</t>
  </si>
  <si>
    <t>https://www.google.com/maps/search/?api=1&amp;query=%E4%B8%AD%E5%A4%AE%E5%85%AC%E5%9C%92%20%E6%9D%B1%E5%8D%80%20%E6%96%B0%E7%AB%B9%E5%B8%82</t>
  </si>
  <si>
    <t>https://www.google.com/maps?q=24.807500,120.968200</t>
  </si>
  <si>
    <t>中央公園 東區 新竹市</t>
  </si>
  <si>
    <t>關新公園</t>
  </si>
  <si>
    <t>https://www.google.com/maps/search/?api=1&amp;query=%E9%97%9C%E6%96%B0%E5%85%AC%E5%9C%92%20%E6%9D%B1%E5%8D%80%20%E6%96%B0%E7%AB%B9%E5%B8%82</t>
  </si>
  <si>
    <t>https://www.google.com/maps?q=24.786800,121.018200</t>
  </si>
  <si>
    <t>關新公園 東區 新竹市</t>
  </si>
  <si>
    <t>金雅親子公園</t>
  </si>
  <si>
    <t>https://www.google.com/maps/search/?api=1&amp;query=%E9%87%91%E9%9B%85%E8%A6%AA%E5%AD%90%E5%85%AC%E5%9C%92%20%E5%8C%97%E5%8D%80%20%E6%96%B0%E7%AB%B9%E5%B8%82</t>
  </si>
  <si>
    <t>https://www.google.com/maps?q=24.823700,120.960100</t>
  </si>
  <si>
    <t>金雅親子公園 北區 新竹市</t>
  </si>
  <si>
    <t>湳雅公園</t>
  </si>
  <si>
    <t>https://www.google.com/maps/search/?api=1&amp;query=%E6%B9%B3%E9%9B%85%E5%85%AC%E5%9C%92%20%E5%8C%97%E5%8D%80%20%E6%96%B0%E7%AB%B9%E5%B8%82</t>
  </si>
  <si>
    <t>https://www.google.com/maps?q=24.819700,120.966000</t>
  </si>
  <si>
    <t>湳雅公園 北區 新竹市</t>
  </si>
  <si>
    <t>港南運河公園</t>
  </si>
  <si>
    <t>https://www.google.com/maps/search/?api=1&amp;query=%E6%B8%AF%E5%8D%97%E9%81%8B%E6%B2%B3%E5%85%AC%E5%9C%92%20%E9%A6%99%E5%B1%B1%E5%8D%80%20%E6%96%B0%E7%AB%B9%E5%B8%82</t>
  </si>
  <si>
    <t>https://www.google.com/maps?q=24.819400,120.918900</t>
  </si>
  <si>
    <t>港南運河公園 香山區 新竹市</t>
  </si>
  <si>
    <t>新竹縣</t>
  </si>
  <si>
    <t>竹北市</t>
  </si>
  <si>
    <t>竹北運動公園</t>
  </si>
  <si>
    <t>https://travel.hsinchu.gov.tw/</t>
  </si>
  <si>
    <t>https://www.google.com/maps/search/?api=1&amp;query=%E7%AB%B9%E5%8C%97%E9%81%8B%E5%8B%95%E5%85%AC%E5%9C%92%20%E7%AB%B9%E5%8C%97%E5%B8%82%20%E6%96%B0%E7%AB%B9%E7%B8%A3</t>
  </si>
  <si>
    <t>https://www.google.com/maps?q=24.829000,121.017000</t>
  </si>
  <si>
    <t>竹北運動公園 竹北市 新竹縣</t>
  </si>
  <si>
    <t>文化公園</t>
  </si>
  <si>
    <t>https://www.google.com/maps/search/?api=1&amp;query=%E6%96%87%E5%8C%96%E5%85%AC%E5%9C%92%20%E7%AB%B9%E5%8C%97%E5%B8%82%20%E6%96%B0%E7%AB%B9%E7%B8%A3</t>
  </si>
  <si>
    <t>https://www.google.com/maps?q=24.831000,121.013000</t>
  </si>
  <si>
    <t>文化公園 竹北市 新竹縣</t>
  </si>
  <si>
    <t>頭前溪河濱公園</t>
  </si>
  <si>
    <t>https://www.google.com/maps/search/?api=1&amp;query=%E9%A0%AD%E5%89%8D%E6%BA%AA%E6%B2%B3%E6%BF%B1%E5%85%AC%E5%9C%92%20%E7%AB%B9%E5%8C%97%E5%B8%82%20%E6%96%B0%E7%AB%B9%E7%B8%A3</t>
  </si>
  <si>
    <t>https://www.google.com/maps?q=24.814000,120.999000</t>
  </si>
  <si>
    <t>頭前溪河濱公園 竹北市 新竹縣</t>
  </si>
  <si>
    <t>AI智慧園區公園</t>
  </si>
  <si>
    <t>https://www.google.com/maps/search/?api=1&amp;query=AI%E6%99%BA%E6%85%A7%E5%9C%92%E5%8D%80%E5%85%AC%E5%9C%92%20%E7%AB%B9%E5%8C%97%E5%B8%82%20%E6%96%B0%E7%AB%B9%E7%B8%A3</t>
  </si>
  <si>
    <t>https://www.google.com/maps?q=24.839000,121.024200</t>
  </si>
  <si>
    <t>AI智慧園區公園 竹北市 新竹縣</t>
  </si>
  <si>
    <t>興隆公園（公24）</t>
  </si>
  <si>
    <t>https://www.google.com/maps/search/?api=1&amp;query=%E8%88%88%E9%9A%86%E5%85%AC%E5%9C%92%EF%BC%88%E5%85%AC24%EF%BC%89%20%E7%AB%B9%E5%8C%97%E5%B8%82%20%E6%96%B0%E7%AB%B9%E7%B8%A3</t>
  </si>
  <si>
    <t>https://www.google.com/maps?q=24.816500,121.017500</t>
  </si>
  <si>
    <t>興隆公園（公24） 竹北市 新竹縣</t>
  </si>
  <si>
    <t>水圳森林公園</t>
  </si>
  <si>
    <t>https://www.google.com/maps/search/?api=1&amp;query=%E6%B0%B4%E5%9C%B3%E6%A3%AE%E6%9E%97%E5%85%AC%E5%9C%92%20%E7%AB%B9%E5%8C%97%E5%B8%82%20%E6%96%B0%E7%AB%B9%E7%B8%A3</t>
  </si>
  <si>
    <t>https://www.google.com/maps?q=24.838300,121.008700</t>
  </si>
  <si>
    <t>水圳森林公園 竹北市 新竹縣</t>
  </si>
  <si>
    <t>六家歷史民俗公園</t>
  </si>
  <si>
    <t>https://www.google.com/maps/search/?api=1&amp;query=%E5%85%AD%E5%AE%B6%E6%AD%B7%E5%8F%B2%E6%B0%91%E4%BF%97%E5%85%AC%E5%9C%92%20%E7%AB%B9%E5%8C%97%E5%B8%82%20%E6%96%B0%E7%AB%B9%E7%B8%A3</t>
  </si>
  <si>
    <t>https://www.google.com/maps?q=24.809200,121.039200</t>
  </si>
  <si>
    <t>六家歷史民俗公園 竹北市 新竹縣</t>
  </si>
  <si>
    <t>湖口鄉</t>
  </si>
  <si>
    <t>王爺壟運動公園</t>
  </si>
  <si>
    <t>https://www.google.com/maps/search/?api=1&amp;query=%E7%8E%8B%E7%88%BA%E5%A3%9F%E9%81%8B%E5%8B%95%E5%85%AC%E5%9C%92%20%E6%B9%96%E5%8F%A3%E9%84%89%20%E6%96%B0%E7%AB%B9%E7%B8%A3</t>
  </si>
  <si>
    <t>https://www.google.com/maps?q=24.872000,121.037000</t>
  </si>
  <si>
    <t>王爺壟運動公園 湖口鄉 新竹縣</t>
  </si>
  <si>
    <t>苗栗縣</t>
  </si>
  <si>
    <t>苗栗市</t>
  </si>
  <si>
    <t>貓裏喵親子公園</t>
  </si>
  <si>
    <t>https://miaolitravel.net/</t>
  </si>
  <si>
    <t>https://www.google.com/maps/search/?api=1&amp;query=%E8%B2%93%E8%A3%8F%E5%96%B5%E8%A6%AA%E5%AD%90%E5%85%AC%E5%9C%92%20%E8%8B%97%E6%A0%97%E5%B8%82%20%E8%8B%97%E6%A0%97%E7%B8%A3</t>
  </si>
  <si>
    <t>https://www.google.com/maps?q=24.565400,120.814800</t>
  </si>
  <si>
    <t>貓裏喵親子公園 苗栗市 苗栗縣</t>
  </si>
  <si>
    <t>貓裏山公園</t>
  </si>
  <si>
    <t>https://www.google.com/maps/search/?api=1&amp;query=%E8%B2%93%E8%A3%8F%E5%B1%B1%E5%85%AC%E5%9C%92%20%E8%8B%97%E6%A0%97%E5%B8%82%20%E8%8B%97%E6%A0%97%E7%B8%A3</t>
  </si>
  <si>
    <t>https://www.google.com/maps?q=24.559500,120.809500</t>
  </si>
  <si>
    <t>貓裏山公園 苗栗市 苗栗縣</t>
  </si>
  <si>
    <t>竹南鎮</t>
  </si>
  <si>
    <t>竹南運動公園</t>
  </si>
  <si>
    <t>https://www.google.com/maps/search/?api=1&amp;query=%E7%AB%B9%E5%8D%97%E9%81%8B%E5%8B%95%E5%85%AC%E5%9C%92%20%E7%AB%B9%E5%8D%97%E9%8E%AE%20%E8%8B%97%E6%A0%97%E7%B8%A3</t>
  </si>
  <si>
    <t>https://www.google.com/maps?q=24.696000,120.882000</t>
  </si>
  <si>
    <t>竹南運動公園 竹南鎮 苗栗縣</t>
  </si>
  <si>
    <t>獅山親子公園</t>
  </si>
  <si>
    <t>https://www.google.com/maps/search/?api=1&amp;query=%E7%8D%85%E5%B1%B1%E8%A6%AA%E5%AD%90%E5%85%AC%E5%9C%92%20%E7%AB%B9%E5%8D%97%E9%8E%AE%20%E8%8B%97%E6%A0%97%E7%B8%A3</t>
  </si>
  <si>
    <t>https://www.google.com/maps?q=24.692000,120.872000</t>
  </si>
  <si>
    <t>獅山親子公園 竹南鎮 苗栗縣</t>
  </si>
  <si>
    <t>頭份市</t>
  </si>
  <si>
    <t>頭份運動公園</t>
  </si>
  <si>
    <t>https://www.google.com/maps/search/?api=1&amp;query=%E9%A0%AD%E4%BB%BD%E9%81%8B%E5%8B%95%E5%85%AC%E5%9C%92%20%E9%A0%AD%E4%BB%BD%E5%B8%82%20%E8%8B%97%E6%A0%97%E7%B8%A3</t>
  </si>
  <si>
    <t>https://www.google.com/maps?q=24.683000,120.910000</t>
  </si>
  <si>
    <t>頭份運動公園 頭份市 苗栗縣</t>
  </si>
  <si>
    <t>音樂公園</t>
  </si>
  <si>
    <t>https://www.google.com/maps/search/?api=1&amp;query=%E9%9F%B3%E6%A8%82%E5%85%AC%E5%9C%92%20%E9%A0%AD%E4%BB%BD%E5%B8%82%20%E8%8B%97%E6%A0%97%E7%B8%A3</t>
  </si>
  <si>
    <t>https://www.google.com/maps?q=24.687500,120.907000</t>
  </si>
  <si>
    <t>音樂公園 頭份市 苗栗縣</t>
  </si>
  <si>
    <t>後龍鎮</t>
  </si>
  <si>
    <t>後龍溪河濱公園</t>
  </si>
  <si>
    <t>https://www.google.com/maps/search/?api=1&amp;query=%E5%BE%8C%E9%BE%8D%E6%BA%AA%E6%B2%B3%E6%BF%B1%E5%85%AC%E5%9C%92%20%E5%BE%8C%E9%BE%8D%E9%8E%AE%20%E8%8B%97%E6%A0%97%E7%B8%A3</t>
  </si>
  <si>
    <t>https://www.google.com/maps?q=24.610000,120.790000</t>
  </si>
  <si>
    <t>後龍溪河濱公園 後龍鎮 苗栗縣</t>
  </si>
  <si>
    <t>苑裡鎮</t>
  </si>
  <si>
    <t>灣麗親子公園</t>
  </si>
  <si>
    <t>https://www.google.com/maps/search/?api=1&amp;query=%E7%81%A3%E9%BA%97%E8%A6%AA%E5%AD%90%E5%85%AC%E5%9C%92%20%E8%8B%91%E8%A3%A1%E9%8E%AE%20%E8%8B%97%E6%A0%97%E7%B8%A3</t>
  </si>
  <si>
    <t>https://www.google.com/maps?q=24.441800,120.655700</t>
  </si>
  <si>
    <t>灣麗親子公園 苑裡鎮 苗栗縣</t>
  </si>
  <si>
    <t>銅鑼鄉</t>
  </si>
  <si>
    <t>桐花公園</t>
  </si>
  <si>
    <t>https://www.google.com/maps/search/?api=1&amp;query=%E6%A1%90%E8%8A%B1%E5%85%AC%E5%9C%92%20%E9%8A%85%E9%91%BC%E9%84%89%20%E8%8B%97%E6%A0%97%E7%B8%A3</t>
  </si>
  <si>
    <t>https://www.google.com/maps?q=24.486000,120.779000</t>
  </si>
  <si>
    <t>桐花公園 銅鑼鄉 苗栗縣</t>
  </si>
  <si>
    <t>臺中市</t>
  </si>
  <si>
    <t>西屯區</t>
  </si>
  <si>
    <t>臺中中央公園</t>
  </si>
  <si>
    <t>https://taichungmelody.taichung.gov.tw/ParkIntro/ParkList</t>
  </si>
  <si>
    <t>https://www.google.com/maps/search/?api=1&amp;query=%E8%87%BA%E4%B8%AD%E4%B8%AD%E5%A4%AE%E5%85%AC%E5%9C%92%20%E8%A5%BF%E5%B1%AF%E5%8D%80%20%E8%87%BA%E4%B8%AD%E5%B8%82</t>
  </si>
  <si>
    <t>https://www.google.com/maps?q=24.189000,120.653000</t>
  </si>
  <si>
    <t>臺中中央公園 西屯區 臺中市</t>
  </si>
  <si>
    <t>臺中都會公園</t>
  </si>
  <si>
    <t>https://www.google.com/maps/search/?api=1&amp;query=%E8%87%BA%E4%B8%AD%E9%83%BD%E6%9C%83%E5%85%AC%E5%9C%92%20%E8%A5%BF%E5%B1%AF%E5%8D%80%20%E8%87%BA%E4%B8%AD%E5%B8%82</t>
  </si>
  <si>
    <t>https://www.google.com/maps?q=24.207000,120.598000</t>
  </si>
  <si>
    <t>臺中都會公園 西屯區 臺中市</t>
  </si>
  <si>
    <t>中區</t>
  </si>
  <si>
    <t>臺中公園</t>
  </si>
  <si>
    <t>https://www.google.com/maps/search/?api=1&amp;query=%E8%87%BA%E4%B8%AD%E5%85%AC%E5%9C%92%20%E4%B8%AD%E5%8D%80%20%E8%87%BA%E4%B8%AD%E5%B8%82</t>
  </si>
  <si>
    <t>https://www.google.com/maps?q=24.144800,120.683600</t>
  </si>
  <si>
    <t>臺中公園 中區 臺中市</t>
  </si>
  <si>
    <t>南屯區</t>
  </si>
  <si>
    <t>文心森林公園</t>
  </si>
  <si>
    <t>https://www.google.com/maps/search/?api=1&amp;query=%E6%96%87%E5%BF%83%E6%A3%AE%E6%9E%97%E5%85%AC%E5%9C%92%20%E5%8D%97%E5%B1%AF%E5%8D%80%20%E8%87%BA%E4%B8%AD%E5%B8%82</t>
  </si>
  <si>
    <t>https://www.google.com/maps?q=24.142000,120.647000</t>
  </si>
  <si>
    <t>文心森林公園 南屯區 臺中市</t>
  </si>
  <si>
    <t>秋紅谷景觀生態公園</t>
  </si>
  <si>
    <t>https://www.google.com/maps/search/?api=1&amp;query=%E7%A7%8B%E7%B4%85%E8%B0%B7%E6%99%AF%E8%A7%80%E7%94%9F%E6%85%8B%E5%85%AC%E5%9C%92%20%E8%A5%BF%E5%B1%AF%E5%8D%80%20%E8%87%BA%E4%B8%AD%E5%B8%82</t>
  </si>
  <si>
    <t>https://www.google.com/maps?q=24.167600,120.638200</t>
  </si>
  <si>
    <t>秋紅谷景觀生態公園 西屯區 臺中市</t>
  </si>
  <si>
    <t>太平區</t>
  </si>
  <si>
    <t>坪林森林公園</t>
  </si>
  <si>
    <t>https://www.google.com/maps/search/?api=1&amp;query=%E5%9D%AA%E6%9E%97%E6%A3%AE%E6%9E%97%E5%85%AC%E5%9C%92%20%E5%A4%AA%E5%B9%B3%E5%8D%80%20%E8%87%BA%E4%B8%AD%E5%B8%82</t>
  </si>
  <si>
    <t>https://www.google.com/maps?q=24.152000,120.724000</t>
  </si>
  <si>
    <t>坪林森林公園 太平區 臺中市</t>
  </si>
  <si>
    <t>馬卡龍公園</t>
  </si>
  <si>
    <t>https://www.google.com/maps/search/?api=1&amp;query=%E9%A6%AC%E5%8D%A1%E9%BE%8D%E5%85%AC%E5%9C%92%20%E5%A4%AA%E5%B9%B3%E5%8D%80%20%E8%87%BA%E4%B8%AD%E5%B8%82</t>
  </si>
  <si>
    <t>https://www.google.com/maps?q=24.131800,120.714600</t>
  </si>
  <si>
    <t>馬卡龍公園 太平區 臺中市</t>
  </si>
  <si>
    <t>豐原區</t>
  </si>
  <si>
    <t>葫蘆墩公園</t>
  </si>
  <si>
    <t>https://www.google.com/maps/search/?api=1&amp;query=%E8%91%AB%E8%98%86%E5%A2%A9%E5%85%AC%E5%9C%92%20%E8%B1%90%E5%8E%9F%E5%8D%80%20%E8%87%BA%E4%B8%AD%E5%B8%82</t>
  </si>
  <si>
    <t>https://www.google.com/maps?q=24.257000,120.724000</t>
  </si>
  <si>
    <t>葫蘆墩公園 豐原區 臺中市</t>
  </si>
  <si>
    <t>豐樂雕塑公園</t>
  </si>
  <si>
    <t>https://www.google.com/maps/search/?api=1&amp;query=%E8%B1%90%E6%A8%82%E9%9B%95%E5%A1%91%E5%85%AC%E5%9C%92%20%E5%8D%97%E5%B1%AF%E5%8D%80%20%E8%87%BA%E4%B8%AD%E5%B8%82</t>
  </si>
  <si>
    <t>https://www.google.com/maps?q=24.131900,120.641400</t>
  </si>
  <si>
    <t>豐樂雕塑公園 南屯區 臺中市</t>
  </si>
  <si>
    <t>西區</t>
  </si>
  <si>
    <t>市民廣場</t>
  </si>
  <si>
    <t>https://www.google.com/maps/search/?api=1&amp;query=%E5%B8%82%E6%B0%91%E5%BB%A3%E5%A0%B4%20%E8%A5%BF%E5%8D%80%20%E8%87%BA%E4%B8%AD%E5%B8%82</t>
  </si>
  <si>
    <t>https://www.google.com/maps?q=24.151800,120.663600</t>
  </si>
  <si>
    <t>市民廣場 西區 臺中市</t>
  </si>
  <si>
    <t>草悟道</t>
  </si>
  <si>
    <t>線性綠廊公園</t>
  </si>
  <si>
    <t>連續綠廊與步行動線完整，適合里程累積與節點任務。</t>
  </si>
  <si>
    <t>里程累積＋分段節點＋沿線拍照</t>
  </si>
  <si>
    <t>https://www.google.com/maps/search/?api=1&amp;query=%E8%8D%89%E6%82%9F%E9%81%93%20%E8%A5%BF%E5%8D%80%20%E8%87%BA%E4%B8%AD%E5%B8%82</t>
  </si>
  <si>
    <t>https://www.google.com/maps?q=24.150800,120.664700</t>
  </si>
  <si>
    <t>草悟道 西區 臺中市</t>
  </si>
  <si>
    <t>清水區</t>
  </si>
  <si>
    <t>鰲峰山運動公園</t>
  </si>
  <si>
    <t>https://www.google.com/maps/search/?api=1&amp;query=%E9%B0%B2%E5%B3%B0%E5%B1%B1%E9%81%8B%E5%8B%95%E5%85%AC%E5%9C%92%20%E6%B8%85%E6%B0%B4%E5%8D%80%20%E8%87%BA%E4%B8%AD%E5%B8%82</t>
  </si>
  <si>
    <t>https://www.google.com/maps?q=24.269500,120.576500</t>
  </si>
  <si>
    <t>鰲峰山運動公園 清水區 臺中市</t>
  </si>
  <si>
    <t>大里區</t>
  </si>
  <si>
    <t>大里運動公園</t>
  </si>
  <si>
    <t>https://www.google.com/maps/search/?api=1&amp;query=%E5%A4%A7%E9%87%8C%E9%81%8B%E5%8B%95%E5%85%AC%E5%9C%92%20%E5%A4%A7%E9%87%8C%E5%8D%80%20%E8%87%BA%E4%B8%AD%E5%B8%82</t>
  </si>
  <si>
    <t>https://www.google.com/maps?q=24.104900,120.681900</t>
  </si>
  <si>
    <t>大里運動公園 大里區 臺中市</t>
  </si>
  <si>
    <t>祥順運動公園</t>
  </si>
  <si>
    <t>https://www.google.com/maps/search/?api=1&amp;query=%E7%A5%A5%E9%A0%86%E9%81%8B%E5%8B%95%E5%85%AC%E5%9C%92%20%E5%A4%AA%E5%B9%B3%E5%8D%80%20%E8%87%BA%E4%B8%AD%E5%B8%82</t>
  </si>
  <si>
    <t>https://www.google.com/maps?q=24.135600,120.721700</t>
  </si>
  <si>
    <t>祥順運動公園 太平區 臺中市</t>
  </si>
  <si>
    <t>南區</t>
  </si>
  <si>
    <t>健康公園</t>
  </si>
  <si>
    <t>https://www.google.com/maps/search/?api=1&amp;query=%E5%81%A5%E5%BA%B7%E5%85%AC%E5%9C%92%20%E5%8D%97%E5%8D%80%20%E8%87%BA%E4%B8%AD%E5%B8%82</t>
  </si>
  <si>
    <t>https://www.google.com/maps?q=24.120800,120.663500</t>
  </si>
  <si>
    <t>健康公園 南區 臺中市</t>
  </si>
  <si>
    <t>北屯區</t>
  </si>
  <si>
    <t>北屯兒童公園</t>
  </si>
  <si>
    <t>https://www.google.com/maps/search/?api=1&amp;query=%E5%8C%97%E5%B1%AF%E5%85%92%E7%AB%A5%E5%85%AC%E5%9C%92%20%E5%8C%97%E5%B1%AF%E5%8D%80%20%E8%87%BA%E4%B8%AD%E5%B8%82</t>
  </si>
  <si>
    <t>https://www.google.com/maps?q=24.172100,120.692500</t>
  </si>
  <si>
    <t>北屯兒童公園 北屯區 臺中市</t>
  </si>
  <si>
    <t>彰化縣</t>
  </si>
  <si>
    <t>彰化市</t>
  </si>
  <si>
    <t>八卦山公園</t>
  </si>
  <si>
    <t>https://park.chcg.gov.tw/</t>
  </si>
  <si>
    <t>https://www.google.com/maps/search/?api=1&amp;query=%E5%85%AB%E5%8D%A6%E5%B1%B1%E5%85%AC%E5%9C%92%20%E5%BD%B0%E5%8C%96%E5%B8%82%20%E5%BD%B0%E5%8C%96%E7%B8%A3</t>
  </si>
  <si>
    <t>https://www.google.com/maps?q=24.078100,120.550600</t>
  </si>
  <si>
    <t>八卦山公園 彰化市 彰化縣</t>
  </si>
  <si>
    <t>華陽公園</t>
  </si>
  <si>
    <t>https://www.google.com/maps/search/?api=1&amp;query=%E8%8F%AF%E9%99%BD%E5%85%AC%E5%9C%92%20%E5%BD%B0%E5%8C%96%E5%B8%82%20%E5%BD%B0%E5%8C%96%E7%B8%A3</t>
  </si>
  <si>
    <t>https://www.google.com/maps?q=24.073500,120.559500</t>
  </si>
  <si>
    <t>華陽公園 彰化市 彰化縣</t>
  </si>
  <si>
    <t>溪州鄉</t>
  </si>
  <si>
    <t>溪州公園</t>
  </si>
  <si>
    <t>https://www.google.com/maps/search/?api=1&amp;query=%E6%BA%AA%E5%B7%9E%E5%85%AC%E5%9C%92%20%E6%BA%AA%E5%B7%9E%E9%84%89%20%E5%BD%B0%E5%8C%96%E7%B8%A3</t>
  </si>
  <si>
    <t>https://www.google.com/maps?q=23.851900,120.489700</t>
  </si>
  <si>
    <t>溪州公園 溪州鄉 彰化縣</t>
  </si>
  <si>
    <t>員林市</t>
  </si>
  <si>
    <t>員林公園</t>
  </si>
  <si>
    <t>https://www.google.com/maps/search/?api=1&amp;query=%E5%93%A1%E6%9E%97%E5%85%AC%E5%9C%92%20%E5%93%A1%E6%9E%97%E5%B8%82%20%E5%BD%B0%E5%8C%96%E7%B8%A3</t>
  </si>
  <si>
    <t>https://www.google.com/maps?q=23.956500,120.576000</t>
  </si>
  <si>
    <t>員林公園 員林市 彰化縣</t>
  </si>
  <si>
    <t>百果山探索樂園</t>
  </si>
  <si>
    <t>https://www.google.com/maps/search/?api=1&amp;query=%E7%99%BE%E6%9E%9C%E5%B1%B1%E6%8E%A2%E7%B4%A2%E6%A8%82%E5%9C%92%20%E5%93%A1%E6%9E%97%E5%B8%82%20%E5%BD%B0%E5%8C%96%E7%B8%A3</t>
  </si>
  <si>
    <t>https://www.google.com/maps?q=23.957800,120.602000</t>
  </si>
  <si>
    <t>百果山探索樂園 員林市 彰化縣</t>
  </si>
  <si>
    <t>兔馬鹿公園</t>
  </si>
  <si>
    <t>https://www.google.com/maps/search/?api=1&amp;query=%E5%85%94%E9%A6%AC%E9%B9%BF%E5%85%AC%E5%9C%92%20%E5%93%A1%E6%9E%97%E5%B8%82%20%E5%BD%B0%E5%8C%96%E7%B8%A3</t>
  </si>
  <si>
    <t>https://www.google.com/maps?q=23.955500,120.594000</t>
  </si>
  <si>
    <t>兔馬鹿公園 員林市 彰化縣</t>
  </si>
  <si>
    <t>鹿港鎮</t>
  </si>
  <si>
    <t>鹿港運動公園</t>
  </si>
  <si>
    <t>https://www.google.com/maps/search/?api=1&amp;query=%E9%B9%BF%E6%B8%AF%E9%81%8B%E5%8B%95%E5%85%AC%E5%9C%92%20%E9%B9%BF%E6%B8%AF%E9%8E%AE%20%E5%BD%B0%E5%8C%96%E7%B8%A3</t>
  </si>
  <si>
    <t>https://www.google.com/maps?q=24.059500,120.438500</t>
  </si>
  <si>
    <t>鹿港運動公園 鹿港鎮 彰化縣</t>
  </si>
  <si>
    <t>伸港鄉</t>
  </si>
  <si>
    <t>嬉濱海豚公園</t>
  </si>
  <si>
    <t>https://www.google.com/maps/search/?api=1&amp;query=%E5%AC%89%E6%BF%B1%E6%B5%B7%E8%B1%9A%E5%85%AC%E5%9C%92%20%E4%BC%B8%E6%B8%AF%E9%84%89%20%E5%BD%B0%E5%8C%96%E7%B8%A3</t>
  </si>
  <si>
    <t>https://www.google.com/maps?q=24.166700,120.485000</t>
  </si>
  <si>
    <t>嬉濱海豚公園 伸港鄉 彰化縣</t>
  </si>
  <si>
    <t>北斗鎮</t>
  </si>
  <si>
    <t>北斗河濱公園</t>
  </si>
  <si>
    <t>https://www.google.com/maps/search/?api=1&amp;query=%E5%8C%97%E6%96%97%E6%B2%B3%E6%BF%B1%E5%85%AC%E5%9C%92%20%E5%8C%97%E6%96%97%E9%8E%AE%20%E5%BD%B0%E5%8C%96%E7%B8%A3</t>
  </si>
  <si>
    <t>https://www.google.com/maps?q=23.874300,120.518000</t>
  </si>
  <si>
    <t>北斗河濱公園 北斗鎮 彰化縣</t>
  </si>
  <si>
    <t>南投縣</t>
  </si>
  <si>
    <t>草屯鎮</t>
  </si>
  <si>
    <t>酷比親子運動公園</t>
  </si>
  <si>
    <t>https://travel.nantou.gov.tw/</t>
  </si>
  <si>
    <t>https://www.google.com/maps/search/?api=1&amp;query=%E9%85%B7%E6%AF%94%E8%A6%AA%E5%AD%90%E9%81%8B%E5%8B%95%E5%85%AC%E5%9C%92%20%E8%8D%89%E5%B1%AF%E9%8E%AE%20%E5%8D%97%E6%8A%95%E7%B8%A3</t>
  </si>
  <si>
    <t>https://www.google.com/maps?q=23.984800,120.680000</t>
  </si>
  <si>
    <t>酷比親子運動公園 草屯鎮 南投縣</t>
  </si>
  <si>
    <t>埔里鎮</t>
  </si>
  <si>
    <t>福興溫泉區親子公園</t>
  </si>
  <si>
    <t>https://www.google.com/maps/search/?api=1&amp;query=%E7%A6%8F%E8%88%88%E6%BA%AB%E6%B3%89%E5%8D%80%E8%A6%AA%E5%AD%90%E5%85%AC%E5%9C%92%20%E5%9F%94%E9%87%8C%E9%8E%AE%20%E5%8D%97%E6%8A%95%E7%B8%A3</t>
  </si>
  <si>
    <t>https://www.google.com/maps?q=24.003700,120.946500</t>
  </si>
  <si>
    <t>福興溫泉區親子公園 埔里鎮 南投縣</t>
  </si>
  <si>
    <t>名間鄉</t>
  </si>
  <si>
    <t>名間親子生態園區</t>
  </si>
  <si>
    <t>https://www.google.com/maps/search/?api=1&amp;query=%E5%90%8D%E9%96%93%E8%A6%AA%E5%AD%90%E7%94%9F%E6%85%8B%E5%9C%92%E5%8D%80%20%E5%90%8D%E9%96%93%E9%84%89%20%E5%8D%97%E6%8A%95%E7%B8%A3</t>
  </si>
  <si>
    <t>https://www.google.com/maps?q=23.838500,120.700500</t>
  </si>
  <si>
    <t>名間親子生態園區 名間鄉 南投縣</t>
  </si>
  <si>
    <t>南投市</t>
  </si>
  <si>
    <t>中興新村親情公園</t>
  </si>
  <si>
    <t>https://www.google.com/maps/search/?api=1&amp;query=%E4%B8%AD%E8%88%88%E6%96%B0%E6%9D%91%E8%A6%AA%E6%83%85%E5%85%AC%E5%9C%92%20%E5%8D%97%E6%8A%95%E5%B8%82%20%E5%8D%97%E6%8A%95%E7%B8%A3</t>
  </si>
  <si>
    <t>https://www.google.com/maps?q=23.955200,120.687500</t>
  </si>
  <si>
    <t>中興新村親情公園 南投市 南投縣</t>
  </si>
  <si>
    <t>草屯植物公園</t>
  </si>
  <si>
    <t>https://www.google.com/maps/search/?api=1&amp;query=%E8%8D%89%E5%B1%AF%E6%A4%8D%E7%89%A9%E5%85%AC%E5%9C%92%20%E8%8D%89%E5%B1%AF%E9%8E%AE%20%E5%8D%97%E6%8A%95%E7%B8%A3</t>
  </si>
  <si>
    <t>https://www.google.com/maps?q=23.976500,120.679000</t>
  </si>
  <si>
    <t>草屯植物公園 草屯鎮 南投縣</t>
  </si>
  <si>
    <t>草屯兒童樂園</t>
  </si>
  <si>
    <t>https://www.google.com/maps/search/?api=1&amp;query=%E8%8D%89%E5%B1%AF%E5%85%92%E7%AB%A5%E6%A8%82%E5%9C%92%20%E8%8D%89%E5%B1%AF%E9%8E%AE%20%E5%8D%97%E6%8A%95%E7%B8%A3</t>
  </si>
  <si>
    <t>https://www.google.com/maps?q=23.983000,120.683000</t>
  </si>
  <si>
    <t>草屯兒童樂園 草屯鎮 南投縣</t>
  </si>
  <si>
    <t>水里鄉</t>
  </si>
  <si>
    <t>水里親水公園</t>
  </si>
  <si>
    <t>https://www.google.com/maps/search/?api=1&amp;query=%E6%B0%B4%E9%87%8C%E8%A6%AA%E6%B0%B4%E5%85%AC%E5%9C%92%20%E6%B0%B4%E9%87%8C%E9%84%89%20%E5%8D%97%E6%8A%95%E7%B8%A3</t>
  </si>
  <si>
    <t>https://www.google.com/maps?q=23.813500,120.853500</t>
  </si>
  <si>
    <t>水里親水公園 水里鄉 南投縣</t>
  </si>
  <si>
    <t>集集鎮</t>
  </si>
  <si>
    <t>集集軍史公園</t>
  </si>
  <si>
    <t>https://www.google.com/maps/search/?api=1&amp;query=%E9%9B%86%E9%9B%86%E8%BB%8D%E5%8F%B2%E5%85%AC%E5%9C%92%20%E9%9B%86%E9%9B%86%E9%8E%AE%20%E5%8D%97%E6%8A%95%E7%B8%A3</t>
  </si>
  <si>
    <t>https://www.google.com/maps?q=23.826000,120.784500</t>
  </si>
  <si>
    <t>集集軍史公園 集集鎮 南投縣</t>
  </si>
  <si>
    <t>雲林縣</t>
  </si>
  <si>
    <t>斗六市</t>
  </si>
  <si>
    <t>膨鼠森林公園</t>
  </si>
  <si>
    <t>https://tour.yunlin.gov.tw/</t>
  </si>
  <si>
    <t>https://www.google.com/maps/search/?api=1&amp;query=%E8%86%A8%E9%BC%A0%E6%A3%AE%E6%9E%97%E5%85%AC%E5%9C%92%20%E6%96%97%E5%85%AD%E5%B8%82%20%E9%9B%B2%E6%9E%97%E7%B8%A3</t>
  </si>
  <si>
    <t>https://www.google.com/maps?q=23.702200,120.532100</t>
  </si>
  <si>
    <t>膨鼠森林公園 斗六市 雲林縣</t>
  </si>
  <si>
    <t>藝術水岸園區</t>
  </si>
  <si>
    <t>https://www.google.com/maps/search/?api=1&amp;query=%E8%97%9D%E8%A1%93%E6%B0%B4%E5%B2%B8%E5%9C%92%E5%8D%80%20%E6%96%97%E5%85%AD%E5%B8%82%20%E9%9B%B2%E6%9E%97%E7%B8%A3</t>
  </si>
  <si>
    <t>https://www.google.com/maps?q=23.708000,120.528000</t>
  </si>
  <si>
    <t>藝術水岸園區 斗六市 雲林縣</t>
  </si>
  <si>
    <t>人文親水公園</t>
  </si>
  <si>
    <t>https://www.google.com/maps/search/?api=1&amp;query=%E4%BA%BA%E6%96%87%E8%A6%AA%E6%B0%B4%E5%85%AC%E5%9C%92%20%E6%96%97%E5%85%AD%E5%B8%82%20%E9%9B%B2%E6%9E%97%E7%B8%A3</t>
  </si>
  <si>
    <t>https://www.google.com/maps?q=23.710000,120.531000</t>
  </si>
  <si>
    <t>人文親水公園 斗六市 雲林縣</t>
  </si>
  <si>
    <t>虎尾鎮</t>
  </si>
  <si>
    <t>虎尾頂溪共融公園</t>
  </si>
  <si>
    <t>https://www.google.com/maps/search/?api=1&amp;query=%E8%99%8E%E5%B0%BE%E9%A0%82%E6%BA%AA%E5%85%B1%E8%9E%8D%E5%85%AC%E5%9C%92%20%E8%99%8E%E5%B0%BE%E9%8E%AE%20%E9%9B%B2%E6%9E%97%E7%B8%A3</t>
  </si>
  <si>
    <t>https://www.google.com/maps?q=23.731500,120.403500</t>
  </si>
  <si>
    <t>虎尾頂溪共融公園 虎尾鎮 雲林縣</t>
  </si>
  <si>
    <t>632高地公園</t>
  </si>
  <si>
    <t>https://www.google.com/maps/search/?api=1&amp;query=632%E9%AB%98%E5%9C%B0%E5%85%AC%E5%9C%92%20%E8%99%8E%E5%B0%BE%E9%8E%AE%20%E9%9B%B2%E6%9E%97%E7%B8%A3</t>
  </si>
  <si>
    <t>https://www.google.com/maps?q=23.713000,120.431000</t>
  </si>
  <si>
    <t>632高地公園 虎尾鎮 雲林縣</t>
  </si>
  <si>
    <t>虎尾鐵橋公園</t>
  </si>
  <si>
    <t>https://www.google.com/maps/search/?api=1&amp;query=%E8%99%8E%E5%B0%BE%E9%90%B5%E6%A9%8B%E5%85%AC%E5%9C%92%20%E8%99%8E%E5%B0%BE%E9%8E%AE%20%E9%9B%B2%E6%9E%97%E7%B8%A3</t>
  </si>
  <si>
    <t>https://www.google.com/maps?q=23.709800,120.435000</t>
  </si>
  <si>
    <t>虎尾鐵橋公園 虎尾鎮 雲林縣</t>
  </si>
  <si>
    <t>北港鎮</t>
  </si>
  <si>
    <t>北港運動公園</t>
  </si>
  <si>
    <t>https://www.google.com/maps/search/?api=1&amp;query=%E5%8C%97%E6%B8%AF%E9%81%8B%E5%8B%95%E5%85%AC%E5%9C%92%20%E5%8C%97%E6%B8%AF%E9%8E%AE%20%E9%9B%B2%E6%9E%97%E7%B8%A3</t>
  </si>
  <si>
    <t>https://www.google.com/maps?q=23.569000,120.303500</t>
  </si>
  <si>
    <t>北港運動公園 北港鎮 雲林縣</t>
  </si>
  <si>
    <t>古坑鄉</t>
  </si>
  <si>
    <t>古坑綠色隧道公園</t>
  </si>
  <si>
    <t>https://www.google.com/maps/search/?api=1&amp;query=%E5%8F%A4%E5%9D%91%E7%B6%A0%E8%89%B2%E9%9A%A7%E9%81%93%E5%85%AC%E5%9C%92%20%E5%8F%A4%E5%9D%91%E9%84%89%20%E9%9B%B2%E6%9E%97%E7%B8%A3</t>
  </si>
  <si>
    <t>https://www.google.com/maps?q=23.650300,120.553100</t>
  </si>
  <si>
    <t>古坑綠色隧道公園 古坑鄉 雲林縣</t>
  </si>
  <si>
    <t>虎尾同心公園</t>
  </si>
  <si>
    <t>https://www.google.com/maps/search/?api=1&amp;query=%E8%99%8E%E5%B0%BE%E5%90%8C%E5%BF%83%E5%85%AC%E5%9C%92%20%E8%99%8E%E5%B0%BE%E9%8E%AE%20%E9%9B%B2%E6%9E%97%E7%B8%A3</t>
  </si>
  <si>
    <t>https://www.google.com/maps?q=23.709500,120.428000</t>
  </si>
  <si>
    <t>虎尾同心公園 虎尾鎮 雲林縣</t>
  </si>
  <si>
    <t>嘉義市</t>
  </si>
  <si>
    <t>嘉義公園</t>
  </si>
  <si>
    <t>https://travel.chiayi.gov.tw/</t>
  </si>
  <si>
    <t>https://www.google.com/maps/search/?api=1&amp;query=%E5%98%89%E7%BE%A9%E5%85%AC%E5%9C%92%20%E6%9D%B1%E5%8D%80%20%E5%98%89%E7%BE%A9%E5%B8%82</t>
  </si>
  <si>
    <t>https://www.google.com/maps?q=23.481000,120.469000</t>
  </si>
  <si>
    <t>嘉義公園 東區 嘉義市</t>
  </si>
  <si>
    <t>https://www.google.com/maps/search/?api=1&amp;query=%E6%96%87%E5%8C%96%E5%85%AC%E5%9C%92%20%E6%9D%B1%E5%8D%80%20%E5%98%89%E7%BE%A9%E5%B8%82</t>
  </si>
  <si>
    <t>https://www.google.com/maps?q=23.476000,120.449400</t>
  </si>
  <si>
    <t>文化公園 東區 嘉義市</t>
  </si>
  <si>
    <t>中央廣場</t>
  </si>
  <si>
    <t>https://www.google.com/maps/search/?api=1&amp;query=%E4%B8%AD%E5%A4%AE%E5%BB%A3%E5%A0%B4%20%E6%9D%B1%E5%8D%80%20%E5%98%89%E7%BE%A9%E5%B8%82</t>
  </si>
  <si>
    <t>https://www.google.com/maps?q=23.480600,120.449300</t>
  </si>
  <si>
    <t>中央廣場 東區 嘉義市</t>
  </si>
  <si>
    <t>港坪運動公園</t>
  </si>
  <si>
    <t>https://www.google.com/maps/search/?api=1&amp;query=%E6%B8%AF%E5%9D%AA%E9%81%8B%E5%8B%95%E5%85%AC%E5%9C%92%20%E8%A5%BF%E5%8D%80%20%E5%98%89%E7%BE%A9%E5%B8%82</t>
  </si>
  <si>
    <t>https://www.google.com/maps?q=23.479300,120.420900</t>
  </si>
  <si>
    <t>港坪運動公園 西區 嘉義市</t>
  </si>
  <si>
    <t>北香湖公園</t>
  </si>
  <si>
    <t>https://www.google.com/maps/search/?api=1&amp;query=%E5%8C%97%E9%A6%99%E6%B9%96%E5%85%AC%E5%9C%92%20%E8%A5%BF%E5%8D%80%20%E5%98%89%E7%BE%A9%E5%B8%82</t>
  </si>
  <si>
    <t>https://www.google.com/maps?q=23.495800,120.437800</t>
  </si>
  <si>
    <t>北香湖公園 西區 嘉義市</t>
  </si>
  <si>
    <t>二二八國家紀念公園</t>
  </si>
  <si>
    <t>https://www.google.com/maps/search/?api=1&amp;query=%E4%BA%8C%E4%BA%8C%E5%85%AB%E5%9C%8B%E5%AE%B6%E7%B4%80%E5%BF%B5%E5%85%AC%E5%9C%92%20%E6%9D%B1%E5%8D%80%20%E5%98%89%E7%BE%A9%E5%B8%82</t>
  </si>
  <si>
    <t>https://www.google.com/maps?q=23.462000,120.463500</t>
  </si>
  <si>
    <t>二二八國家紀念公園 東區 嘉義市</t>
  </si>
  <si>
    <t>彌陀路親水公園</t>
  </si>
  <si>
    <t>https://www.google.com/maps/search/?api=1&amp;query=%E5%BD%8C%E9%99%80%E8%B7%AF%E8%A6%AA%E6%B0%B4%E5%85%AC%E5%9C%92%20%E6%9D%B1%E5%8D%80%20%E5%98%89%E7%BE%A9%E5%B8%82</t>
  </si>
  <si>
    <t>https://www.google.com/maps?q=23.468000,120.472500</t>
  </si>
  <si>
    <t>彌陀路親水公園 東區 嘉義市</t>
  </si>
  <si>
    <t>嘉義縣</t>
  </si>
  <si>
    <t>民雄鄉</t>
  </si>
  <si>
    <t>早安公園</t>
  </si>
  <si>
    <t>https://www.tbocc.gov.tw/</t>
  </si>
  <si>
    <t>https://www.google.com/maps/search/?api=1&amp;query=%E6%97%A9%E5%AE%89%E5%85%AC%E5%9C%92%20%E6%B0%91%E9%9B%84%E9%84%89%20%E5%98%89%E7%BE%A9%E7%B8%A3</t>
  </si>
  <si>
    <t>https://www.google.com/maps?q=23.551000,120.429000</t>
  </si>
  <si>
    <t>早安公園 民雄鄉 嘉義縣</t>
  </si>
  <si>
    <t>梅山鄉</t>
  </si>
  <si>
    <t>梅山親子公園</t>
  </si>
  <si>
    <t>https://www.google.com/maps/search/?api=1&amp;query=%E6%A2%85%E5%B1%B1%E8%A6%AA%E5%AD%90%E5%85%AC%E5%9C%92%20%E6%A2%85%E5%B1%B1%E9%84%89%20%E5%98%89%E7%BE%A9%E7%B8%A3</t>
  </si>
  <si>
    <t>https://www.google.com/maps?q=23.582900,120.556000</t>
  </si>
  <si>
    <t>梅山親子公園 梅山鄉 嘉義縣</t>
  </si>
  <si>
    <t>朴子市</t>
  </si>
  <si>
    <t>朴子藝術公園</t>
  </si>
  <si>
    <t>https://www.google.com/maps/search/?api=1&amp;query=%E6%9C%B4%E5%AD%90%E8%97%9D%E8%A1%93%E5%85%AC%E5%9C%92%20%E6%9C%B4%E5%AD%90%E5%B8%82%20%E5%98%89%E7%BE%A9%E7%B8%A3</t>
  </si>
  <si>
    <t>https://www.google.com/maps?q=23.463000,120.248000</t>
  </si>
  <si>
    <t>朴子藝術公園 朴子市 嘉義縣</t>
  </si>
  <si>
    <t>朴子溪親水公園</t>
  </si>
  <si>
    <t>https://www.google.com/maps/search/?api=1&amp;query=%E6%9C%B4%E5%AD%90%E6%BA%AA%E8%A6%AA%E6%B0%B4%E5%85%AC%E5%9C%92%20%E6%9C%B4%E5%AD%90%E5%B8%82%20%E5%98%89%E7%BE%A9%E7%B8%A3</t>
  </si>
  <si>
    <t>https://www.google.com/maps?q=23.458500,120.247000</t>
  </si>
  <si>
    <t>朴子溪親水公園 朴子市 嘉義縣</t>
  </si>
  <si>
    <t>東石鄉</t>
  </si>
  <si>
    <t>東石漁人碼頭親水公園</t>
  </si>
  <si>
    <t>https://www.google.com/maps/search/?api=1&amp;query=%E6%9D%B1%E7%9F%B3%E6%BC%81%E4%BA%BA%E7%A2%BC%E9%A0%AD%E8%A6%AA%E6%B0%B4%E5%85%AC%E5%9C%92%20%E6%9D%B1%E7%9F%B3%E9%84%89%20%E5%98%89%E7%BE%A9%E7%B8%A3</t>
  </si>
  <si>
    <t>https://www.google.com/maps?q=23.452300,120.143800</t>
  </si>
  <si>
    <t>東石漁人碼頭親水公園 東石鄉 嘉義縣</t>
  </si>
  <si>
    <t>大林鎮</t>
  </si>
  <si>
    <t>大林運動公園</t>
  </si>
  <si>
    <t>https://www.google.com/maps/search/?api=1&amp;query=%E5%A4%A7%E6%9E%97%E9%81%8B%E5%8B%95%E5%85%AC%E5%9C%92%20%E5%A4%A7%E6%9E%97%E9%8E%AE%20%E5%98%89%E7%BE%A9%E7%B8%A3</t>
  </si>
  <si>
    <t>https://www.google.com/maps?q=23.603000,120.455000</t>
  </si>
  <si>
    <t>大林運動公園 大林鎮 嘉義縣</t>
  </si>
  <si>
    <t>布袋鎮</t>
  </si>
  <si>
    <t>高跟鞋教堂園區</t>
  </si>
  <si>
    <t>https://www.google.com/maps/search/?api=1&amp;query=%E9%AB%98%E8%B7%9F%E9%9E%8B%E6%95%99%E5%A0%82%E5%9C%92%E5%8D%80%20%E5%B8%83%E8%A2%8B%E9%8E%AE%20%E5%98%89%E7%BE%A9%E7%B8%A3</t>
  </si>
  <si>
    <t>https://www.google.com/maps?q=23.378000,120.148000</t>
  </si>
  <si>
    <t>高跟鞋教堂園區 布袋鎮 嘉義縣</t>
  </si>
  <si>
    <t>臺南市</t>
  </si>
  <si>
    <t>中西區</t>
  </si>
  <si>
    <t>臺南公園</t>
  </si>
  <si>
    <t>https://publicworks.tainan.gov.tw/</t>
  </si>
  <si>
    <t>https://www.google.com/maps/search/?api=1&amp;query=%E8%87%BA%E5%8D%97%E5%85%AC%E5%9C%92%20%E4%B8%AD%E8%A5%BF%E5%8D%80%20%E8%87%BA%E5%8D%97%E5%B8%82</t>
  </si>
  <si>
    <t>https://www.google.com/maps?q=23.003700,120.211000</t>
  </si>
  <si>
    <t>臺南公園 中西區 臺南市</t>
  </si>
  <si>
    <t>巴克禮紀念公園</t>
  </si>
  <si>
    <t>https://www.google.com/maps/search/?api=1&amp;query=%E5%B7%B4%E5%85%8B%E7%A6%AE%E7%B4%80%E5%BF%B5%E5%85%AC%E5%9C%92%20%E6%9D%B1%E5%8D%80%20%E8%87%BA%E5%8D%97%E5%B8%82</t>
  </si>
  <si>
    <t>https://www.google.com/maps?q=22.971000,120.223000</t>
  </si>
  <si>
    <t>巴克禮紀念公園 東區 臺南市</t>
  </si>
  <si>
    <t>平實公園</t>
  </si>
  <si>
    <t>https://www.google.com/maps/search/?api=1&amp;query=%E5%B9%B3%E5%AF%A6%E5%85%AC%E5%9C%92%20%E6%9D%B1%E5%8D%80%20%E8%87%BA%E5%8D%97%E5%B8%82</t>
  </si>
  <si>
    <t>https://www.google.com/maps?q=22.998800,120.226700</t>
  </si>
  <si>
    <t>平實公園 東區 臺南市</t>
  </si>
  <si>
    <t>安平區</t>
  </si>
  <si>
    <t>林默娘公園</t>
  </si>
  <si>
    <t>https://www.google.com/maps/search/?api=1&amp;query=%E6%9E%97%E9%BB%98%E5%A8%98%E5%85%AC%E5%9C%92%20%E5%AE%89%E5%B9%B3%E5%8D%80%20%E8%87%BA%E5%8D%97%E5%B8%82</t>
  </si>
  <si>
    <t>https://www.google.com/maps?q=22.993500,120.158500</t>
  </si>
  <si>
    <t>林默娘公園 安平區 臺南市</t>
  </si>
  <si>
    <t>港濱歷史公園</t>
  </si>
  <si>
    <t>https://www.google.com/maps/search/?api=1&amp;query=%E6%B8%AF%E6%BF%B1%E6%AD%B7%E5%8F%B2%E5%85%AC%E5%9C%92%20%E5%AE%89%E5%B9%B3%E5%8D%80%20%E8%87%BA%E5%8D%97%E5%B8%82</t>
  </si>
  <si>
    <t>https://www.google.com/maps?q=22.994000,120.160000</t>
  </si>
  <si>
    <t>港濱歷史公園 安平區 臺南市</t>
  </si>
  <si>
    <t>億載金城公園</t>
  </si>
  <si>
    <t>https://www.google.com/maps/search/?api=1&amp;query=%E5%84%84%E8%BC%89%E9%87%91%E5%9F%8E%E5%85%AC%E5%9C%92%20%E5%AE%89%E5%B9%B3%E5%8D%80%20%E8%87%BA%E5%8D%97%E5%B8%82</t>
  </si>
  <si>
    <t>https://www.google.com/maps?q=22.988000,120.160700</t>
  </si>
  <si>
    <t>億載金城公園 安平區 臺南市</t>
  </si>
  <si>
    <t>水萍塭公園</t>
  </si>
  <si>
    <t>https://www.google.com/maps/search/?api=1&amp;query=%E6%B0%B4%E8%90%8D%E5%A1%AD%E5%85%AC%E5%9C%92%20%E5%8D%97%E5%8D%80%20%E8%87%BA%E5%8D%97%E5%B8%82</t>
  </si>
  <si>
    <t>https://www.google.com/maps?q=22.985600,120.188700</t>
  </si>
  <si>
    <t>水萍塭公園 南區 臺南市</t>
  </si>
  <si>
    <t>竹溪水岸園區</t>
  </si>
  <si>
    <t>https://www.google.com/maps/search/?api=1&amp;query=%E7%AB%B9%E6%BA%AA%E6%B0%B4%E5%B2%B8%E5%9C%92%E5%8D%80%20%E5%8D%97%E5%8D%80%20%E8%87%BA%E5%8D%97%E5%B8%82</t>
  </si>
  <si>
    <t>https://www.google.com/maps?q=22.975700,120.208500</t>
  </si>
  <si>
    <t>竹溪水岸園區 南區 臺南市</t>
  </si>
  <si>
    <t>新營區</t>
  </si>
  <si>
    <t>南瀛綠都心公園</t>
  </si>
  <si>
    <t>https://www.google.com/maps/search/?api=1&amp;query=%E5%8D%97%E7%80%9B%E7%B6%A0%E9%83%BD%E5%BF%83%E5%85%AC%E5%9C%92%20%E6%96%B0%E7%87%9F%E5%8D%80%20%E8%87%BA%E5%8D%97%E5%B8%82</t>
  </si>
  <si>
    <t>https://www.google.com/maps?q=23.306500,120.316000</t>
  </si>
  <si>
    <t>南瀛綠都心公園 新營區 臺南市</t>
  </si>
  <si>
    <t>天鵝湖公園</t>
  </si>
  <si>
    <t>https://www.google.com/maps/search/?api=1&amp;query=%E5%A4%A9%E9%B5%9D%E6%B9%96%E5%85%AC%E5%9C%92%20%E6%96%B0%E7%87%9F%E5%8D%80%20%E8%87%BA%E5%8D%97%E5%B8%82</t>
  </si>
  <si>
    <t>https://www.google.com/maps?q=23.332000,120.319000</t>
  </si>
  <si>
    <t>天鵝湖公園 新營區 臺南市</t>
  </si>
  <si>
    <t>永康區</t>
  </si>
  <si>
    <t>永康探索教育公園</t>
  </si>
  <si>
    <t>https://www.google.com/maps/search/?api=1&amp;query=%E6%B0%B8%E5%BA%B7%E6%8E%A2%E7%B4%A2%E6%95%99%E8%82%B2%E5%85%AC%E5%9C%92%20%E6%B0%B8%E5%BA%B7%E5%8D%80%20%E8%87%BA%E5%8D%97%E5%B8%82</t>
  </si>
  <si>
    <t>https://www.google.com/maps?q=23.030000,120.253000</t>
  </si>
  <si>
    <t>永康探索教育公園 永康區 臺南市</t>
  </si>
  <si>
    <t>仁德區</t>
  </si>
  <si>
    <t>臺南都會公園</t>
  </si>
  <si>
    <t>https://www.google.com/maps/search/?api=1&amp;query=%E8%87%BA%E5%8D%97%E9%83%BD%E6%9C%83%E5%85%AC%E5%9C%92%20%E4%BB%81%E5%BE%B7%E5%8D%80%20%E8%87%BA%E5%8D%97%E5%B8%82</t>
  </si>
  <si>
    <t>https://www.google.com/maps?q=22.938200,120.224300</t>
  </si>
  <si>
    <t>臺南都會公園 仁德區 臺南市</t>
  </si>
  <si>
    <t>官田區</t>
  </si>
  <si>
    <t>葫蘆埤自然公園</t>
  </si>
  <si>
    <t>https://www.google.com/maps/search/?api=1&amp;query=%E8%91%AB%E8%98%86%E5%9F%A4%E8%87%AA%E7%84%B6%E5%85%AC%E5%9C%92%20%E5%AE%98%E7%94%B0%E5%8D%80%20%E8%87%BA%E5%8D%97%E5%B8%82</t>
  </si>
  <si>
    <t>https://www.google.com/maps?q=23.194600,120.322000</t>
  </si>
  <si>
    <t>葫蘆埤自然公園 官田區 臺南市</t>
  </si>
  <si>
    <t>新化區</t>
  </si>
  <si>
    <t>虎頭埤風景區</t>
  </si>
  <si>
    <t>https://www.google.com/maps/search/?api=1&amp;query=%E8%99%8E%E9%A0%AD%E5%9F%A4%E9%A2%A8%E6%99%AF%E5%8D%80%20%E6%96%B0%E5%8C%96%E5%8D%80%20%E8%87%BA%E5%8D%97%E5%B8%82</t>
  </si>
  <si>
    <t>https://www.google.com/maps?q=23.026800,120.343000</t>
  </si>
  <si>
    <t>虎頭埤風景區 新化區 臺南市</t>
  </si>
  <si>
    <t>水交社文化園區</t>
  </si>
  <si>
    <t>https://www.google.com/maps/search/?api=1&amp;query=%E6%B0%B4%E4%BA%A4%E7%A4%BE%E6%96%87%E5%8C%96%E5%9C%92%E5%8D%80%20%E5%8D%97%E5%8D%80%20%E8%87%BA%E5%8D%97%E5%B8%82</t>
  </si>
  <si>
    <t>https://www.google.com/maps?q=22.980200,120.197500</t>
  </si>
  <si>
    <t>水交社文化園區 南區 臺南市</t>
  </si>
  <si>
    <t>高雄市</t>
  </si>
  <si>
    <t>新興區</t>
  </si>
  <si>
    <t>https://pwbpo.kcg.gov.tw/</t>
  </si>
  <si>
    <t>https://www.google.com/maps/search/?api=1&amp;query=%E4%B8%AD%E5%A4%AE%E5%85%AC%E5%9C%92%20%E6%96%B0%E8%88%88%E5%8D%80%20%E9%AB%98%E9%9B%84%E5%B8%82</t>
  </si>
  <si>
    <t>https://www.google.com/maps?q=22.623000,120.300000</t>
  </si>
  <si>
    <t>中央公園 新興區 高雄市</t>
  </si>
  <si>
    <t>鼓山區</t>
  </si>
  <si>
    <t>凹子底森林公園</t>
  </si>
  <si>
    <t>https://www.google.com/maps/search/?api=1&amp;query=%E5%87%B9%E5%AD%90%E5%BA%95%E6%A3%AE%E6%9E%97%E5%85%AC%E5%9C%92%20%E9%BC%93%E5%B1%B1%E5%8D%80%20%E9%AB%98%E9%9B%84%E5%B8%82</t>
  </si>
  <si>
    <t>https://www.google.com/maps?q=22.657900,120.301800</t>
  </si>
  <si>
    <t>凹子底森林公園 鼓山區 高雄市</t>
  </si>
  <si>
    <t>楠梓區</t>
  </si>
  <si>
    <t>高雄都會公園</t>
  </si>
  <si>
    <t>https://www.google.com/maps/search/?api=1&amp;query=%E9%AB%98%E9%9B%84%E9%83%BD%E6%9C%83%E5%85%AC%E5%9C%92%20%E6%A5%A0%E6%A2%93%E5%8D%80%20%E9%AB%98%E9%9B%84%E5%B8%82</t>
  </si>
  <si>
    <t>https://www.google.com/maps?q=22.727100,120.315500</t>
  </si>
  <si>
    <t>高雄都會公園 楠梓區 高雄市</t>
  </si>
  <si>
    <t>鳳山區</t>
  </si>
  <si>
    <t>衛武營都會公園</t>
  </si>
  <si>
    <t>https://www.google.com/maps/search/?api=1&amp;query=%E8%A1%9B%E6%AD%A6%E7%87%9F%E9%83%BD%E6%9C%83%E5%85%AC%E5%9C%92%20%E9%B3%B3%E5%B1%B1%E5%8D%80%20%E9%AB%98%E9%9B%84%E5%B8%82</t>
  </si>
  <si>
    <t>https://www.google.com/maps?q=22.625300,120.340000</t>
  </si>
  <si>
    <t>衛武營都會公園 鳳山區 高雄市</t>
  </si>
  <si>
    <t>內惟埤文化園區</t>
  </si>
  <si>
    <t>https://www.google.com/maps/search/?api=1&amp;query=%E5%85%A7%E6%83%9F%E5%9F%A4%E6%96%87%E5%8C%96%E5%9C%92%E5%8D%80%20%E9%BC%93%E5%B1%B1%E5%8D%80%20%E9%AB%98%E9%9B%84%E5%B8%82</t>
  </si>
  <si>
    <t>https://www.google.com/maps?q=22.656300,120.286000</t>
  </si>
  <si>
    <t>內惟埤文化園區 鼓山區 高雄市</t>
  </si>
  <si>
    <t>大東公園</t>
  </si>
  <si>
    <t>https://www.google.com/maps/search/?api=1&amp;query=%E5%A4%A7%E6%9D%B1%E5%85%AC%E5%9C%92%20%E9%B3%B3%E5%B1%B1%E5%8D%80%20%E9%AB%98%E9%9B%84%E5%B8%82</t>
  </si>
  <si>
    <t>https://www.google.com/maps?q=22.625400,120.357000</t>
  </si>
  <si>
    <t>大東公園 鳳山區 高雄市</t>
  </si>
  <si>
    <t>左營區</t>
  </si>
  <si>
    <t>原生植物園</t>
  </si>
  <si>
    <t>https://www.google.com/maps/search/?api=1&amp;query=%E5%8E%9F%E7%94%9F%E6%A4%8D%E7%89%A9%E5%9C%92%20%E5%B7%A6%E7%87%9F%E5%8D%80%20%E9%AB%98%E9%9B%84%E5%B8%82</t>
  </si>
  <si>
    <t>https://www.google.com/maps?q=22.681100,120.301200</t>
  </si>
  <si>
    <t>原生植物園 左營區 高雄市</t>
  </si>
  <si>
    <t>蓮池潭風景區公園帶</t>
  </si>
  <si>
    <t>https://www.google.com/maps/search/?api=1&amp;query=%E8%93%AE%E6%B1%A0%E6%BD%AD%E9%A2%A8%E6%99%AF%E5%8D%80%E5%85%AC%E5%9C%92%E5%B8%B6%20%E5%B7%A6%E7%87%9F%E5%8D%80%20%E9%AB%98%E9%9B%84%E5%B8%82</t>
  </si>
  <si>
    <t>https://www.google.com/maps?q=22.681800,120.294500</t>
  </si>
  <si>
    <t>蓮池潭風景區公園帶 左營區 高雄市</t>
  </si>
  <si>
    <t>前鎮區</t>
  </si>
  <si>
    <t>時代公園</t>
  </si>
  <si>
    <t>https://www.google.com/maps/search/?api=1&amp;query=%E6%99%82%E4%BB%A3%E5%85%AC%E5%9C%92%20%E5%89%8D%E9%8E%AE%E5%8D%80%20%E9%AB%98%E9%9B%84%E5%B8%82</t>
  </si>
  <si>
    <t>https://www.google.com/maps?q=22.595000,120.306800</t>
  </si>
  <si>
    <t>時代公園 前鎮區 高雄市</t>
  </si>
  <si>
    <t>籬仔內公園</t>
  </si>
  <si>
    <t>https://www.google.com/maps/search/?api=1&amp;query=%E7%B1%AC%E4%BB%94%E5%85%A7%E5%85%AC%E5%9C%92%20%E5%89%8D%E9%8E%AE%E5%8D%80%20%E9%AB%98%E9%9B%84%E5%B8%82</t>
  </si>
  <si>
    <t>https://www.google.com/maps?q=22.604700,120.326500</t>
  </si>
  <si>
    <t>籬仔內公園 前鎮區 高雄市</t>
  </si>
  <si>
    <t>三民區</t>
  </si>
  <si>
    <t>中都濕地公園</t>
  </si>
  <si>
    <t>https://www.google.com/maps/search/?api=1&amp;query=%E4%B8%AD%E9%83%BD%E6%BF%95%E5%9C%B0%E5%85%AC%E5%9C%92%20%E4%B8%89%E6%B0%91%E5%8D%80%20%E9%AB%98%E9%9B%84%E5%B8%82</t>
  </si>
  <si>
    <t>https://www.google.com/maps?q=22.648600,120.282500</t>
  </si>
  <si>
    <t>中都濕地公園 三民區 高雄市</t>
  </si>
  <si>
    <t>洲仔濕地公園</t>
  </si>
  <si>
    <t>https://www.google.com/maps/search/?api=1&amp;query=%E6%B4%B2%E4%BB%94%E6%BF%95%E5%9C%B0%E5%85%AC%E5%9C%92%20%E5%B7%A6%E7%87%9F%E5%8D%80%20%E9%AB%98%E9%9B%84%E5%B8%82</t>
  </si>
  <si>
    <t>https://www.google.com/maps?q=22.681600,120.299700</t>
  </si>
  <si>
    <t>洲仔濕地公園 左營區 高雄市</t>
  </si>
  <si>
    <t>右昌森林公園</t>
  </si>
  <si>
    <t>https://www.google.com/maps/search/?api=1&amp;query=%E5%8F%B3%E6%98%8C%E6%A3%AE%E6%9E%97%E5%85%AC%E5%9C%92%20%E6%A5%A0%E6%A2%93%E5%8D%80%20%E9%AB%98%E9%9B%84%E5%B8%82</t>
  </si>
  <si>
    <t>https://www.google.com/maps?q=22.718200,120.288500</t>
  </si>
  <si>
    <t>右昌森林公園 楠梓區 高雄市</t>
  </si>
  <si>
    <t>仁武區</t>
  </si>
  <si>
    <t>八卦休閒公園</t>
  </si>
  <si>
    <t>https://www.google.com/maps/search/?api=1&amp;query=%E5%85%AB%E5%8D%A6%E4%BC%91%E9%96%92%E5%85%AC%E5%9C%92%20%E4%BB%81%E6%AD%A6%E5%8D%80%20%E9%AB%98%E9%9B%84%E5%B8%82</t>
  </si>
  <si>
    <t>https://www.google.com/maps?q=22.685300,120.343500</t>
  </si>
  <si>
    <t>八卦休閒公園 仁武區 高雄市</t>
  </si>
  <si>
    <t>岡山區</t>
  </si>
  <si>
    <t>岡山河堤公園</t>
  </si>
  <si>
    <t>https://www.google.com/maps/search/?api=1&amp;query=%E5%B2%A1%E5%B1%B1%E6%B2%B3%E5%A0%A4%E5%85%AC%E5%9C%92%20%E5%B2%A1%E5%B1%B1%E5%8D%80%20%E9%AB%98%E9%9B%84%E5%B8%82</t>
  </si>
  <si>
    <t>https://www.google.com/maps?q=22.794000,120.291000</t>
  </si>
  <si>
    <t>岡山河堤公園 岡山區 高雄市</t>
  </si>
  <si>
    <t>茄萣區</t>
  </si>
  <si>
    <t>興達港情人碼頭公園</t>
  </si>
  <si>
    <t>https://www.google.com/maps/search/?api=1&amp;query=%E8%88%88%E9%81%94%E6%B8%AF%E6%83%85%E4%BA%BA%E7%A2%BC%E9%A0%AD%E5%85%AC%E5%9C%92%20%E8%8C%84%E8%90%A3%E5%8D%80%20%E9%AB%98%E9%9B%84%E5%B8%82</t>
  </si>
  <si>
    <t>https://www.google.com/maps?q=22.872600,120.205500</t>
  </si>
  <si>
    <t>興達港情人碼頭公園 茄萣區 高雄市</t>
  </si>
  <si>
    <t>彌陀區</t>
  </si>
  <si>
    <t>漯底山自然公園</t>
  </si>
  <si>
    <t>https://www.google.com/maps/search/?api=1&amp;query=%E6%BC%AF%E5%BA%95%E5%B1%B1%E8%87%AA%E7%84%B6%E5%85%AC%E5%9C%92%20%E5%BD%8C%E9%99%80%E5%8D%80%20%E9%AB%98%E9%9B%84%E5%B8%82</t>
  </si>
  <si>
    <t>https://www.google.com/maps?q=22.785800,120.244000</t>
  </si>
  <si>
    <t>漯底山自然公園 彌陀區 高雄市</t>
  </si>
  <si>
    <t>旗津區</t>
  </si>
  <si>
    <t>旗津海岸公園</t>
  </si>
  <si>
    <t>https://www.google.com/maps/search/?api=1&amp;query=%E6%97%97%E6%B4%A5%E6%B5%B7%E5%B2%B8%E5%85%AC%E5%9C%92%20%E6%97%97%E6%B4%A5%E5%8D%80%20%E9%AB%98%E9%9B%84%E5%B8%82</t>
  </si>
  <si>
    <t>https://www.google.com/maps?q=22.611500,120.264000</t>
  </si>
  <si>
    <t>旗津海岸公園 旗津區 高雄市</t>
  </si>
  <si>
    <t>大樹區</t>
  </si>
  <si>
    <t>舊鐵橋濕地生態公園</t>
  </si>
  <si>
    <t>https://www.google.com/maps/search/?api=1&amp;query=%E8%88%8A%E9%90%B5%E6%A9%8B%E6%BF%95%E5%9C%B0%E7%94%9F%E6%85%8B%E5%85%AC%E5%9C%92%20%E5%A4%A7%E6%A8%B9%E5%8D%80%20%E9%AB%98%E9%9B%84%E5%B8%82</t>
  </si>
  <si>
    <t>https://www.google.com/maps?q=22.668700,120.423300</t>
  </si>
  <si>
    <t>舊鐵橋濕地生態公園 大樹區 高雄市</t>
  </si>
  <si>
    <t>鳥松區</t>
  </si>
  <si>
    <t>澄清湖風景區</t>
  </si>
  <si>
    <t>https://www.google.com/maps/search/?api=1&amp;query=%E6%BE%84%E6%B8%85%E6%B9%96%E9%A2%A8%E6%99%AF%E5%8D%80%20%E9%B3%A5%E6%9D%BE%E5%8D%80%20%E9%AB%98%E9%9B%84%E5%B8%82</t>
  </si>
  <si>
    <t>https://www.google.com/maps?q=22.656700,120.349000</t>
  </si>
  <si>
    <t>澄清湖風景區 鳥松區 高雄市</t>
  </si>
  <si>
    <t>屏東縣</t>
  </si>
  <si>
    <t>屏東市</t>
  </si>
  <si>
    <t>屏東公園</t>
  </si>
  <si>
    <t>https://www.i-pingtung.com/</t>
  </si>
  <si>
    <t>https://www.google.com/maps/search/?api=1&amp;query=%E5%B1%8F%E6%9D%B1%E5%85%AC%E5%9C%92%20%E5%B1%8F%E6%9D%B1%E5%B8%82%20%E5%B1%8F%E6%9D%B1%E7%B8%A3</t>
  </si>
  <si>
    <t>https://www.google.com/maps?q=22.672500,120.489500</t>
  </si>
  <si>
    <t>屏東公園 屏東市 屏東縣</t>
  </si>
  <si>
    <t>縣民公園</t>
  </si>
  <si>
    <t>https://www.google.com/maps/search/?api=1&amp;query=%E7%B8%A3%E6%B0%91%E5%85%AC%E5%9C%92%20%E5%B1%8F%E6%9D%B1%E5%B8%82%20%E5%B1%8F%E6%9D%B1%E7%B8%A3</t>
  </si>
  <si>
    <t>https://www.google.com/maps?q=22.654000,120.474000</t>
  </si>
  <si>
    <t>縣民公園 屏東市 屏東縣</t>
  </si>
  <si>
    <t>復興公園</t>
  </si>
  <si>
    <t>https://www.google.com/maps/search/?api=1&amp;query=%E5%BE%A9%E8%88%88%E5%85%AC%E5%9C%92%20%E5%B1%8F%E6%9D%B1%E5%B8%82%20%E5%B1%8F%E6%9D%B1%E7%B8%A3</t>
  </si>
  <si>
    <t>https://www.google.com/maps?q=22.667000,120.483500</t>
  </si>
  <si>
    <t>復興公園 屏東市 屏東縣</t>
  </si>
  <si>
    <t>潮州鎮</t>
  </si>
  <si>
    <t>潮州運動公園</t>
  </si>
  <si>
    <t>https://www.google.com/maps/search/?api=1&amp;query=%E6%BD%AE%E5%B7%9E%E9%81%8B%E5%8B%95%E5%85%AC%E5%9C%92%20%E6%BD%AE%E5%B7%9E%E9%8E%AE%20%E5%B1%8F%E6%9D%B1%E7%B8%A3</t>
  </si>
  <si>
    <t>https://www.google.com/maps?q=22.548000,120.536000</t>
  </si>
  <si>
    <t>潮州運動公園 潮州鎮 屏東縣</t>
  </si>
  <si>
    <t>林後四林平地森林園區</t>
  </si>
  <si>
    <t>https://www.google.com/maps/search/?api=1&amp;query=%E6%9E%97%E5%BE%8C%E5%9B%9B%E6%9E%97%E5%B9%B3%E5%9C%B0%E6%A3%AE%E6%9E%97%E5%9C%92%E5%8D%80%20%E6%BD%AE%E5%B7%9E%E9%8E%AE%20%E5%B1%8F%E6%9D%B1%E7%B8%A3</t>
  </si>
  <si>
    <t>https://www.google.com/maps?q=22.584500,120.609300</t>
  </si>
  <si>
    <t>林後四林平地森林園區 潮州鎮 屏東縣</t>
  </si>
  <si>
    <t>東港鎮</t>
  </si>
  <si>
    <t>大鵬灣濱灣公園</t>
  </si>
  <si>
    <t>https://www.google.com/maps/search/?api=1&amp;query=%E5%A4%A7%E9%B5%AC%E7%81%A3%E6%BF%B1%E7%81%A3%E5%85%AC%E5%9C%92%20%E6%9D%B1%E6%B8%AF%E9%8E%AE%20%E5%B1%8F%E6%9D%B1%E7%B8%A3</t>
  </si>
  <si>
    <t>https://www.google.com/maps?q=22.451400,120.489700</t>
  </si>
  <si>
    <t>大鵬灣濱灣公園 東港鎮 屏東縣</t>
  </si>
  <si>
    <t>恆春鎮</t>
  </si>
  <si>
    <t>猴洞山公園</t>
  </si>
  <si>
    <t>https://www.google.com/maps/search/?api=1&amp;query=%E7%8C%B4%E6%B4%9E%E5%B1%B1%E5%85%AC%E5%9C%92%20%E6%81%86%E6%98%A5%E9%8E%AE%20%E5%B1%8F%E6%9D%B1%E7%B8%A3</t>
  </si>
  <si>
    <t>https://www.google.com/maps?q=22.004500,120.744300</t>
  </si>
  <si>
    <t>猴洞山公園 恆春鎮 屏東縣</t>
  </si>
  <si>
    <t>內埔鄉</t>
  </si>
  <si>
    <t>六堆客家文化園區</t>
  </si>
  <si>
    <t>https://www.google.com/maps/search/?api=1&amp;query=%E5%85%AD%E5%A0%86%E5%AE%A2%E5%AE%B6%E6%96%87%E5%8C%96%E5%9C%92%E5%8D%80%20%E5%85%A7%E5%9F%94%E9%84%89%20%E5%B1%8F%E6%9D%B1%E7%B8%A3</t>
  </si>
  <si>
    <t>https://www.google.com/maps?q=22.660400,120.586300</t>
  </si>
  <si>
    <t>六堆客家文化園區 內埔鄉 屏東縣</t>
  </si>
  <si>
    <t>萬丹鄉</t>
  </si>
  <si>
    <t>萬丹公園</t>
  </si>
  <si>
    <t>https://www.google.com/maps/search/?api=1&amp;query=%E8%90%AC%E4%B8%B9%E5%85%AC%E5%9C%92%20%E8%90%AC%E4%B8%B9%E9%84%89%20%E5%B1%8F%E6%9D%B1%E7%B8%A3</t>
  </si>
  <si>
    <t>https://www.google.com/maps?q=22.588300,120.489000</t>
  </si>
  <si>
    <t>萬丹公園 萬丹鄉 屏東縣</t>
  </si>
  <si>
    <t>宜蘭縣</t>
  </si>
  <si>
    <t>宜蘭市</t>
  </si>
  <si>
    <t>宜蘭運動公園</t>
  </si>
  <si>
    <t>https://travel.yilan.tw/</t>
  </si>
  <si>
    <t>https://www.google.com/maps/search/?api=1&amp;query=%E5%AE%9C%E8%98%AD%E9%81%8B%E5%8B%95%E5%85%AC%E5%9C%92%20%E5%AE%9C%E8%98%AD%E5%B8%82%20%E5%AE%9C%E8%98%AD%E7%B8%A3</t>
  </si>
  <si>
    <t>https://www.google.com/maps?q=24.744500,121.756600</t>
  </si>
  <si>
    <t>宜蘭運動公園 宜蘭市 宜蘭縣</t>
  </si>
  <si>
    <t>宜蘭河濱公園</t>
  </si>
  <si>
    <t>https://www.google.com/maps/search/?api=1&amp;query=%E5%AE%9C%E8%98%AD%E6%B2%B3%E6%BF%B1%E5%85%AC%E5%9C%92%20%E5%AE%9C%E8%98%AD%E5%B8%82%20%E5%AE%9C%E8%98%AD%E7%B8%A3</t>
  </si>
  <si>
    <t>https://www.google.com/maps?q=24.763000,121.759000</t>
  </si>
  <si>
    <t>宜蘭河濱公園 宜蘭市 宜蘭縣</t>
  </si>
  <si>
    <t>幾米公園</t>
  </si>
  <si>
    <t>https://www.google.com/maps/search/?api=1&amp;query=%E5%B9%BE%E7%B1%B3%E5%85%AC%E5%9C%92%20%E5%AE%9C%E8%98%AD%E5%B8%82%20%E5%AE%9C%E8%98%AD%E7%B8%A3</t>
  </si>
  <si>
    <t>https://www.google.com/maps?q=24.752500,121.758000</t>
  </si>
  <si>
    <t>幾米公園 宜蘭市 宜蘭縣</t>
  </si>
  <si>
    <t>https://www.google.com/maps/search/?api=1&amp;query=%E9%99%BD%E6%98%8E%E5%85%AC%E5%9C%92%20%E5%AE%9C%E8%98%AD%E5%B8%82%20%E5%AE%9C%E8%98%AD%E7%B8%A3</t>
  </si>
  <si>
    <t>https://www.google.com/maps?q=24.750000,121.746000</t>
  </si>
  <si>
    <t>陽明公園 宜蘭市 宜蘭縣</t>
  </si>
  <si>
    <t>羅東鎮</t>
  </si>
  <si>
    <t>羅東運動公園</t>
  </si>
  <si>
    <t>https://www.google.com/maps/search/?api=1&amp;query=%E7%BE%85%E6%9D%B1%E9%81%8B%E5%8B%95%E5%85%AC%E5%9C%92%20%E7%BE%85%E6%9D%B1%E9%8E%AE%20%E5%AE%9C%E8%98%AD%E7%B8%A3</t>
  </si>
  <si>
    <t>https://www.google.com/maps?q=24.683000,121.754000</t>
  </si>
  <si>
    <t>羅東運動公園 羅東鎮 宜蘭縣</t>
  </si>
  <si>
    <t>九號公園全齡共融遊戲場</t>
  </si>
  <si>
    <t>https://www.google.com/maps/search/?api=1&amp;query=%E4%B9%9D%E8%99%9F%E5%85%AC%E5%9C%92%E5%85%A8%E9%BD%A1%E5%85%B1%E8%9E%8D%E9%81%8A%E6%88%B2%E5%A0%B4%20%E7%BE%85%E6%9D%B1%E9%8E%AE%20%E5%AE%9C%E8%98%AD%E7%B8%A3</t>
  </si>
  <si>
    <t>https://www.google.com/maps?q=24.680500,121.765000</t>
  </si>
  <si>
    <t>九號公園全齡共融遊戲場 羅東鎮 宜蘭縣</t>
  </si>
  <si>
    <t>冬山鄉</t>
  </si>
  <si>
    <t>冬山河親水公園</t>
  </si>
  <si>
    <t>https://www.google.com/maps/search/?api=1&amp;query=%E5%86%AC%E5%B1%B1%E6%B2%B3%E8%A6%AA%E6%B0%B4%E5%85%AC%E5%9C%92%20%E5%86%AC%E5%B1%B1%E9%84%89%20%E5%AE%9C%E8%98%AD%E7%B8%A3</t>
  </si>
  <si>
    <t>https://www.google.com/maps?q=24.674400,121.812500</t>
  </si>
  <si>
    <t>冬山河親水公園 冬山鄉 宜蘭縣</t>
  </si>
  <si>
    <t>冬山生態綠舟</t>
  </si>
  <si>
    <t>https://www.google.com/maps/search/?api=1&amp;query=%E5%86%AC%E5%B1%B1%E7%94%9F%E6%85%8B%E7%B6%A0%E8%88%9F%20%E5%86%AC%E5%B1%B1%E9%84%89%20%E5%AE%9C%E8%98%AD%E7%B8%A3</t>
  </si>
  <si>
    <t>https://www.google.com/maps?q=24.632500,121.792800</t>
  </si>
  <si>
    <t>冬山生態綠舟 冬山鄉 宜蘭縣</t>
  </si>
  <si>
    <t>蘇澳鎮</t>
  </si>
  <si>
    <t>武荖坑風景區</t>
  </si>
  <si>
    <t>https://www.google.com/maps/search/?api=1&amp;query=%E6%AD%A6%E8%8D%96%E5%9D%91%E9%A2%A8%E6%99%AF%E5%8D%80%20%E8%98%87%E6%BE%B3%E9%8E%AE%20%E5%AE%9C%E8%98%AD%E7%B8%A3</t>
  </si>
  <si>
    <t>https://www.google.com/maps?q=24.614800,121.732400</t>
  </si>
  <si>
    <t>武荖坑風景區 蘇澳鎮 宜蘭縣</t>
  </si>
  <si>
    <t>礁溪鄉</t>
  </si>
  <si>
    <t>礁溪溫泉公園</t>
  </si>
  <si>
    <t>https://www.google.com/maps/search/?api=1&amp;query=%E7%A4%81%E6%BA%AA%E6%BA%AB%E6%B3%89%E5%85%AC%E5%9C%92%20%E7%A4%81%E6%BA%AA%E9%84%89%20%E5%AE%9C%E8%98%AD%E7%B8%A3</t>
  </si>
  <si>
    <t>https://www.google.com/maps?q=24.831700,121.774000</t>
  </si>
  <si>
    <t>礁溪溫泉公園 礁溪鄉 宜蘭縣</t>
  </si>
  <si>
    <t>湯圍溝溫泉公園</t>
  </si>
  <si>
    <t>https://www.google.com/maps/search/?api=1&amp;query=%E6%B9%AF%E5%9C%8D%E6%BA%9D%E6%BA%AB%E6%B3%89%E5%85%AC%E5%9C%92%20%E7%A4%81%E6%BA%AA%E9%84%89%20%E5%AE%9C%E8%98%AD%E7%B8%A3</t>
  </si>
  <si>
    <t>https://www.google.com/maps?q=24.827200,121.772500</t>
  </si>
  <si>
    <t>湯圍溝溫泉公園 礁溪鄉 宜蘭縣</t>
  </si>
  <si>
    <t>花蓮縣</t>
  </si>
  <si>
    <t>花蓮市</t>
  </si>
  <si>
    <t>太平洋公園（南濱／北濱）</t>
  </si>
  <si>
    <t>https://culture-tourism.hualien.gov.tw/</t>
  </si>
  <si>
    <t>https://www.google.com/maps/search/?api=1&amp;query=%E5%A4%AA%E5%B9%B3%E6%B4%8B%E5%85%AC%E5%9C%92%EF%BC%88%E5%8D%97%E6%BF%B1%EF%BC%8F%E5%8C%97%E6%BF%B1%EF%BC%89%20%E8%8A%B1%E8%93%AE%E5%B8%82%20%E8%8A%B1%E8%93%AE%E7%B8%A3</t>
  </si>
  <si>
    <t>https://www.google.com/maps?q=23.966388,121.609160</t>
  </si>
  <si>
    <t>太平洋公園（南濱／北濱） 花蓮市 花蓮縣</t>
  </si>
  <si>
    <t>美崙山公園</t>
  </si>
  <si>
    <t>https://www.google.com/maps/search/?api=1&amp;query=%E7%BE%8E%E5%B4%99%E5%B1%B1%E5%85%AC%E5%9C%92%20%E8%8A%B1%E8%93%AE%E5%B8%82%20%E8%8A%B1%E8%93%AE%E7%B8%A3</t>
  </si>
  <si>
    <t>https://www.google.com/maps?q=23.991514,121.614320</t>
  </si>
  <si>
    <t>美崙山公園 花蓮市 花蓮縣</t>
  </si>
  <si>
    <t>吉安鄉</t>
  </si>
  <si>
    <t>知卡宣森林公園</t>
  </si>
  <si>
    <t>https://www.google.com/maps/search/?api=1&amp;query=%E7%9F%A5%E5%8D%A1%E5%AE%A3%E6%A3%AE%E6%9E%97%E5%85%AC%E5%9C%92%20%E5%90%89%E5%AE%89%E9%84%89%20%E8%8A%B1%E8%93%AE%E7%B8%A3</t>
  </si>
  <si>
    <t>https://www.google.com/maps?q=23.946300,121.575500</t>
  </si>
  <si>
    <t>知卡宣森林公園 吉安鄉 花蓮縣</t>
  </si>
  <si>
    <t>德興運動公園</t>
  </si>
  <si>
    <t>https://www.google.com/maps/search/?api=1&amp;query=%E5%BE%B7%E8%88%88%E9%81%8B%E5%8B%95%E5%85%AC%E5%9C%92%20%E8%8A%B1%E8%93%AE%E5%B8%82%20%E8%8A%B1%E8%93%AE%E7%B8%A3</t>
  </si>
  <si>
    <t>https://www.google.com/maps?q=24.003500,121.591000</t>
  </si>
  <si>
    <t>德興運動公園 花蓮市 花蓮縣</t>
  </si>
  <si>
    <t>新城鄉</t>
  </si>
  <si>
    <t>七星潭海濱公園</t>
  </si>
  <si>
    <t>https://www.google.com/maps/search/?api=1&amp;query=%E4%B8%83%E6%98%9F%E6%BD%AD%E6%B5%B7%E6%BF%B1%E5%85%AC%E5%9C%92%20%E6%96%B0%E5%9F%8E%E9%84%89%20%E8%8A%B1%E8%93%AE%E7%B8%A3</t>
  </si>
  <si>
    <t>https://www.google.com/maps?q=24.031426,121.627170</t>
  </si>
  <si>
    <t>七星潭海濱公園 新城鄉 花蓮縣</t>
  </si>
  <si>
    <t>壽豐鄉</t>
  </si>
  <si>
    <t>鯉魚潭風景區公園帶</t>
  </si>
  <si>
    <t>https://www.google.com/maps/search/?api=1&amp;query=%E9%AF%89%E9%AD%9A%E6%BD%AD%E9%A2%A8%E6%99%AF%E5%8D%80%E5%85%AC%E5%9C%92%E5%B8%B6%20%E5%A3%BD%E8%B1%90%E9%84%89%20%E8%8A%B1%E8%93%AE%E7%B8%A3</t>
  </si>
  <si>
    <t>https://www.google.com/maps?q=23.927826,121.509870</t>
  </si>
  <si>
    <t>鯉魚潭風景區公園帶 壽豐鄉 花蓮縣</t>
  </si>
  <si>
    <t>瑞穗鄉</t>
  </si>
  <si>
    <t>瑞穗運動公園</t>
  </si>
  <si>
    <t>https://www.google.com/maps/search/?api=1&amp;query=%E7%91%9E%E7%A9%97%E9%81%8B%E5%8B%95%E5%85%AC%E5%9C%92%20%E7%91%9E%E7%A9%97%E9%84%89%20%E8%8A%B1%E8%93%AE%E7%B8%A3</t>
  </si>
  <si>
    <t>https://www.google.com/maps?q=23.496000,121.376500</t>
  </si>
  <si>
    <t>瑞穗運動公園 瑞穗鄉 花蓮縣</t>
  </si>
  <si>
    <t>玉里鎮</t>
  </si>
  <si>
    <t>玉里運動公園</t>
  </si>
  <si>
    <t>https://www.google.com/maps/search/?api=1&amp;query=%E7%8E%89%E9%87%8C%E9%81%8B%E5%8B%95%E5%85%AC%E5%9C%92%20%E7%8E%89%E9%87%8C%E9%8E%AE%20%E8%8A%B1%E8%93%AE%E7%B8%A3</t>
  </si>
  <si>
    <t>https://www.google.com/maps?q=23.330500,121.313500</t>
  </si>
  <si>
    <t>玉里運動公園 玉里鎮 花蓮縣</t>
  </si>
  <si>
    <t>臺東縣</t>
  </si>
  <si>
    <t>臺東市</t>
  </si>
  <si>
    <t>臺東森林公園</t>
  </si>
  <si>
    <t>https://tour.taitung.gov.tw/</t>
  </si>
  <si>
    <t>https://www.google.com/maps/search/?api=1&amp;query=%E8%87%BA%E6%9D%B1%E6%A3%AE%E6%9E%97%E5%85%AC%E5%9C%92%20%E8%87%BA%E6%9D%B1%E5%B8%82%20%E8%87%BA%E6%9D%B1%E7%B8%A3</t>
  </si>
  <si>
    <t>https://www.google.com/maps?q=22.768175,121.156250</t>
  </si>
  <si>
    <t>臺東森林公園 臺東市 臺東縣</t>
  </si>
  <si>
    <t>臺東海濱公園</t>
  </si>
  <si>
    <t>https://www.google.com/maps/search/?api=1&amp;query=%E8%87%BA%E6%9D%B1%E6%B5%B7%E6%BF%B1%E5%85%AC%E5%9C%92%20%E8%87%BA%E6%9D%B1%E5%B8%82%20%E8%87%BA%E6%9D%B1%E7%B8%A3</t>
  </si>
  <si>
    <t>https://www.google.com/maps?q=22.755000,121.167500</t>
  </si>
  <si>
    <t>臺東海濱公園 臺東市 臺東縣</t>
  </si>
  <si>
    <t>鯉魚山公園</t>
  </si>
  <si>
    <t>https://www.google.com/maps/search/?api=1&amp;query=%E9%AF%89%E9%AD%9A%E5%B1%B1%E5%85%AC%E5%9C%92%20%E8%87%BA%E6%9D%B1%E5%B8%82%20%E8%87%BA%E6%9D%B1%E7%B8%A3</t>
  </si>
  <si>
    <t>https://www.google.com/maps?q=22.755565,121.142420</t>
  </si>
  <si>
    <t>鯉魚山公園 臺東市 臺東縣</t>
  </si>
  <si>
    <t>卑南文化公園</t>
  </si>
  <si>
    <t>https://www.google.com/maps/search/?api=1&amp;query=%E5%8D%91%E5%8D%97%E6%96%87%E5%8C%96%E5%85%AC%E5%9C%92%20%E8%87%BA%E6%9D%B1%E5%B8%82%20%E8%87%BA%E6%9D%B1%E7%B8%A3</t>
  </si>
  <si>
    <t>https://www.google.com/maps?q=22.792165,121.115930</t>
  </si>
  <si>
    <t>卑南文化公園 臺東市 臺東縣</t>
  </si>
  <si>
    <t>關山鎮</t>
  </si>
  <si>
    <t>關山親水公園</t>
  </si>
  <si>
    <t>https://www.google.com/maps/search/?api=1&amp;query=%E9%97%9C%E5%B1%B1%E8%A6%AA%E6%B0%B4%E5%85%AC%E5%9C%92%20%E9%97%9C%E5%B1%B1%E9%8E%AE%20%E8%87%BA%E6%9D%B1%E7%B8%A3</t>
  </si>
  <si>
    <t>https://www.google.com/maps?q=23.040000,121.173880</t>
  </si>
  <si>
    <t>關山親水公園 關山鎮 臺東縣</t>
  </si>
  <si>
    <t>池上鄉</t>
  </si>
  <si>
    <t>大坡池風景區</t>
  </si>
  <si>
    <t>https://www.google.com/maps/search/?api=1&amp;query=%E5%A4%A7%E5%9D%A1%E6%B1%A0%E9%A2%A8%E6%99%AF%E5%8D%80%20%E6%B1%A0%E4%B8%8A%E9%84%89%20%E8%87%BA%E6%9D%B1%E7%B8%A3</t>
  </si>
  <si>
    <t>https://www.google.com/maps?q=23.119911,121.224040</t>
  </si>
  <si>
    <t>大坡池風景區 池上鄉 臺東縣</t>
  </si>
  <si>
    <t>鹿野鄉</t>
  </si>
  <si>
    <t>鹿野高台</t>
  </si>
  <si>
    <t>https://www.google.com/maps/search/?api=1&amp;query=%E9%B9%BF%E9%87%8E%E9%AB%98%E5%8F%B0%20%E9%B9%BF%E9%87%8E%E9%84%89%20%E8%87%BA%E6%9D%B1%E7%B8%A3</t>
  </si>
  <si>
    <t>https://www.google.com/maps?q=22.916449,121.121590</t>
  </si>
  <si>
    <t>鹿野高台 鹿野鄉 臺東縣</t>
  </si>
  <si>
    <t>太麻里鄉</t>
  </si>
  <si>
    <t>千禧曙光紀念園區</t>
  </si>
  <si>
    <t>https://www.google.com/maps/search/?api=1&amp;query=%E5%8D%83%E7%A6%A7%E6%9B%99%E5%85%89%E7%B4%80%E5%BF%B5%E5%9C%92%E5%8D%80%20%E5%A4%AA%E9%BA%BB%E9%87%8C%E9%84%89%20%E8%87%BA%E6%9D%B1%E7%B8%A3</t>
  </si>
  <si>
    <t>https://www.google.com/maps?q=22.618700,121.004200</t>
  </si>
  <si>
    <t>千禧曙光紀念園區 太麻里鄉 臺東縣</t>
  </si>
  <si>
    <t>澎湖縣</t>
  </si>
  <si>
    <t>馬公市</t>
  </si>
  <si>
    <t>觀音亭親水遊憩區</t>
  </si>
  <si>
    <t>https://www.penghu.gov.tw/</t>
  </si>
  <si>
    <t>https://www.google.com/maps/search/?api=1&amp;query=%E8%A7%80%E9%9F%B3%E4%BA%AD%E8%A6%AA%E6%B0%B4%E9%81%8A%E6%86%A9%E5%8D%80%20%E9%A6%AC%E5%85%AC%E5%B8%82%20%E6%BE%8E%E6%B9%96%E7%B8%A3</t>
  </si>
  <si>
    <t>https://www.google.com/maps?q=23.568800,119.561000</t>
  </si>
  <si>
    <t>觀音亭親水遊憩區 馬公市 澎湖縣</t>
  </si>
  <si>
    <t>澎湖休憩園區</t>
  </si>
  <si>
    <t>https://www.google.com/maps/search/?api=1&amp;query=%E6%BE%8E%E6%B9%96%E4%BC%91%E6%86%A9%E5%9C%92%E5%8D%80%20%E9%A6%AC%E5%85%AC%E5%B8%82%20%E6%BE%8E%E6%B9%96%E7%B8%A3</t>
  </si>
  <si>
    <t>https://www.google.com/maps?q=23.567800,119.582500</t>
  </si>
  <si>
    <t>澎湖休憩園區 馬公市 澎湖縣</t>
  </si>
  <si>
    <t>青灣仙人掌公園</t>
  </si>
  <si>
    <t>https://www.google.com/maps/search/?api=1&amp;query=%E9%9D%92%E7%81%A3%E4%BB%99%E4%BA%BA%E6%8E%8C%E5%85%AC%E5%9C%92%20%E9%A6%AC%E5%85%AC%E5%B8%82%20%E6%BE%8E%E6%B9%96%E7%B8%A3</t>
  </si>
  <si>
    <t>https://www.google.com/maps?q=23.526800,119.564500</t>
  </si>
  <si>
    <t>青灣仙人掌公園 馬公市 澎湖縣</t>
  </si>
  <si>
    <t>山水30高地公園</t>
  </si>
  <si>
    <t>https://www.google.com/maps/search/?api=1&amp;query=%E5%B1%B1%E6%B0%B430%E9%AB%98%E5%9C%B0%E5%85%AC%E5%9C%92%20%E9%A6%AC%E5%85%AC%E5%B8%82%20%E6%BE%8E%E6%B9%96%E7%B8%A3</t>
  </si>
  <si>
    <t>https://www.google.com/maps?q=23.512500,119.588500</t>
  </si>
  <si>
    <t>山水30高地公園 馬公市 澎湖縣</t>
  </si>
  <si>
    <t>湖西鄉</t>
  </si>
  <si>
    <t>林投公園</t>
  </si>
  <si>
    <t>https://www.google.com/maps/search/?api=1&amp;query=%E6%9E%97%E6%8A%95%E5%85%AC%E5%9C%92%20%E6%B9%96%E8%A5%BF%E9%84%89%20%E6%BE%8E%E6%B9%96%E7%B8%A3</t>
  </si>
  <si>
    <t>https://www.google.com/maps?q=23.560300,119.646000</t>
  </si>
  <si>
    <t>林投公園 湖西鄉 澎湖縣</t>
  </si>
  <si>
    <t>白沙鄉</t>
  </si>
  <si>
    <t>通梁古榕公園</t>
  </si>
  <si>
    <t>https://www.google.com/maps/search/?api=1&amp;query=%E9%80%9A%E6%A2%81%E5%8F%A4%E6%A6%95%E5%85%AC%E5%9C%92%20%E7%99%BD%E6%B2%99%E9%84%89%20%E6%BE%8E%E6%B9%96%E7%B8%A3</t>
  </si>
  <si>
    <t>https://www.google.com/maps?q=23.658300,119.555000</t>
  </si>
  <si>
    <t>通梁古榕公園 白沙鄉 澎湖縣</t>
  </si>
  <si>
    <t>奎壁山地質公園</t>
  </si>
  <si>
    <t>https://www.google.com/maps/search/?api=1&amp;query=%E5%A5%8E%E5%A3%81%E5%B1%B1%E5%9C%B0%E8%B3%AA%E5%85%AC%E5%9C%92%20%E6%B9%96%E8%A5%BF%E9%84%89%20%E6%BE%8E%E6%B9%96%E7%B8%A3</t>
  </si>
  <si>
    <t>https://www.google.com/maps?q=23.602100,119.672600</t>
  </si>
  <si>
    <t>奎壁山地質公園 湖西鄉 澎湖縣</t>
  </si>
  <si>
    <t>金門縣</t>
  </si>
  <si>
    <t>金城鎮</t>
  </si>
  <si>
    <t>莒光共融公園</t>
  </si>
  <si>
    <t>https://kinmen.travel/</t>
  </si>
  <si>
    <t>https://www.google.com/maps/search/?api=1&amp;query=%E8%8E%92%E5%85%89%E5%85%B1%E8%9E%8D%E5%85%AC%E5%9C%92%20%E9%87%91%E5%9F%8E%E9%8E%AE%20%E9%87%91%E9%96%80%E7%B8%A3</t>
  </si>
  <si>
    <t>https://www.google.com/maps?q=24.432000,118.316500</t>
  </si>
  <si>
    <t>莒光共融公園 金城鎮 金門縣</t>
  </si>
  <si>
    <t>金寧鄉</t>
  </si>
  <si>
    <t>中山紀念林</t>
  </si>
  <si>
    <t>https://www.google.com/maps/search/?api=1&amp;query=%E4%B8%AD%E5%B1%B1%E7%B4%80%E5%BF%B5%E6%9E%97%20%E9%87%91%E5%AF%A7%E9%84%89%20%E9%87%91%E9%96%80%E7%B8%A3</t>
  </si>
  <si>
    <t>https://www.google.com/maps?q=24.447100,118.356000</t>
  </si>
  <si>
    <t>中山紀念林 金寧鄉 金門縣</t>
  </si>
  <si>
    <t>金湖鎮</t>
  </si>
  <si>
    <t>太湖遊憩區</t>
  </si>
  <si>
    <t>https://www.google.com/maps/search/?api=1&amp;query=%E5%A4%AA%E6%B9%96%E9%81%8A%E6%86%A9%E5%8D%80%20%E9%87%91%E6%B9%96%E9%8E%AE%20%E9%87%91%E9%96%80%E7%B8%A3</t>
  </si>
  <si>
    <t>https://www.google.com/maps?q=24.436600,118.438500</t>
  </si>
  <si>
    <t>太湖遊憩區 金湖鎮 金門縣</t>
  </si>
  <si>
    <t>金門植物園</t>
  </si>
  <si>
    <t>https://www.google.com/maps/search/?api=1&amp;query=%E9%87%91%E9%96%80%E6%A4%8D%E7%89%A9%E5%9C%92%20%E9%87%91%E6%B9%96%E9%8E%AE%20%E9%87%91%E9%96%80%E7%B8%A3</t>
  </si>
  <si>
    <t>https://www.google.com/maps?q=24.448000,118.378500</t>
  </si>
  <si>
    <t>金門植物園 金湖鎮 金門縣</t>
  </si>
  <si>
    <t>烈嶼鄉</t>
  </si>
  <si>
    <t>習山湖公園</t>
  </si>
  <si>
    <t>https://www.google.com/maps/search/?api=1&amp;query=%E7%BF%92%E5%B1%B1%E6%B9%96%E5%85%AC%E5%9C%92%20%E7%83%88%E5%B6%BC%E9%84%89%20%E9%87%91%E9%96%80%E7%B8%A3</t>
  </si>
  <si>
    <t>https://www.google.com/maps?q=24.425500,118.234500</t>
  </si>
  <si>
    <t>習山湖公園 烈嶼鄉 金門縣</t>
  </si>
  <si>
    <t>莒光樓公園</t>
  </si>
  <si>
    <t>https://www.google.com/maps/search/?api=1&amp;query=%E8%8E%92%E5%85%89%E6%A8%93%E5%85%AC%E5%9C%92%20%E9%87%91%E5%9F%8E%E9%8E%AE%20%E9%87%91%E9%96%80%E7%B8%A3</t>
  </si>
  <si>
    <t>https://www.google.com/maps?q=24.429200,118.319800</t>
  </si>
  <si>
    <t>莒光樓公園 金城鎮 金門縣</t>
  </si>
  <si>
    <t>榕園</t>
  </si>
  <si>
    <t>https://www.google.com/maps/search/?api=1&amp;query=%E6%A6%95%E5%9C%92%20%E9%87%91%E6%B9%96%E9%8E%AE%20%E9%87%91%E9%96%80%E7%B8%A3</t>
  </si>
  <si>
    <t>https://www.google.com/maps?q=24.436800,118.430500</t>
  </si>
  <si>
    <t>榕園 金湖鎮 金門縣</t>
  </si>
  <si>
    <t>連江縣</t>
  </si>
  <si>
    <t>北竿鄉</t>
  </si>
  <si>
    <t>戰爭和平紀念公園</t>
  </si>
  <si>
    <t>https://www.matsu-nsa.gov.tw/</t>
  </si>
  <si>
    <t>https://www.google.com/maps/search/?api=1&amp;query=%E6%88%B0%E7%88%AD%E5%92%8C%E5%B9%B3%E7%B4%80%E5%BF%B5%E5%85%AC%E5%9C%92%20%E5%8C%97%E7%AB%BF%E9%84%89%20%E9%80%A3%E6%B1%9F%E7%B8%A3</t>
  </si>
  <si>
    <t>https://www.google.com/maps?q=26.216600,119.974500</t>
  </si>
  <si>
    <t>戰爭和平紀念公園 北竿鄉 連江縣</t>
  </si>
  <si>
    <t>南竿鄉</t>
  </si>
  <si>
    <t>媽祖宗教文化園區</t>
  </si>
  <si>
    <t>https://www.google.com/maps/search/?api=1&amp;query=%E5%AA%BD%E7%A5%96%E5%AE%97%E6%95%99%E6%96%87%E5%8C%96%E5%9C%92%E5%8D%80%20%E5%8D%97%E7%AB%BF%E9%84%89%20%E9%80%A3%E6%B1%9F%E7%B8%A3</t>
  </si>
  <si>
    <t>https://www.google.com/maps?q=26.160715,119.916687</t>
  </si>
  <si>
    <t>媽祖宗教文化園區 南竿鄉 連江縣</t>
  </si>
  <si>
    <t>福山照壁（枕戈待旦）景觀園區</t>
  </si>
  <si>
    <t>https://www.google.com/maps/search/?api=1&amp;query=%E7%A6%8F%E5%B1%B1%E7%85%A7%E5%A3%81%EF%BC%88%E6%9E%95%E6%88%88%E5%BE%85%E6%97%A6%EF%BC%89%E6%99%AF%E8%A7%80%E5%9C%92%E5%8D%80%20%E5%8D%97%E7%AB%BF%E9%84%89%20%E9%80%A3%E6%B1%9F%E7%B8%A3</t>
  </si>
  <si>
    <t>https://www.google.com/maps?q=26.157800,119.949300</t>
  </si>
  <si>
    <t>福山照壁（枕戈待旦）景觀園區 南竿鄉 連江縣</t>
  </si>
  <si>
    <t>馬祖民俗文物館園區</t>
  </si>
  <si>
    <t>https://www.google.com/maps/search/?api=1&amp;query=%E9%A6%AC%E7%A5%96%E6%B0%91%E4%BF%97%E6%96%87%E7%89%A9%E9%A4%A8%E5%9C%92%E5%8D%80%20%E5%8D%97%E7%AB%BF%E9%84%89%20%E9%80%A3%E6%B1%9F%E7%B8%A3</t>
  </si>
  <si>
    <t>https://www.google.com/maps?q=26.156900,119.951500</t>
  </si>
  <si>
    <t>馬祖民俗文物館園區 南竿鄉 連江縣</t>
  </si>
  <si>
    <t>全台灣知名公園｜縣市分布與分級摘要</t>
  </si>
  <si>
    <t>總數</t>
  </si>
  <si>
    <t>Google Maps 核對狀態摘要</t>
  </si>
  <si>
    <t>合計</t>
  </si>
  <si>
    <t>層級</t>
  </si>
  <si>
    <t>筆數</t>
  </si>
  <si>
    <t>占比</t>
  </si>
  <si>
    <t>使用說明</t>
  </si>
  <si>
    <t>A｜單一 POI 候選</t>
  </si>
  <si>
    <t>先點開 Google Maps 名稱搜尋抽查，再作正式座標。</t>
  </si>
  <si>
    <t>B｜名稱搜尋待核對</t>
  </si>
  <si>
    <t>需確認 Google Maps 圖釘名稱、行政區及位置一致。</t>
  </si>
  <si>
    <t>C｜人工選點／優先複核</t>
  </si>
  <si>
    <t>複合、線性或原始可信度較低，禁止未核對直接作 GPS 判定。</t>
  </si>
  <si>
    <t>篩選原則、分級定義與使用注意事項</t>
  </si>
  <si>
    <t>項目</t>
  </si>
  <si>
    <t>定義／處理方式</t>
  </si>
  <si>
    <t>本清單定位</t>
  </si>
  <si>
    <t>供 DOR 城市探索、內容企劃與後續座標建檔使用的「實務母清單」，不是政府法定公園總名冊。</t>
  </si>
  <si>
    <t>納入標準</t>
  </si>
  <si>
    <t>城市／縣市代表性、觀光辨識度、規模或活動使用度、跑步／親子／休閒熱度，至少符合其中一項。</t>
  </si>
  <si>
    <t>排除標準</t>
  </si>
  <si>
    <t>鄰里小公園、口袋公園、純私人園區、私人遊樂園、國家公園、森林遊樂區，以及缺乏公共辨識度的冷門場地。</t>
  </si>
  <si>
    <t>廣義場域</t>
  </si>
  <si>
    <t>離島或正式公園較少的縣市，保留少量具公園功能的公共景觀、文化或生態園區，並在「場域性質」標明。</t>
  </si>
  <si>
    <t>跨縣市旅遊辨識度高，或屬全國性地標／大型都會公園。</t>
  </si>
  <si>
    <t>縣市居民與遊客普遍知道，具明顯城市代表性或主題特色。</t>
  </si>
  <si>
    <t>在行政區或生活圈內具熱度，但全國辨識度相對有限。</t>
  </si>
  <si>
    <t>建議優先建立座標、任務與關主設定；可作為縣市章節主點。</t>
  </si>
  <si>
    <t>適合補足行政區、玩法與主題多樣性。</t>
  </si>
  <si>
    <t>保留於母清單；待資料量、營運需求或在地熱度驗證後再上線。</t>
  </si>
  <si>
    <t>現有DOR重疊</t>
  </si>
  <si>
    <t>只標示本次能從既有工作簿確認的明顯同名／高度重疊項目；仍建議以正式名稱與座標再次去重。</t>
  </si>
  <si>
    <t>主要座標基準</t>
  </si>
  <si>
    <t>Google Maps 公園地標名稱搜尋列為第一順位；既有 DOR、政府觀光 GIS 與地方政府公園資料僅作交叉比對。</t>
  </si>
  <si>
    <t>Google Maps 搜尋方式</t>
  </si>
  <si>
    <t>使用「公園名稱＋行政區＋縣市」建立 Google Maps 地標搜尋連結，避免同名公園或舊座標造成誤導。</t>
  </si>
  <si>
    <t>座標系統</t>
  </si>
  <si>
    <t>座標欄位維持 WGS84 十進位格式，欄位順序為緯度、經度。Google Maps 地標圖釘確認後，再更新為正式座標。</t>
  </si>
  <si>
    <t>一般正式公園優先採 Google Maps 上與公園名稱一致的單一地標圖釘。</t>
  </si>
  <si>
    <t>複合／多園區</t>
  </si>
  <si>
    <t>名稱含斜線、括號、多園區或公園帶者，Google Maps 可能有多個地標；必須先指定主園區或拆分資料。</t>
  </si>
  <si>
    <t>線性／跨區場域</t>
  </si>
  <si>
    <t>河濱、海岸、水岸、綠廊等場域的 Google Maps 圖釘通常只是入口或局部節點，不等同 DOR 任務圓心。</t>
  </si>
  <si>
    <t>Google Places 資料注意</t>
  </si>
  <si>
    <t>若需大量、自動化取得 Google Places 的正式地標資料，應使用 Google Places API 並依官方授權、API 金鑰與計費規範執行。官方文件：https://developers.google.com/maps/documentation/places/web-service/overview</t>
  </si>
  <si>
    <t>Google Maps 優先複核清單｜共 184 處｜包含 B／C 狀態及非單一公園 POI 場域</t>
  </si>
  <si>
    <t>候選緯度</t>
  </si>
  <si>
    <t>候選經度</t>
  </si>
  <si>
    <t>DOR優先級</t>
  </si>
  <si>
    <t>DOR｜城市探索 六大散步章節母清單｜150處｜Google Maps座標基準｜2026-07-13</t>
  </si>
  <si>
    <t>地點ID</t>
  </si>
  <si>
    <t>地點名稱</t>
  </si>
  <si>
    <t>打卡點定位</t>
  </si>
  <si>
    <t>緯度（WGS84）</t>
  </si>
  <si>
    <t>經度（WGS84）</t>
  </si>
  <si>
    <t>星等</t>
  </si>
  <si>
    <t>星等顯示</t>
  </si>
  <si>
    <t>熱門理由</t>
  </si>
  <si>
    <t>建議任務</t>
  </si>
  <si>
    <t>開放性備註</t>
  </si>
  <si>
    <t>GPS半徑建議m</t>
  </si>
  <si>
    <t>座標可信度</t>
  </si>
  <si>
    <t>座標設定說明</t>
  </si>
  <si>
    <t>資料來源類型</t>
  </si>
  <si>
    <t>資料來源URL</t>
  </si>
  <si>
    <t>整理日期</t>
  </si>
  <si>
    <t>主類別</t>
  </si>
  <si>
    <t>章節</t>
  </si>
  <si>
    <t>散步適合度</t>
  </si>
  <si>
    <t>建議時間</t>
  </si>
  <si>
    <t>建議距離km</t>
  </si>
  <si>
    <t>任務節點建議</t>
  </si>
  <si>
    <t>Google Maps地標搜尋</t>
  </si>
  <si>
    <t>Google Maps座標檢視</t>
  </si>
  <si>
    <t>座標場域類型</t>
  </si>
  <si>
    <t>去重備註</t>
  </si>
  <si>
    <t>與既有公園資料關係</t>
  </si>
  <si>
    <t>DOR-TPE-HIS-001</t>
  </si>
  <si>
    <t>大同區</t>
  </si>
  <si>
    <t>老街／歷史街區</t>
  </si>
  <si>
    <t>迪化街－年貨大街</t>
  </si>
  <si>
    <t>Google Maps 街區主地標／主要入口代表點</t>
  </si>
  <si>
    <t>★★★★★</t>
  </si>
  <si>
    <t>迪化街－年貨大街具街屋、巷弄、廟宇與地方生活集中，適合用步行解鎖城鎮記憶。</t>
  </si>
  <si>
    <t>迪化街－年貨大街散步任務｜完成街區主街、支巷與代表地標三段探索，拍攝一處建築細節並完成終點打卡。記錄一個只有步行時才會注意到的細節。</t>
  </si>
  <si>
    <t>公共街區為主；請注意車流、居民生活、商家營業時間及活動管制。</t>
  </si>
  <si>
    <t>B｜Google 場域代表點</t>
  </si>
  <si>
    <t>採觀光署景點資料之 Google 場域代表座標；歷史街區不應直接等同唯一 GPS 任務圓心，需再選定起點、途中節點與終點。</t>
  </si>
  <si>
    <t>交通部觀光署觀光資訊資料庫（座標地圖以 Google 為主）</t>
  </si>
  <si>
    <t>https://data.gov.tw/dataset/7777</t>
  </si>
  <si>
    <t>2026-07-13</t>
  </si>
  <si>
    <t>城市散步</t>
  </si>
  <si>
    <t>01｜老街與歷史街區</t>
  </si>
  <si>
    <t>高</t>
  </si>
  <si>
    <t>40–60 分鐘</t>
  </si>
  <si>
    <t>街區入口或牌樓／主要街屋與支巷／歷史地標或終點廣場</t>
  </si>
  <si>
    <t>https://www.google.com/maps/search/?api=1&amp;query=%E8%BF%AA%E5%8C%96%E8%A1%97%EF%BC%8D%E5%B9%B4%E8%B2%A8%E5%A4%A7%E8%A1%97%20%E5%A4%A7%E5%90%8C%E5%8D%80%20%E8%87%BA%E5%8C%97%E5%B8%82</t>
  </si>
  <si>
    <t>https://www.google.com/maps?q=25.055104,121.510030</t>
  </si>
  <si>
    <t>街區／聚落代表點</t>
  </si>
  <si>
    <t>新增六章節資料；正式合併 DOR 主表前，請以名稱、行政區及 300 公尺內座標進行去重。</t>
  </si>
  <si>
    <t>否｜建議新增場域</t>
  </si>
  <si>
    <t>DOR-TPE-HIS-002</t>
  </si>
  <si>
    <t>剝皮寮老街</t>
  </si>
  <si>
    <t>剝皮寮老街具街屋、巷弄、廟宇與地方生活集中，適合用步行解鎖城鎮記憶。</t>
  </si>
  <si>
    <t>剝皮寮老街散步任務｜完成街區主街、支巷與代表地標三段探索，拍攝一處建築細節並完成終點打卡。以起點、途中與終點三張照片完成探索紀錄。</t>
  </si>
  <si>
    <t>https://www.google.com/maps/search/?api=1&amp;query=%E5%89%9D%E7%9A%AE%E5%AF%AE%E8%80%81%E8%A1%97%20%E8%90%AC%E8%8F%AF%E5%8D%80%20%E8%87%BA%E5%8C%97%E5%B8%82</t>
  </si>
  <si>
    <t>https://www.google.com/maps?q=25.036838,121.502160</t>
  </si>
  <si>
    <t>DOR-NTP-HIS-001</t>
  </si>
  <si>
    <t>瑞芳區</t>
  </si>
  <si>
    <t>九份</t>
  </si>
  <si>
    <t>九份具街屋、巷弄、廟宇與地方生活集中，適合用步行解鎖城鎮記憶。</t>
  </si>
  <si>
    <t>九份散步任務｜完成街區主街、支巷與代表地標三段探索，拍攝一處建築細節並完成終點打卡。在終點回答一題與場域故事有關的問題。</t>
  </si>
  <si>
    <t>https://www.google.com/maps/search/?api=1&amp;query=%E4%B9%9D%E4%BB%BD%20%E7%91%9E%E8%8A%B3%E5%8D%80%20%E6%96%B0%E5%8C%97%E5%B8%82</t>
  </si>
  <si>
    <t>https://www.google.com/maps?q=25.109819,121.843410</t>
  </si>
  <si>
    <t>DOR-NTP-HIS-002</t>
  </si>
  <si>
    <t>淡水區</t>
  </si>
  <si>
    <t>淡水老街</t>
  </si>
  <si>
    <t>淡水老街具街屋、巷弄、廟宇與地方生活集中，適合用步行解鎖城鎮記憶。</t>
  </si>
  <si>
    <t>淡水老街散步任務｜完成街區主街、支巷與代表地標三段探索，拍攝一處建築細節並完成終點打卡。沿途至少完成三個檢查點。</t>
  </si>
  <si>
    <t>https://www.google.com/maps/search/?api=1&amp;query=%E6%B7%A1%E6%B0%B4%E8%80%81%E8%A1%97%20%E6%B7%A1%E6%B0%B4%E5%8D%80%20%E6%96%B0%E5%8C%97%E5%B8%82</t>
  </si>
  <si>
    <t>https://www.google.com/maps?q=25.171038,121.438950</t>
  </si>
  <si>
    <t>DOR-NTP-HIS-003</t>
  </si>
  <si>
    <t>三峽老街</t>
  </si>
  <si>
    <t>三峽老街具街屋、巷弄、廟宇與地方生活集中，適合用步行解鎖城鎮記憶。</t>
  </si>
  <si>
    <t>三峽老街散步任務｜完成街區主街、支巷與代表地標三段探索，拍攝一處建築細節並完成終點打卡。記錄一個只有步行時才會注意到的細節。</t>
  </si>
  <si>
    <t>https://www.google.com/maps/search/?api=1&amp;query=%E4%B8%89%E5%B3%BD%E8%80%81%E8%A1%97%20%E4%B8%89%E5%B3%BD%E5%8D%80%20%E6%96%B0%E5%8C%97%E5%B8%82</t>
  </si>
  <si>
    <t>https://www.google.com/maps?q=24.934516,121.370290</t>
  </si>
  <si>
    <t>DOR-NTP-HIS-004</t>
  </si>
  <si>
    <t>金山區</t>
  </si>
  <si>
    <t>金山老街（金包里老街）</t>
  </si>
  <si>
    <t>★★★★☆</t>
  </si>
  <si>
    <t>金山老街（金包里老街）具街屋、巷弄、廟宇與地方生活集中，適合用步行解鎖城鎮記憶。</t>
  </si>
  <si>
    <t>金山老街（金包里老街）散步任務｜完成街區主街、支巷與代表地標三段探索，拍攝一處建築細節並完成終點打卡。以起點、途中與終點三張照片完成探索紀錄。</t>
  </si>
  <si>
    <t>https://www.google.com/maps/search/?api=1&amp;query=%E9%87%91%E5%B1%B1%E8%80%81%E8%A1%97%EF%BC%88%E9%87%91%E5%8C%85%E9%87%8C%E8%80%81%E8%A1%97%EF%BC%89%20%E9%87%91%E5%B1%B1%E5%8D%80%20%E6%96%B0%E5%8C%97%E5%B8%82</t>
  </si>
  <si>
    <t>https://www.google.com/maps?q=25.221824,121.638260</t>
  </si>
  <si>
    <t>DOR-NTP-HIS-005</t>
  </si>
  <si>
    <t>深坑區</t>
  </si>
  <si>
    <t>深坑老街</t>
  </si>
  <si>
    <t>深坑老街具街屋、巷弄、廟宇與地方生活集中，適合用步行解鎖城鎮記憶。</t>
  </si>
  <si>
    <t>深坑老街散步任務｜完成街區主街、支巷與代表地標三段探索，拍攝一處建築細節並完成終點打卡。在終點回答一題與場域故事有關的問題。</t>
  </si>
  <si>
    <t>https://www.google.com/maps/search/?api=1&amp;query=%E6%B7%B1%E5%9D%91%E8%80%81%E8%A1%97%20%E6%B7%B1%E5%9D%91%E5%8D%80%20%E6%96%B0%E5%8C%97%E5%B8%82</t>
  </si>
  <si>
    <t>https://www.google.com/maps?q=25.001691,121.614730</t>
  </si>
  <si>
    <t>DOR-TAO-HIS-001</t>
  </si>
  <si>
    <t>大溪區</t>
  </si>
  <si>
    <t>大溪老街</t>
  </si>
  <si>
    <t>大溪老街具街屋、巷弄、廟宇與地方生活集中，適合用步行解鎖城鎮記憶。</t>
  </si>
  <si>
    <t>大溪老街散步任務｜完成街區主街、支巷與代表地標三段探索，拍攝一處建築細節並完成終點打卡。沿途至少完成三個檢查點。</t>
  </si>
  <si>
    <t>https://www.google.com/maps/search/?api=1&amp;query=%E5%A4%A7%E6%BA%AA%E8%80%81%E8%A1%97%20%E5%A4%A7%E6%BA%AA%E5%8D%80%20%E6%A1%83%E5%9C%92%E5%B8%82</t>
  </si>
  <si>
    <t>https://www.google.com/maps?q=24.885186,121.287470</t>
  </si>
  <si>
    <t>DOR-TAO-HIS-002</t>
  </si>
  <si>
    <t>三坑老街</t>
  </si>
  <si>
    <t>三坑老街具街屋、巷弄、廟宇與地方生活集中，適合用步行解鎖城鎮記憶。</t>
  </si>
  <si>
    <t>三坑老街散步任務｜完成街區主街、支巷與代表地標三段探索，拍攝一處建築細節並完成終點打卡。記錄一個只有步行時才會注意到的細節。</t>
  </si>
  <si>
    <t>https://www.google.com/maps/search/?api=1&amp;query=%E4%B8%89%E5%9D%91%E8%80%81%E8%A1%97%20%E9%BE%8D%E6%BD%AD%E5%8D%80%20%E6%A1%83%E5%9C%92%E5%B8%82</t>
  </si>
  <si>
    <t>https://www.google.com/maps?q=24.843865,121.247990</t>
  </si>
  <si>
    <t>DOR-TAO-HIS-003</t>
  </si>
  <si>
    <t>富岡老街</t>
  </si>
  <si>
    <t>富岡老街具街屋、巷弄、廟宇與地方生活集中，適合用步行解鎖城鎮記憶。</t>
  </si>
  <si>
    <t>富岡老街散步任務｜完成街區主街、支巷與代表地標三段探索，拍攝一處建築細節並完成終點打卡。以起點、途中與終點三張照片完成探索紀錄。</t>
  </si>
  <si>
    <t>https://www.google.com/maps/search/?api=1&amp;query=%E5%AF%8C%E5%B2%A1%E8%80%81%E8%A1%97%20%E6%A5%8A%E6%A2%85%E5%8D%80%20%E6%A1%83%E5%9C%92%E5%B8%82</t>
  </si>
  <si>
    <t>https://www.google.com/maps?q=24.936328,121.082430</t>
  </si>
  <si>
    <t>DOR-HSQ-HIS-001</t>
  </si>
  <si>
    <t>北埔鄉</t>
  </si>
  <si>
    <t>北埔老街</t>
  </si>
  <si>
    <t>北埔老街具街屋、巷弄、廟宇與地方生活集中，適合用步行解鎖城鎮記憶。</t>
  </si>
  <si>
    <t>北埔老街散步任務｜完成街區主街、支巷與代表地標三段探索，拍攝一處建築細節並完成終點打卡。在終點回答一題與場域故事有關的問題。</t>
  </si>
  <si>
    <t>https://www.google.com/maps/search/?api=1&amp;query=%E5%8C%97%E5%9F%94%E8%80%81%E8%A1%97%20%E5%8C%97%E5%9F%94%E9%84%89%20%E6%96%B0%E7%AB%B9%E7%B8%A3</t>
  </si>
  <si>
    <t>https://www.google.com/maps?q=24.699816,121.057220</t>
  </si>
  <si>
    <t>DOR-HSQ-HIS-002</t>
  </si>
  <si>
    <t>湖口老街</t>
  </si>
  <si>
    <t>湖口老街具街屋、巷弄、廟宇與地方生活集中，適合用步行解鎖城鎮記憶。</t>
  </si>
  <si>
    <t>湖口老街散步任務｜完成街區主街、支巷與代表地標三段探索，拍攝一處建築細節並完成終點打卡。沿途至少完成三個檢查點。</t>
  </si>
  <si>
    <t>https://www.google.com/maps/search/?api=1&amp;query=%E6%B9%96%E5%8F%A3%E8%80%81%E8%A1%97%20%E6%B9%96%E5%8F%A3%E9%84%89%20%E6%96%B0%E7%AB%B9%E7%B8%A3</t>
  </si>
  <si>
    <t>https://www.google.com/maps?q=24.876872,121.055140</t>
  </si>
  <si>
    <t>DOR-HSQ-HIS-003</t>
  </si>
  <si>
    <t>新埔鎮</t>
  </si>
  <si>
    <t>新埔小鎮</t>
  </si>
  <si>
    <t>新埔小鎮具街屋、巷弄、廟宇與地方生活集中，適合用步行解鎖城鎮記憶。</t>
  </si>
  <si>
    <t>新埔小鎮散步任務｜完成街區主街、支巷與代表地標三段探索，拍攝一處建築細節並完成終點打卡。記錄一個只有步行時才會注意到的細節。</t>
  </si>
  <si>
    <t>https://www.google.com/maps/search/?api=1&amp;query=%E6%96%B0%E5%9F%94%E5%B0%8F%E9%8E%AE%20%E6%96%B0%E5%9F%94%E9%8E%AE%20%E6%96%B0%E7%AB%B9%E7%B8%A3</t>
  </si>
  <si>
    <t>https://www.google.com/maps?q=24.827883,121.071140</t>
  </si>
  <si>
    <t>DOR-HSZ-HIS-001</t>
  </si>
  <si>
    <t>竹塹城迎曦門</t>
  </si>
  <si>
    <t>竹塹城迎曦門具街屋、巷弄、廟宇與地方生活集中，適合用步行解鎖城鎮記憶。</t>
  </si>
  <si>
    <t>竹塹城迎曦門散步任務｜完成街區主街、支巷與代表地標三段探索，拍攝一處建築細節並完成終點打卡。以起點、途中與終點三張照片完成探索紀錄。</t>
  </si>
  <si>
    <t>A｜觀光署 Google 基準 POI</t>
  </si>
  <si>
    <t>採觀光署景點資料之 Google 基準 POI 座標；正式上線前仍應確認圖釘名稱、入口與實際步行動線。</t>
  </si>
  <si>
    <t>https://www.google.com/maps/search/?api=1&amp;query=%E7%AB%B9%E5%A1%B9%E5%9F%8E%E8%BF%8E%E6%9B%A6%E9%96%80%20%E6%9D%B1%E5%8D%80%20%E6%96%B0%E7%AB%B9%E5%B8%82</t>
  </si>
  <si>
    <t>https://www.google.com/maps?q=24.804160,120.970240</t>
  </si>
  <si>
    <t>單一歷史地標 POI</t>
  </si>
  <si>
    <t>DOR-MIA-HIS-001</t>
  </si>
  <si>
    <t>南庄鄉</t>
  </si>
  <si>
    <t>南庄老街</t>
  </si>
  <si>
    <t>南庄老街具街屋、巷弄、廟宇與地方生活集中，適合用步行解鎖城鎮記憶。</t>
  </si>
  <si>
    <t>南庄老街散步任務｜完成街區主街、支巷與代表地標三段探索，拍攝一處建築細節並完成終點打卡。在終點回答一題與場域故事有關的問題。</t>
  </si>
  <si>
    <t>https://www.google.com/maps/search/?api=1&amp;query=%E5%8D%97%E5%BA%84%E8%80%81%E8%A1%97%20%E5%8D%97%E5%BA%84%E9%84%89%20%E8%8B%97%E6%A0%97%E7%B8%A3</t>
  </si>
  <si>
    <t>https://www.google.com/maps?q=24.599318,120.999280</t>
  </si>
  <si>
    <t>DOR-MIA-HIS-002</t>
  </si>
  <si>
    <t>獅潭鄉</t>
  </si>
  <si>
    <t>汶水老街</t>
  </si>
  <si>
    <t>汶水老街具街屋、巷弄、廟宇與地方生活集中，適合用步行解鎖城鎮記憶。</t>
  </si>
  <si>
    <t>汶水老街散步任務｜完成街區主街、支巷與代表地標三段探索，拍攝一處建築細節並完成終點打卡。沿途至少完成三個檢查點。</t>
  </si>
  <si>
    <t>https://www.google.com/maps/search/?api=1&amp;query=%E6%B1%B6%E6%B0%B4%E8%80%81%E8%A1%97%20%E7%8D%85%E6%BD%AD%E9%84%89%20%E8%8B%97%E6%A0%97%E7%B8%A3</t>
  </si>
  <si>
    <t>https://www.google.com/maps?q=24.457698,120.875620</t>
  </si>
  <si>
    <t>DOR-CHA-HIS-001</t>
  </si>
  <si>
    <t>鹿港老街</t>
  </si>
  <si>
    <t>鹿港老街具街屋、巷弄、廟宇與地方生活集中，適合用步行解鎖城鎮記憶。</t>
  </si>
  <si>
    <t>鹿港老街散步任務｜完成街區主街、支巷與代表地標三段探索，拍攝一處建築細節並完成終點打卡。記錄一個只有步行時才會注意到的細節。</t>
  </si>
  <si>
    <t>https://www.google.com/maps/search/?api=1&amp;query=%E9%B9%BF%E6%B8%AF%E8%80%81%E8%A1%97%20%E9%B9%BF%E6%B8%AF%E9%8E%AE%20%E5%BD%B0%E5%8C%96%E7%B8%A3</t>
  </si>
  <si>
    <t>https://www.google.com/maps?q=24.055906,120.432890</t>
  </si>
  <si>
    <t>DOR-YUN-HIS-001</t>
  </si>
  <si>
    <t>太平老街</t>
  </si>
  <si>
    <t>太平老街具街屋、巷弄、廟宇與地方生活集中，適合用步行解鎖城鎮記憶。</t>
  </si>
  <si>
    <t>太平老街散步任務｜完成街區主街、支巷與代表地標三段探索，拍攝一處建築細節並完成終點打卡。以起點、途中與終點三張照片完成探索紀錄。</t>
  </si>
  <si>
    <t>https://www.google.com/maps/search/?api=1&amp;query=%E5%A4%AA%E5%B9%B3%E8%80%81%E8%A1%97%20%E6%96%97%E5%85%AD%E5%B8%82%20%E9%9B%B2%E6%9E%97%E7%B8%A3</t>
  </si>
  <si>
    <t>https://www.google.com/maps?q=23.708506,120.541830</t>
  </si>
  <si>
    <t>DOR-CYI-HIS-001</t>
  </si>
  <si>
    <t>嘉義文化路街區</t>
  </si>
  <si>
    <t>嘉義文化路街區具街屋、巷弄、廟宇與地方生活集中，適合用步行解鎖城鎮記憶。</t>
  </si>
  <si>
    <t>嘉義文化路街區散步任務｜完成街區主街、支巷與代表地標三段探索，拍攝一處建築細節並完成終點打卡。在終點回答一題與場域故事有關的問題。</t>
  </si>
  <si>
    <t>https://www.google.com/maps/search/?api=1&amp;query=%E5%98%89%E7%BE%A9%E6%96%87%E5%8C%96%E8%B7%AF%E8%A1%97%E5%8D%80%20%E6%9D%B1%E5%8D%80%20%E5%98%89%E7%BE%A9%E5%B8%82</t>
  </si>
  <si>
    <t>https://www.google.com/maps?q=23.479481,120.449690</t>
  </si>
  <si>
    <t>DOR-TNN-HIS-001</t>
  </si>
  <si>
    <t>安平歷史街區</t>
  </si>
  <si>
    <t>安平歷史街區具街屋、巷弄、廟宇與地方生活集中，適合用步行解鎖城鎮記憶。</t>
  </si>
  <si>
    <t>安平歷史街區散步任務｜完成街區主街、支巷與代表地標三段探索，拍攝一處建築細節並完成終點打卡。沿途至少完成三個檢查點。</t>
  </si>
  <si>
    <t>https://www.google.com/maps/search/?api=1&amp;query=%E5%AE%89%E5%B9%B3%E6%AD%B7%E5%8F%B2%E8%A1%97%E5%8D%80%20%E5%AE%89%E5%B9%B3%E5%8D%80%20%E8%87%BA%E5%8D%97%E5%B8%82</t>
  </si>
  <si>
    <t>https://www.google.com/maps?q=23.001509,120.160620</t>
  </si>
  <si>
    <t>DOR-TNN-HIS-002</t>
  </si>
  <si>
    <t>赤崁歷史街區</t>
  </si>
  <si>
    <t>赤崁歷史街區具街屋、巷弄、廟宇與地方生活集中，適合用步行解鎖城鎮記憶。</t>
  </si>
  <si>
    <t>赤崁歷史街區散步任務｜完成街區主街、支巷與代表地標三段探索，拍攝一處建築細節並完成終點打卡。記錄一個只有步行時才會注意到的細節。</t>
  </si>
  <si>
    <t>https://www.google.com/maps/search/?api=1&amp;query=%E8%B5%A4%E5%B4%81%E6%AD%B7%E5%8F%B2%E8%A1%97%E5%8D%80%20%E4%B8%AD%E8%A5%BF%E5%8D%80%20%E8%87%BA%E5%8D%97%E5%B8%82</t>
  </si>
  <si>
    <t>https://www.google.com/maps?q=22.997478,120.202540</t>
  </si>
  <si>
    <t>DOR-PIF-HIS-001</t>
  </si>
  <si>
    <t>恆春古城</t>
  </si>
  <si>
    <t>恆春古城具街屋、巷弄、廟宇與地方生活集中，適合用步行解鎖城鎮記憶。</t>
  </si>
  <si>
    <t>恆春古城散步任務｜完成街區主街、支巷與代表地標三段探索，拍攝一處建築細節並完成終點打卡。以起點、途中與終點三張照片完成探索紀錄。</t>
  </si>
  <si>
    <t>https://www.google.com/maps/search/?api=1&amp;query=%E6%81%86%E6%98%A5%E5%8F%A4%E5%9F%8E%20%E6%81%86%E6%98%A5%E9%8E%AE%20%E5%B1%8F%E6%9D%B1%E7%B8%A3</t>
  </si>
  <si>
    <t>https://www.google.com/maps?q=22.000860,120.744780</t>
  </si>
  <si>
    <t>DOR-PEN-HIS-001</t>
  </si>
  <si>
    <t>中央老街</t>
  </si>
  <si>
    <t>中央老街具街屋、巷弄、廟宇與地方生活集中，適合用步行解鎖城鎮記憶。</t>
  </si>
  <si>
    <t>中央老街散步任務｜完成街區主街、支巷與代表地標三段探索，拍攝一處建築細節並完成終點打卡。在終點回答一題與場域故事有關的問題。</t>
  </si>
  <si>
    <t>https://www.google.com/maps/search/?api=1&amp;query=%E4%B8%AD%E5%A4%AE%E8%80%81%E8%A1%97%20%E9%A6%AC%E5%85%AC%E5%B8%82%20%E6%BE%8E%E6%B9%96%E7%B8%A3</t>
  </si>
  <si>
    <t>https://www.google.com/maps?q=23.564864,119.564870</t>
  </si>
  <si>
    <t>DOR-KIN-HIS-001</t>
  </si>
  <si>
    <t>後浦古樸文化街區</t>
  </si>
  <si>
    <t>後浦古樸文化街區具街屋、巷弄、廟宇與地方生活集中，適合用步行解鎖城鎮記憶。</t>
  </si>
  <si>
    <t>後浦古樸文化街區散步任務｜完成街區主街、支巷與代表地標三段探索，拍攝一處建築細節並完成終點打卡。沿途至少完成三個檢查點。</t>
  </si>
  <si>
    <t>https://www.google.com/maps/search/?api=1&amp;query=%E5%BE%8C%E6%B5%A6%E5%8F%A4%E6%A8%B8%E6%96%87%E5%8C%96%E8%A1%97%E5%8D%80%20%E9%87%91%E5%9F%8E%E9%8E%AE%20%E9%87%91%E9%96%80%E7%B8%A3</t>
  </si>
  <si>
    <t>https://www.google.com/maps?q=24.433119,118.320160</t>
  </si>
  <si>
    <t>DOR-LIE-HIS-001</t>
  </si>
  <si>
    <t>芹壁村</t>
  </si>
  <si>
    <t>芹壁村具街屋、巷弄、廟宇與地方生活集中，適合用步行解鎖城鎮記憶。</t>
  </si>
  <si>
    <t>芹壁村散步任務｜完成街區主街、支巷與代表地標三段探索，拍攝一處建築細節並完成終點打卡。記錄一個只有步行時才會注意到的細節。</t>
  </si>
  <si>
    <t>https://www.google.com/maps/search/?api=1&amp;query=%E8%8A%B9%E5%A3%81%E6%9D%91%20%E5%8C%97%E7%AB%BF%E9%84%89%20%E9%80%A3%E6%B1%9F%E7%B8%A3</t>
  </si>
  <si>
    <t>https://www.google.com/maps?q=26.224782,119.983660</t>
  </si>
  <si>
    <t>DOR-NTP-RAIL-001</t>
  </si>
  <si>
    <t>貢寮區</t>
  </si>
  <si>
    <t>鐵道／舊鐵路</t>
  </si>
  <si>
    <t>舊草嶺隧道</t>
  </si>
  <si>
    <t>車站、隧道口或鐵道遺構主地標</t>
  </si>
  <si>
    <t>舊草嶺隧道具鐵道天然具備起點、路線與終點，可串聯站房、月台及產業記憶。</t>
  </si>
  <si>
    <t>舊草嶺隧道散步任務｜由站房或遺構起點出發，尋找兩種鐵道設施並完成一段舊線巡遊。記錄一個只有步行時才會注意到的細節。</t>
  </si>
  <si>
    <t>須遵守鐵路與園區管制；禁止進入營運軌道，隧道與山線請確認開放及照明。</t>
  </si>
  <si>
    <t>02｜鐵道與舊鐵路</t>
  </si>
  <si>
    <t>中高</t>
  </si>
  <si>
    <t>45–75 分鐘</t>
  </si>
  <si>
    <t>站房或隧道口／月台、鐵橋或鐵道設施／終點聚落或產業地標</t>
  </si>
  <si>
    <t>https://www.google.com/maps/search/?api=1&amp;query=%E8%88%8A%E8%8D%89%E5%B6%BA%E9%9A%A7%E9%81%93%20%E8%B2%A2%E5%AF%AE%E5%8D%80%20%E6%96%B0%E5%8C%97%E5%B8%82</t>
  </si>
  <si>
    <t>https://www.google.com/maps?q=25.003945,121.958340</t>
  </si>
  <si>
    <t>車站／鐵道遺構 POI</t>
  </si>
  <si>
    <t>DOR-NTP-RAIL-002</t>
  </si>
  <si>
    <t>平溪區</t>
  </si>
  <si>
    <t>十分風景特定區</t>
  </si>
  <si>
    <t>十分風景特定區具鐵道天然具備起點、路線與終點，可串聯站房、月台及產業記憶。</t>
  </si>
  <si>
    <t>十分風景特定區散步任務｜由站房或遺構起點出發，尋找兩種鐵道設施並完成一段舊線巡遊。以起點、途中與終點三張照片完成探索紀錄。</t>
  </si>
  <si>
    <t>https://www.google.com/maps/search/?api=1&amp;query=%E5%8D%81%E5%88%86%E9%A2%A8%E6%99%AF%E7%89%B9%E5%AE%9A%E5%8D%80%20%E5%B9%B3%E6%BA%AA%E5%8D%80%20%E6%96%B0%E5%8C%97%E5%B8%82</t>
  </si>
  <si>
    <t>https://www.google.com/maps?q=25.047389,121.782850</t>
  </si>
  <si>
    <t>DOR-NTP-RAIL-003</t>
  </si>
  <si>
    <t>平溪鐵道街區</t>
  </si>
  <si>
    <t>平溪鐵道街區具鐵道天然具備起點、路線與終點，可串聯站房、月台及產業記憶。</t>
  </si>
  <si>
    <t>平溪鐵道街區散步任務｜由站房或遺構起點出發，尋找兩種鐵道設施並完成一段舊線巡遊。在終點回答一題與場域故事有關的問題。</t>
  </si>
  <si>
    <t>採觀光署景點資料之 Google 場域代表座標；街區、港區或線性路線不應直接等同唯一 GPS 任務圓心，需再選定任務節點。</t>
  </si>
  <si>
    <t>https://www.google.com/maps/search/?api=1&amp;query=%E5%B9%B3%E6%BA%AA%E9%90%B5%E9%81%93%E8%A1%97%E5%8D%80%20%E5%B9%B3%E6%BA%AA%E5%8D%80%20%E6%96%B0%E5%8C%97%E5%B8%82</t>
  </si>
  <si>
    <t>https://www.google.com/maps?q=25.026689,121.738190</t>
  </si>
  <si>
    <t>鐵道路線／街區代表點</t>
  </si>
  <si>
    <t>DOR-NTP-RAIL-004</t>
  </si>
  <si>
    <t>烏來區</t>
  </si>
  <si>
    <t>烏來台車與老街</t>
  </si>
  <si>
    <t>烏來台車與老街具鐵道天然具備起點、路線與終點，可串聯站房、月台及產業記憶。</t>
  </si>
  <si>
    <t>烏來台車與老街散步任務｜由站房或遺構起點出發，尋找兩種鐵道設施並完成一段舊線巡遊。沿途至少完成三個檢查點。</t>
  </si>
  <si>
    <t>https://www.google.com/maps/search/?api=1&amp;query=%E7%83%8F%E4%BE%86%E5%8F%B0%E8%BB%8A%E8%88%87%E8%80%81%E8%A1%97%20%E7%83%8F%E4%BE%86%E5%8D%80%20%E6%96%B0%E5%8C%97%E5%B8%82</t>
  </si>
  <si>
    <t>https://www.google.com/maps?q=24.864935,121.551980</t>
  </si>
  <si>
    <t>DOR-HSQ-RAIL-001</t>
  </si>
  <si>
    <t>橫山鄉</t>
  </si>
  <si>
    <t>內灣小鎮</t>
  </si>
  <si>
    <t>內灣小鎮具鐵道天然具備起點、路線與終點，可串聯站房、月台及產業記憶。</t>
  </si>
  <si>
    <t>內灣小鎮散步任務｜由站房或遺構起點出發，尋找兩種鐵道設施並完成一段舊線巡遊。記錄一個只有步行時才會注意到的細節。</t>
  </si>
  <si>
    <t>https://www.google.com/maps/search/?api=1&amp;query=%E5%85%A7%E7%81%A3%E5%B0%8F%E9%8E%AE%20%E6%A9%AB%E5%B1%B1%E9%84%89%20%E6%96%B0%E7%AB%B9%E7%B8%A3</t>
  </si>
  <si>
    <t>https://www.google.com/maps?q=24.705431,121.182470</t>
  </si>
  <si>
    <t>DOR-MIA-RAIL-001</t>
  </si>
  <si>
    <t>三義鄉</t>
  </si>
  <si>
    <t>勝興車站</t>
  </si>
  <si>
    <t>勝興車站具鐵道天然具備起點、路線與終點，可串聯站房、月台及產業記憶。</t>
  </si>
  <si>
    <t>勝興車站散步任務｜由站房或遺構起點出發，尋找兩種鐵道設施並完成一段舊線巡遊。以起點、途中與終點三張照片完成探索紀錄。</t>
  </si>
  <si>
    <t>https://www.google.com/maps/search/?api=1&amp;query=%E5%8B%9D%E8%88%88%E8%BB%8A%E7%AB%99%20%E4%B8%89%E7%BE%A9%E9%84%89%20%E8%8B%97%E6%A0%97%E7%B8%A3</t>
  </si>
  <si>
    <t>https://www.google.com/maps?q=24.388230,120.782050</t>
  </si>
  <si>
    <t>DOR-MIA-RAIL-002</t>
  </si>
  <si>
    <t>龍騰斷橋</t>
  </si>
  <si>
    <t>龍騰斷橋具鐵道天然具備起點、路線與終點，可串聯站房、月台及產業記憶。</t>
  </si>
  <si>
    <t>龍騰斷橋散步任務｜由站房或遺構起點出發，尋找兩種鐵道設施並完成一段舊線巡遊。在終點回答一題與場域故事有關的問題。</t>
  </si>
  <si>
    <t>https://www.google.com/maps/search/?api=1&amp;query=%E9%BE%8D%E9%A8%B0%E6%96%B7%E6%A9%8B%20%E4%B8%89%E7%BE%A9%E9%84%89%20%E8%8B%97%E6%A0%97%E7%B8%A3</t>
  </si>
  <si>
    <t>https://www.google.com/maps?q=24.358435,120.773840</t>
  </si>
  <si>
    <t>DOR-MIA-RAIL-003</t>
  </si>
  <si>
    <t>功維敘隧道</t>
  </si>
  <si>
    <t>功維敘隧道具鐵道天然具備起點、路線與終點，可串聯站房、月台及產業記憶。</t>
  </si>
  <si>
    <t>功維敘隧道散步任務｜由站房或遺構起點出發，尋找兩種鐵道設施並完成一段舊線巡遊。沿途至少完成三個檢查點。</t>
  </si>
  <si>
    <t>https://www.google.com/maps/search/?api=1&amp;query=%E5%8A%9F%E7%B6%AD%E6%95%98%E9%9A%A7%E9%81%93%20%E8%8B%97%E6%A0%97%E5%B8%82%20%E8%8B%97%E6%A0%97%E7%B8%A3</t>
  </si>
  <si>
    <t>https://www.google.com/maps?q=24.554356,120.810960</t>
  </si>
  <si>
    <t>DOR-TXG-RAIL-001</t>
  </si>
  <si>
    <t>石岡區</t>
  </si>
  <si>
    <t>東豐自行車綠廊</t>
  </si>
  <si>
    <t>東豐自行車綠廊具鐵道天然具備起點、路線與終點，可串聯站房、月台及產業記憶。</t>
  </si>
  <si>
    <t>東豐自行車綠廊散步任務｜由站房或遺構起點出發，尋找兩種鐵道設施並完成一段舊線巡遊。記錄一個只有步行時才會注意到的細節。</t>
  </si>
  <si>
    <t>https://www.google.com/maps/search/?api=1&amp;query=%E6%9D%B1%E8%B1%90%E8%87%AA%E8%A1%8C%E8%BB%8A%E7%B6%A0%E5%BB%8A%20%E7%9F%B3%E5%B2%A1%E5%8D%80%20%E8%87%BA%E4%B8%AD%E5%B8%82</t>
  </si>
  <si>
    <t>https://www.google.com/maps?q=24.276023,120.778790</t>
  </si>
  <si>
    <t>DOR-TXG-RAIL-002</t>
  </si>
  <si>
    <t>東勢區</t>
  </si>
  <si>
    <t>東勢林業文化園區</t>
  </si>
  <si>
    <t>東勢林業文化園區具鐵道天然具備起點、路線與終點，可串聯站房、月台及產業記憶。</t>
  </si>
  <si>
    <t>東勢林業文化園區散步任務｜由站房或遺構起點出發，尋找兩種鐵道設施並完成一段舊線巡遊。以起點、途中與終點三張照片完成探索紀錄。</t>
  </si>
  <si>
    <t>https://www.google.com/maps/search/?api=1&amp;query=%E6%9D%B1%E5%8B%A2%E6%9E%97%E6%A5%AD%E6%96%87%E5%8C%96%E5%9C%92%E5%8D%80%20%E6%9D%B1%E5%8B%A2%E5%8D%80%20%E8%87%BA%E4%B8%AD%E5%B8%82</t>
  </si>
  <si>
    <t>https://www.google.com/maps?q=24.243787,120.833650</t>
  </si>
  <si>
    <t>DOR-CHA-RAIL-001</t>
  </si>
  <si>
    <t>扇形車庫</t>
  </si>
  <si>
    <t>扇形車庫具鐵道天然具備起點、路線與終點，可串聯站房、月台及產業記憶。</t>
  </si>
  <si>
    <t>扇形車庫散步任務｜由站房或遺構起點出發，尋找兩種鐵道設施並完成一段舊線巡遊。在終點回答一題與場域故事有關的問題。</t>
  </si>
  <si>
    <t>https://www.google.com/maps/search/?api=1&amp;query=%E6%89%87%E5%BD%A2%E8%BB%8A%E5%BA%AB%20%E5%BD%B0%E5%8C%96%E5%B8%82%20%E5%BD%B0%E5%8C%96%E7%B8%A3</t>
  </si>
  <si>
    <t>https://www.google.com/maps?q=24.085948,120.540170</t>
  </si>
  <si>
    <t>DOR-CHA-RAIL-002</t>
  </si>
  <si>
    <t>社頭鄉</t>
  </si>
  <si>
    <t>福井鐵道文物館</t>
  </si>
  <si>
    <t>福井鐵道文物館具鐵道天然具備起點、路線與終點，可串聯站房、月台及產業記憶。</t>
  </si>
  <si>
    <t>福井鐵道文物館散步任務｜由站房或遺構起點出發，尋找兩種鐵道設施並完成一段舊線巡遊。沿途至少完成三個檢查點。</t>
  </si>
  <si>
    <t>https://www.google.com/maps/search/?api=1&amp;query=%E7%A6%8F%E4%BA%95%E9%90%B5%E9%81%93%E6%96%87%E7%89%A9%E9%A4%A8%20%E7%A4%BE%E9%A0%AD%E9%84%89%20%E5%BD%B0%E5%8C%96%E7%B8%A3</t>
  </si>
  <si>
    <t>https://www.google.com/maps?q=23.896964,120.585210</t>
  </si>
  <si>
    <t>DOR-NAN-RAIL-001</t>
  </si>
  <si>
    <t>集集火車站</t>
  </si>
  <si>
    <t>集集火車站具鐵道天然具備起點、路線與終點，可串聯站房、月台及產業記憶。</t>
  </si>
  <si>
    <t>集集火車站散步任務｜由站房或遺構起點出發，尋找兩種鐵道設施並完成一段舊線巡遊。記錄一個只有步行時才會注意到的細節。</t>
  </si>
  <si>
    <t>https://www.google.com/maps/search/?api=1&amp;query=%E9%9B%86%E9%9B%86%E7%81%AB%E8%BB%8A%E7%AB%99%20%E9%9B%86%E9%9B%86%E9%8E%AE%20%E5%8D%97%E6%8A%95%E7%B8%A3</t>
  </si>
  <si>
    <t>https://www.google.com/maps?q=23.826451,120.784890</t>
  </si>
  <si>
    <t>DOR-NAN-RAIL-002</t>
  </si>
  <si>
    <t>車埕車站</t>
  </si>
  <si>
    <t>車埕車站具鐵道天然具備起點、路線與終點，可串聯站房、月台及產業記憶。</t>
  </si>
  <si>
    <t>車埕車站散步任務｜由站房或遺構起點出發，尋找兩種鐵道設施並完成一段舊線巡遊。以起點、途中與終點三張照片完成探索紀錄。</t>
  </si>
  <si>
    <t>https://www.google.com/maps/search/?api=1&amp;query=%E8%BB%8A%E5%9F%95%E8%BB%8A%E7%AB%99%20%E6%B0%B4%E9%87%8C%E9%84%89%20%E5%8D%97%E6%8A%95%E7%B8%A3</t>
  </si>
  <si>
    <t>https://www.google.com/maps?q=23.832637,120.865740</t>
  </si>
  <si>
    <t>DOR-NAN-RAIL-003</t>
  </si>
  <si>
    <t>車埕貯木池</t>
  </si>
  <si>
    <t>車埕貯木池具鐵道天然具備起點、路線與終點，可串聯站房、月台及產業記憶。</t>
  </si>
  <si>
    <t>車埕貯木池散步任務｜由站房或遺構起點出發，尋找兩種鐵道設施並完成一段舊線巡遊。在終點回答一題與場域故事有關的問題。</t>
  </si>
  <si>
    <t>https://www.google.com/maps/search/?api=1&amp;query=%E8%BB%8A%E5%9F%95%E8%B2%AF%E6%9C%A8%E6%B1%A0%20%E6%B0%B4%E9%87%8C%E9%84%89%20%E5%8D%97%E6%8A%95%E7%B8%A3</t>
  </si>
  <si>
    <t>https://www.google.com/maps?q=23.834521,120.866110</t>
  </si>
  <si>
    <t>DOR-NAN-RAIL-004</t>
  </si>
  <si>
    <t>車埕木業展示館</t>
  </si>
  <si>
    <t>車埕木業展示館具鐵道天然具備起點、路線與終點，可串聯站房、月台及產業記憶。</t>
  </si>
  <si>
    <t>車埕木業展示館散步任務｜由站房或遺構起點出發，尋找兩種鐵道設施並完成一段舊線巡遊。沿途至少完成三個檢查點。</t>
  </si>
  <si>
    <t>https://www.google.com/maps/search/?api=1&amp;query=%E8%BB%8A%E5%9F%95%E6%9C%A8%E6%A5%AD%E5%B1%95%E7%A4%BA%E9%A4%A8%20%E6%B0%B4%E9%87%8C%E9%84%89%20%E5%8D%97%E6%8A%95%E7%B8%A3</t>
  </si>
  <si>
    <t>https://www.google.com/maps?q=23.833774,120.865870</t>
  </si>
  <si>
    <t>DOR-YUN-RAIL-001</t>
  </si>
  <si>
    <t>虎尾鐵橋</t>
  </si>
  <si>
    <t>虎尾鐵橋具鐵道天然具備起點、路線與終點，可串聯站房、月台及產業記憶。</t>
  </si>
  <si>
    <t>虎尾鐵橋散步任務｜由站房或遺構起點出發，尋找兩種鐵道設施並完成一段舊線巡遊。記錄一個只有步行時才會注意到的細節。</t>
  </si>
  <si>
    <t>https://www.google.com/maps/search/?api=1&amp;query=%E8%99%8E%E5%B0%BE%E9%90%B5%E6%A9%8B%20%E8%99%8E%E5%B0%BE%E9%8E%AE%20%E9%9B%B2%E6%9E%97%E7%B8%A3</t>
  </si>
  <si>
    <t>https://www.google.com/maps?q=23.701737,120.437180</t>
  </si>
  <si>
    <t>可能｜與「虎尾鐵橋公園」相近，合併前確認</t>
  </si>
  <si>
    <t>DOR-CYI-RAIL-001</t>
  </si>
  <si>
    <t>阿里山森林鐵路嘉義站</t>
  </si>
  <si>
    <t>阿里山森林鐵路嘉義站具鐵道天然具備起點、路線與終點，可串聯站房、月台及產業記憶。</t>
  </si>
  <si>
    <t>阿里山森林鐵路嘉義站散步任務｜由站房或遺構起點出發，尋找兩種鐵道設施並完成一段舊線巡遊。以起點、途中與終點三張照片完成探索紀錄。</t>
  </si>
  <si>
    <t>https://www.google.com/maps/search/?api=1&amp;query=%E9%98%BF%E9%87%8C%E5%B1%B1%E6%A3%AE%E6%9E%97%E9%90%B5%E8%B7%AF%E5%98%89%E7%BE%A9%E7%AB%99%20%E8%A5%BF%E5%8D%80%20%E5%98%89%E7%BE%A9%E5%B8%82</t>
  </si>
  <si>
    <t>https://www.google.com/maps?q=23.479118,120.441130</t>
  </si>
  <si>
    <t>DOR-CYI-RAIL-002</t>
  </si>
  <si>
    <t>阿里山森林鐵路車庫園區</t>
  </si>
  <si>
    <t>阿里山森林鐵路車庫園區具鐵道天然具備起點、路線與終點，可串聯站房、月台及產業記憶。</t>
  </si>
  <si>
    <t>阿里山森林鐵路車庫園區散步任務｜由站房或遺構起點出發，尋找兩種鐵道設施並完成一段舊線巡遊。在終點回答一題與場域故事有關的問題。</t>
  </si>
  <si>
    <t>https://www.google.com/maps/search/?api=1&amp;query=%E9%98%BF%E9%87%8C%E5%B1%B1%E6%A3%AE%E6%9E%97%E9%90%B5%E8%B7%AF%E8%BB%8A%E5%BA%AB%E5%9C%92%E5%8D%80%20%E6%9D%B1%E5%8D%80%20%E5%98%89%E7%BE%A9%E5%B8%82</t>
  </si>
  <si>
    <t>https://www.google.com/maps?q=23.486342,120.451260</t>
  </si>
  <si>
    <t>DOR-CYQ-RAIL-001</t>
  </si>
  <si>
    <t>竹崎鄉</t>
  </si>
  <si>
    <t>奮起湖風景區</t>
  </si>
  <si>
    <t>奮起湖風景區具鐵道天然具備起點、路線與終點，可串聯站房、月台及產業記憶。</t>
  </si>
  <si>
    <t>奮起湖風景區散步任務｜由站房或遺構起點出發，尋找兩種鐵道設施並完成一段舊線巡遊。沿途至少完成三個檢查點。</t>
  </si>
  <si>
    <t>https://www.google.com/maps/search/?api=1&amp;query=%E5%A5%AE%E8%B5%B7%E6%B9%96%E9%A2%A8%E6%99%AF%E5%8D%80%20%E7%AB%B9%E5%B4%8E%E9%84%89%20%E5%98%89%E7%BE%A9%E7%B8%A3</t>
  </si>
  <si>
    <t>https://www.google.com/maps?q=23.504190,120.695920</t>
  </si>
  <si>
    <t>DOR-CYI-RAIL-003</t>
  </si>
  <si>
    <t>檜意森活村</t>
  </si>
  <si>
    <t>檜意森活村具鐵道天然具備起點、路線與終點，可串聯站房、月台及產業記憶。</t>
  </si>
  <si>
    <t>檜意森活村散步任務｜由站房或遺構起點出發，尋找兩種鐵道設施並完成一段舊線巡遊。記錄一個只有步行時才會注意到的細節。</t>
  </si>
  <si>
    <t>https://www.google.com/maps/search/?api=1&amp;query=%E6%AA%9C%E6%84%8F%E6%A3%AE%E6%B4%BB%E6%9D%91%20%E6%9D%B1%E5%8D%80%20%E5%98%89%E7%BE%A9%E5%B8%82</t>
  </si>
  <si>
    <t>https://www.google.com/maps?q=23.485990,120.448430</t>
  </si>
  <si>
    <t>DOR-ILA-RAIL-001</t>
  </si>
  <si>
    <t>羅東林業文化園區</t>
  </si>
  <si>
    <t>羅東林業文化園區具鐵道天然具備起點、路線與終點，可串聯站房、月台及產業記憶。</t>
  </si>
  <si>
    <t>羅東林業文化園區散步任務｜由站房或遺構起點出發，尋找兩種鐵道設施並完成一段舊線巡遊。以起點、途中與終點三張照片完成探索紀錄。</t>
  </si>
  <si>
    <t>https://www.google.com/maps/search/?api=1&amp;query=%E7%BE%85%E6%9D%B1%E6%9E%97%E6%A5%AD%E6%96%87%E5%8C%96%E5%9C%92%E5%8D%80%20%E7%BE%85%E6%9D%B1%E9%8E%AE%20%E5%AE%9C%E8%98%AD%E7%B8%A3</t>
  </si>
  <si>
    <t>https://www.google.com/maps?q=24.684278,121.772350</t>
  </si>
  <si>
    <t>DOR-HUA-RAIL-001</t>
  </si>
  <si>
    <t>鳳林鎮</t>
  </si>
  <si>
    <t>林田山林業文化園區</t>
  </si>
  <si>
    <t>林田山林業文化園區具鐵道天然具備起點、路線與終點，可串聯站房、月台及產業記憶。</t>
  </si>
  <si>
    <t>林田山林業文化園區散步任務｜由站房或遺構起點出發，尋找兩種鐵道設施並完成一段舊線巡遊。在終點回答一題與場域故事有關的問題。</t>
  </si>
  <si>
    <t>https://www.google.com/maps/search/?api=1&amp;query=%E6%9E%97%E7%94%B0%E5%B1%B1%E6%9E%97%E6%A5%AD%E6%96%87%E5%8C%96%E5%9C%92%E5%8D%80%20%E9%B3%B3%E6%9E%97%E9%8E%AE%20%E8%8A%B1%E8%93%AE%E7%B8%A3</t>
  </si>
  <si>
    <t>https://www.google.com/maps?q=23.718088,121.398950</t>
  </si>
  <si>
    <t>DOR-TTT-RAIL-001</t>
  </si>
  <si>
    <t>多良車站</t>
  </si>
  <si>
    <t>多良車站具鐵道天然具備起點、路線與終點，可串聯站房、月台及產業記憶。</t>
  </si>
  <si>
    <t>多良車站散步任務｜由站房或遺構起點出發，尋找兩種鐵道設施並完成一段舊線巡遊。沿途至少完成三個檢查點。</t>
  </si>
  <si>
    <t>https://www.google.com/maps/search/?api=1&amp;query=%E5%A4%9A%E8%89%AF%E8%BB%8A%E7%AB%99%20%E5%A4%AA%E9%BA%BB%E9%87%8C%E9%84%89%20%E8%87%BA%E6%9D%B1%E7%B8%A3</t>
  </si>
  <si>
    <t>https://www.google.com/maps?q=22.507487,120.958880</t>
  </si>
  <si>
    <t>DOR-NTP-RAIL-005</t>
  </si>
  <si>
    <t>黃金博物館與礦業鐵道</t>
  </si>
  <si>
    <t>黃金博物館與礦業鐵道具鐵道天然具備起點、路線與終點，可串聯站房、月台及產業記憶。</t>
  </si>
  <si>
    <t>黃金博物館與礦業鐵道散步任務｜由站房或遺構起點出發，尋找兩種鐵道設施並完成一段舊線巡遊。記錄一個只有步行時才會注意到的細節。</t>
  </si>
  <si>
    <t>https://www.google.com/maps/search/?api=1&amp;query=%E9%BB%83%E9%87%91%E5%8D%9A%E7%89%A9%E9%A4%A8%E8%88%87%E7%A4%A6%E6%A5%AD%E9%90%B5%E9%81%93%20%E7%91%9E%E8%8A%B3%E5%8D%80%20%E6%96%B0%E5%8C%97%E5%B8%82</t>
  </si>
  <si>
    <t>https://www.google.com/maps?q=25.107534,121.857890</t>
  </si>
  <si>
    <t>DOR-TPE-WAT-001</t>
  </si>
  <si>
    <t>水岸／港口／漁港</t>
  </si>
  <si>
    <t>大稻埕碼頭</t>
  </si>
  <si>
    <t>碼頭、港區入口或水岸主地標</t>
  </si>
  <si>
    <t>大稻埕碼頭具水岸視野、船舶、橋梁與市場形成明確場景，白天與黃昏皆有不同玩法。</t>
  </si>
  <si>
    <t>大稻埕碼頭散步任務｜由港區入口沿水岸前進，完成船舶或橋梁觀察，抵達市場、燈塔或碼頭終點。記錄一個只有步行時才會注意到的細節。</t>
  </si>
  <si>
    <t>請留意潮汐、強風、港區作業、禁止進入區域與夜間照明；不靠近堤防邊緣。</t>
  </si>
  <si>
    <t>03｜水岸、港口與漁港</t>
  </si>
  <si>
    <t>港區或水岸入口／親水步道與船舶觀察點／橋梁、燈塔、市場或碼頭</t>
  </si>
  <si>
    <t>https://www.google.com/maps/search/?api=1&amp;query=%E5%A4%A7%E7%A8%BB%E5%9F%95%E7%A2%BC%E9%A0%AD%20%E5%A4%A7%E5%90%8C%E5%8D%80%20%E8%87%BA%E5%8C%97%E5%B8%82</t>
  </si>
  <si>
    <t>https://www.google.com/maps?q=25.056615,121.507140</t>
  </si>
  <si>
    <t>港區／水岸場域代表點</t>
  </si>
  <si>
    <t>DOR-TPE-WAT-002</t>
  </si>
  <si>
    <t>關渡碼頭</t>
  </si>
  <si>
    <t>關渡碼頭具水岸視野、船舶、橋梁與市場形成明確場景，白天與黃昏皆有不同玩法。</t>
  </si>
  <si>
    <t>關渡碼頭散步任務｜由港區入口沿水岸前進，完成船舶或橋梁觀察，抵達市場、燈塔或碼頭終點。以起點、途中與終點三張照片完成探索紀錄。</t>
  </si>
  <si>
    <t>https://www.google.com/maps/search/?api=1&amp;query=%E9%97%9C%E6%B8%A1%E7%A2%BC%E9%A0%AD%20%E5%8C%97%E6%8A%95%E5%8D%80%20%E8%87%BA%E5%8C%97%E5%B8%82</t>
  </si>
  <si>
    <t>https://www.google.com/maps?q=25.120615,121.460590</t>
  </si>
  <si>
    <t>DOR-NTP-WAT-001</t>
  </si>
  <si>
    <t>淡水漁人碼頭</t>
  </si>
  <si>
    <t>淡水漁人碼頭具水岸視野、船舶、橋梁與市場形成明確場景，白天與黃昏皆有不同玩法。</t>
  </si>
  <si>
    <t>淡水漁人碼頭散步任務｜由港區入口沿水岸前進，完成船舶或橋梁觀察，抵達市場、燈塔或碼頭終點。在終點回答一題與場域故事有關的問題。</t>
  </si>
  <si>
    <t>https://www.google.com/maps/search/?api=1&amp;query=%E6%B7%A1%E6%B0%B4%E6%BC%81%E4%BA%BA%E7%A2%BC%E9%A0%AD%20%E6%B7%A1%E6%B0%B4%E5%8D%80%20%E6%96%B0%E5%8C%97%E5%B8%82</t>
  </si>
  <si>
    <t>https://www.google.com/maps?q=25.183009,121.412100</t>
  </si>
  <si>
    <t>DOR-NTP-WAT-002</t>
  </si>
  <si>
    <t>淡水金色水岸</t>
  </si>
  <si>
    <t>淡水金色水岸具水岸視野、船舶、橋梁與市場形成明確場景，白天與黃昏皆有不同玩法。</t>
  </si>
  <si>
    <t>淡水金色水岸散步任務｜由港區入口沿水岸前進，完成船舶或橋梁觀察，抵達市場、燈塔或碼頭終點。沿途至少完成三個檢查點。</t>
  </si>
  <si>
    <t>https://www.google.com/maps/search/?api=1&amp;query=%E6%B7%A1%E6%B0%B4%E9%87%91%E8%89%B2%E6%B0%B4%E5%B2%B8%20%E6%B7%A1%E6%B0%B4%E5%8D%80%20%E6%96%B0%E5%8C%97%E5%B8%82</t>
  </si>
  <si>
    <t>https://www.google.com/maps?q=25.168909,121.441450</t>
  </si>
  <si>
    <t>DOR-NTP-WAT-003</t>
  </si>
  <si>
    <t>八里左岸</t>
  </si>
  <si>
    <t>八里左岸具水岸視野、船舶、橋梁與市場形成明確場景，白天與黃昏皆有不同玩法。</t>
  </si>
  <si>
    <t>八里左岸散步任務｜由港區入口沿水岸前進，完成船舶或橋梁觀察，抵達市場、燈塔或碼頭終點。記錄一個只有步行時才會注意到的細節。</t>
  </si>
  <si>
    <t>https://www.google.com/maps/search/?api=1&amp;query=%E5%85%AB%E9%87%8C%E5%B7%A6%E5%B2%B8%20%E5%85%AB%E9%87%8C%E5%8D%80%20%E6%96%B0%E5%8C%97%E5%B8%82</t>
  </si>
  <si>
    <t>https://www.google.com/maps?q=25.160845,121.430030</t>
  </si>
  <si>
    <t>可能｜與「八里左岸公園」相近，合併前確認</t>
  </si>
  <si>
    <t>DOR-NTP-WAT-004</t>
  </si>
  <si>
    <t>石門區</t>
  </si>
  <si>
    <t>富基漁港</t>
  </si>
  <si>
    <t>富基漁港具水岸視野、船舶、橋梁與市場形成明確場景，白天與黃昏皆有不同玩法。</t>
  </si>
  <si>
    <t>富基漁港散步任務｜由港區入口沿水岸前進，完成船舶或橋梁觀察，抵達市場、燈塔或碼頭終點。以起點、途中與終點三張照片完成探索紀錄。</t>
  </si>
  <si>
    <t>https://www.google.com/maps/search/?api=1&amp;query=%E5%AF%8C%E5%9F%BA%E6%BC%81%E6%B8%AF%20%E7%9F%B3%E9%96%80%E5%8D%80%20%E6%96%B0%E5%8C%97%E5%B8%82</t>
  </si>
  <si>
    <t>https://www.google.com/maps?q=25.292634,121.535300</t>
  </si>
  <si>
    <t>DOR-KEE-WAT-001</t>
  </si>
  <si>
    <t>仁愛區</t>
  </si>
  <si>
    <t>基隆港</t>
  </si>
  <si>
    <t>基隆港具水岸視野、船舶、橋梁與市場形成明確場景，白天與黃昏皆有不同玩法。</t>
  </si>
  <si>
    <t>基隆港散步任務｜由港區入口沿水岸前進，完成船舶或橋梁觀察，抵達市場、燈塔或碼頭終點。在終點回答一題與場域故事有關的問題。</t>
  </si>
  <si>
    <t>https://www.google.com/maps/search/?api=1&amp;query=%E5%9F%BA%E9%9A%86%E6%B8%AF%20%E4%BB%81%E6%84%9B%E5%8D%80%20%E5%9F%BA%E9%9A%86%E5%B8%82</t>
  </si>
  <si>
    <t>https://www.google.com/maps?q=25.131022,121.741340</t>
  </si>
  <si>
    <t>DOR-KEE-WAT-002</t>
  </si>
  <si>
    <t>碧砂漁港</t>
  </si>
  <si>
    <t>碧砂漁港具水岸視野、船舶、橋梁與市場形成明確場景，白天與黃昏皆有不同玩法。</t>
  </si>
  <si>
    <t>碧砂漁港散步任務｜由港區入口沿水岸前進，完成船舶或橋梁觀察，抵達市場、燈塔或碼頭終點。沿途至少完成三個檢查點。</t>
  </si>
  <si>
    <t>https://www.google.com/maps/search/?api=1&amp;query=%E7%A2%A7%E7%A0%82%E6%BC%81%E6%B8%AF%20%E4%B8%AD%E6%AD%A3%E5%8D%80%20%E5%9F%BA%E9%9A%86%E5%B8%82</t>
  </si>
  <si>
    <t>https://www.google.com/maps?q=25.147141,121.786290</t>
  </si>
  <si>
    <t>DOR-KEE-WAT-003</t>
  </si>
  <si>
    <t>外木山情人湖濱海大道</t>
  </si>
  <si>
    <t>外木山情人湖濱海大道具水岸視野、船舶、橋梁與市場形成明確場景，白天與黃昏皆有不同玩法。</t>
  </si>
  <si>
    <t>外木山情人湖濱海大道散步任務｜由港區入口沿水岸前進，完成船舶或橋梁觀察，抵達市場、燈塔或碼頭終點。記錄一個只有步行時才會注意到的細節。</t>
  </si>
  <si>
    <t>https://www.google.com/maps/search/?api=1&amp;query=%E5%A4%96%E6%9C%A8%E5%B1%B1%E6%83%85%E4%BA%BA%E6%B9%96%E6%BF%B1%E6%B5%B7%E5%A4%A7%E9%81%93%20%E4%B8%AD%E5%B1%B1%E5%8D%80%20%E5%9F%BA%E9%9A%86%E5%B8%82</t>
  </si>
  <si>
    <t>https://www.google.com/maps?q=25.163322,121.727100</t>
  </si>
  <si>
    <t>DOR-TAO-WAT-001</t>
  </si>
  <si>
    <t>竹圍漁港</t>
  </si>
  <si>
    <t>竹圍漁港具水岸視野、船舶、橋梁與市場形成明確場景，白天與黃昏皆有不同玩法。</t>
  </si>
  <si>
    <t>竹圍漁港散步任務｜由港區入口沿水岸前進，完成船舶或橋梁觀察，抵達市場、燈塔或碼頭終點。以起點、途中與終點三張照片完成探索紀錄。</t>
  </si>
  <si>
    <t>https://www.google.com/maps/search/?api=1&amp;query=%E7%AB%B9%E5%9C%8D%E6%BC%81%E6%B8%AF%20%E5%A4%A7%E5%9C%92%E5%8D%80%20%E6%A1%83%E5%9C%92%E5%B8%82</t>
  </si>
  <si>
    <t>https://www.google.com/maps?q=25.116855,121.244150</t>
  </si>
  <si>
    <t>DOR-TAO-WAT-002</t>
  </si>
  <si>
    <t>新屋區</t>
  </si>
  <si>
    <t>永安漁港</t>
  </si>
  <si>
    <t>永安漁港具水岸視野、船舶、橋梁與市場形成明確場景，白天與黃昏皆有不同玩法。</t>
  </si>
  <si>
    <t>永安漁港散步任務｜由港區入口沿水岸前進，完成船舶或橋梁觀察，抵達市場、燈塔或碼頭終點。在終點回答一題與場域故事有關的問題。</t>
  </si>
  <si>
    <t>https://www.google.com/maps/search/?api=1&amp;query=%E6%B0%B8%E5%AE%89%E6%BC%81%E6%B8%AF%20%E6%96%B0%E5%B1%8B%E5%8D%80%20%E6%A1%83%E5%9C%92%E5%B8%82</t>
  </si>
  <si>
    <t>https://www.google.com/maps?q=24.987943,121.014920</t>
  </si>
  <si>
    <t>DOR-HSZ-WAT-001</t>
  </si>
  <si>
    <t>十七公里海岸風景區</t>
  </si>
  <si>
    <t>十七公里海岸風景區具水岸視野、船舶、橋梁與市場形成明確場景，白天與黃昏皆有不同玩法。</t>
  </si>
  <si>
    <t>十七公里海岸風景區散步任務｜由港區入口沿水岸前進，完成船舶或橋梁觀察，抵達市場、燈塔或碼頭終點。沿途至少完成三個檢查點。</t>
  </si>
  <si>
    <t>https://www.google.com/maps/search/?api=1&amp;query=%E5%8D%81%E4%B8%83%E5%85%AC%E9%87%8C%E6%B5%B7%E5%B2%B8%E9%A2%A8%E6%99%AF%E5%8D%80%20%E5%8C%97%E5%8D%80%20%E6%96%B0%E7%AB%B9%E5%B8%82</t>
  </si>
  <si>
    <t>https://www.google.com/maps?q=24.846239,120.925890</t>
  </si>
  <si>
    <t>DOR-MIA-WAT-001</t>
  </si>
  <si>
    <t>龍鳳漁港</t>
  </si>
  <si>
    <t>龍鳳漁港具水岸視野、船舶、橋梁與市場形成明確場景，白天與黃昏皆有不同玩法。</t>
  </si>
  <si>
    <t>龍鳳漁港散步任務｜由港區入口沿水岸前進，完成船舶或橋梁觀察，抵達市場、燈塔或碼頭終點。記錄一個只有步行時才會注意到的細節。</t>
  </si>
  <si>
    <t>https://www.google.com/maps/search/?api=1&amp;query=%E9%BE%8D%E9%B3%B3%E6%BC%81%E6%B8%AF%20%E7%AB%B9%E5%8D%97%E9%8E%AE%20%E8%8B%97%E6%A0%97%E7%B8%A3</t>
  </si>
  <si>
    <t>https://www.google.com/maps?q=24.699778,120.858310</t>
  </si>
  <si>
    <t>DOR-TXG-WAT-001</t>
  </si>
  <si>
    <t>梧棲觀光漁港</t>
  </si>
  <si>
    <t>梧棲觀光漁港具水岸視野、船舶、橋梁與市場形成明確場景，白天與黃昏皆有不同玩法。</t>
  </si>
  <si>
    <t>梧棲觀光漁港散步任務｜由港區入口沿水岸前進，完成船舶或橋梁觀察，抵達市場、燈塔或碼頭終點。以起點、途中與終點三張照片完成探索紀錄。</t>
  </si>
  <si>
    <t>https://www.google.com/maps/search/?api=1&amp;query=%E6%A2%A7%E6%A3%B2%E8%A7%80%E5%85%89%E6%BC%81%E6%B8%AF%20%E6%B8%85%E6%B0%B4%E5%8D%80%20%E8%87%BA%E4%B8%AD%E5%B8%82</t>
  </si>
  <si>
    <t>https://www.google.com/maps?q=24.293410,120.521220</t>
  </si>
  <si>
    <t>DOR-CHA-WAT-001</t>
  </si>
  <si>
    <t>芳苑鄉</t>
  </si>
  <si>
    <t>王功漁港（王功漁火碼頭）</t>
  </si>
  <si>
    <t>王功漁港（王功漁火碼頭）具水岸視野、船舶、橋梁與市場形成明確場景，白天與黃昏皆有不同玩法。</t>
  </si>
  <si>
    <t>王功漁港（王功漁火碼頭）散步任務｜由港區入口沿水岸前進，完成船舶或橋梁觀察，抵達市場、燈塔或碼頭終點。在終點回答一題與場域故事有關的問題。</t>
  </si>
  <si>
    <t>https://www.google.com/maps/search/?api=1&amp;query=%E7%8E%8B%E5%8A%9F%E6%BC%81%E6%B8%AF%EF%BC%88%E7%8E%8B%E5%8A%9F%E6%BC%81%E7%81%AB%E7%A2%BC%E9%A0%AD%EF%BC%89%20%E8%8A%B3%E8%8B%91%E9%84%89%20%E5%BD%B0%E5%8C%96%E7%B8%A3</t>
  </si>
  <si>
    <t>https://www.google.com/maps?q=23.969635,120.326440</t>
  </si>
  <si>
    <t>DOR-CYQ-WAT-001</t>
  </si>
  <si>
    <t>東石漁人碼頭（東石漁港）</t>
  </si>
  <si>
    <t>東石漁人碼頭（東石漁港）具水岸視野、船舶、橋梁與市場形成明確場景，白天與黃昏皆有不同玩法。</t>
  </si>
  <si>
    <t>東石漁人碼頭（東石漁港）散步任務｜由港區入口沿水岸前進，完成船舶或橋梁觀察，抵達市場、燈塔或碼頭終點。沿途至少完成三個檢查點。</t>
  </si>
  <si>
    <t>https://www.google.com/maps/search/?api=1&amp;query=%E6%9D%B1%E7%9F%B3%E6%BC%81%E4%BA%BA%E7%A2%BC%E9%A0%AD%EF%BC%88%E6%9D%B1%E7%9F%B3%E6%BC%81%E6%B8%AF%EF%BC%89%20%E6%9D%B1%E7%9F%B3%E9%84%89%20%E5%98%89%E7%BE%A9%E7%B8%A3</t>
  </si>
  <si>
    <t>https://www.google.com/maps?q=23.448865,120.135330</t>
  </si>
  <si>
    <t>可能｜與「東石漁人碼頭親水公園」可能同場域</t>
  </si>
  <si>
    <t>DOR-CYQ-WAT-002</t>
  </si>
  <si>
    <t>布袋觀光漁市</t>
  </si>
  <si>
    <t>布袋觀光漁市具水岸視野、船舶、橋梁與市場形成明確場景，白天與黃昏皆有不同玩法。</t>
  </si>
  <si>
    <t>布袋觀光漁市散步任務｜由港區入口沿水岸前進，完成船舶或橋梁觀察，抵達市場、燈塔或碼頭終點。記錄一個只有步行時才會注意到的細節。</t>
  </si>
  <si>
    <t>https://www.google.com/maps/search/?api=1&amp;query=%E5%B8%83%E8%A2%8B%E8%A7%80%E5%85%89%E6%BC%81%E5%B8%82%20%E5%B8%83%E8%A2%8B%E9%8E%AE%20%E5%98%89%E7%BE%A9%E7%B8%A3</t>
  </si>
  <si>
    <t>https://www.google.com/maps?q=23.379479,120.155560</t>
  </si>
  <si>
    <t>DOR-TNN-WAT-001</t>
  </si>
  <si>
    <t>安平港與燈塔</t>
  </si>
  <si>
    <t>安平港與燈塔具水岸視野、船舶、橋梁與市場形成明確場景，白天與黃昏皆有不同玩法。</t>
  </si>
  <si>
    <t>安平港與燈塔散步任務｜由港區入口沿水岸前進，完成船舶或橋梁觀察，抵達市場、燈塔或碼頭終點。以起點、途中與終點三張照片完成探索紀錄。</t>
  </si>
  <si>
    <t>https://www.google.com/maps/search/?api=1&amp;query=%E5%AE%89%E5%B9%B3%E6%B8%AF%E8%88%87%E7%87%88%E5%A1%94%20%E5%AE%89%E5%B9%B3%E5%8D%80%20%E8%87%BA%E5%8D%97%E5%B8%82</t>
  </si>
  <si>
    <t>https://www.google.com/maps?q=22.991041,120.147290</t>
  </si>
  <si>
    <t>DOR-KHH-WAT-001</t>
  </si>
  <si>
    <t>前金區</t>
  </si>
  <si>
    <t>愛河</t>
  </si>
  <si>
    <t>愛河具水岸視野、船舶、橋梁與市場形成明確場景，白天與黃昏皆有不同玩法。</t>
  </si>
  <si>
    <t>愛河散步任務｜由港區入口沿水岸前進，完成船舶或橋梁觀察，抵達市場、燈塔或碼頭終點。在終點回答一題與場域故事有關的問題。</t>
  </si>
  <si>
    <t>https://www.google.com/maps/search/?api=1&amp;query=%E6%84%9B%E6%B2%B3%20%E5%89%8D%E9%87%91%E5%8D%80%20%E9%AB%98%E9%9B%84%E5%B8%82</t>
  </si>
  <si>
    <t>https://www.google.com/maps?q=22.624860,120.289120</t>
  </si>
  <si>
    <t>DOR-KHH-WAT-002</t>
  </si>
  <si>
    <t>高雄港</t>
  </si>
  <si>
    <t>高雄港具水岸視野、船舶、橋梁與市場形成明確場景，白天與黃昏皆有不同玩法。</t>
  </si>
  <si>
    <t>高雄港散步任務｜由港區入口沿水岸前進，完成船舶或橋梁觀察，抵達市場、燈塔或碼頭終點。沿途至少完成三個檢查點。</t>
  </si>
  <si>
    <t>https://www.google.com/maps/search/?api=1&amp;query=%E9%AB%98%E9%9B%84%E6%B8%AF%20%E9%BC%93%E5%B1%B1%E5%8D%80%20%E9%AB%98%E9%9B%84%E5%B8%82</t>
  </si>
  <si>
    <t>https://www.google.com/maps?q=22.599017,120.288430</t>
  </si>
  <si>
    <t>DOR-PIF-WAT-001</t>
  </si>
  <si>
    <t>東港漁港華僑市場</t>
  </si>
  <si>
    <t>東港漁港華僑市場具水岸視野、船舶、橋梁與市場形成明確場景，白天與黃昏皆有不同玩法。</t>
  </si>
  <si>
    <t>東港漁港華僑市場散步任務｜由港區入口沿水岸前進，完成船舶或橋梁觀察，抵達市場、燈塔或碼頭終點。記錄一個只有步行時才會注意到的細節。</t>
  </si>
  <si>
    <t>https://www.google.com/maps/search/?api=1&amp;query=%E6%9D%B1%E6%B8%AF%E6%BC%81%E6%B8%AF%E8%8F%AF%E5%83%91%E5%B8%82%E5%A0%B4%20%E6%9D%B1%E6%B8%AF%E9%8E%AE%20%E5%B1%8F%E6%9D%B1%E7%B8%A3</t>
  </si>
  <si>
    <t>https://www.google.com/maps?q=22.468089,120.443320</t>
  </si>
  <si>
    <t>DOR-ILA-WAT-001</t>
  </si>
  <si>
    <t>南方澳</t>
  </si>
  <si>
    <t>南方澳具水岸視野、船舶、橋梁與市場形成明確場景，白天與黃昏皆有不同玩法。</t>
  </si>
  <si>
    <t>南方澳散步任務｜由港區入口沿水岸前進，完成船舶或橋梁觀察，抵達市場、燈塔或碼頭終點。以起點、途中與終點三張照片完成探索紀錄。</t>
  </si>
  <si>
    <t>https://www.google.com/maps/search/?api=1&amp;query=%E5%8D%97%E6%96%B9%E6%BE%B3%20%E8%98%87%E6%BE%B3%E9%8E%AE%20%E5%AE%9C%E8%98%AD%E7%B8%A3</t>
  </si>
  <si>
    <t>https://www.google.com/maps?q=24.584472,121.864520</t>
  </si>
  <si>
    <t>DOR-HUA-WAT-001</t>
  </si>
  <si>
    <t>太平洋公園水岸</t>
  </si>
  <si>
    <t>太平洋公園水岸具水岸視野、船舶、橋梁與市場形成明確場景，白天與黃昏皆有不同玩法。</t>
  </si>
  <si>
    <t>太平洋公園水岸散步任務｜由港區入口沿水岸前進，完成船舶或橋梁觀察，抵達市場、燈塔或碼頭終點。在終點回答一題與場域故事有關的問題。</t>
  </si>
  <si>
    <t>https://www.google.com/maps/search/?api=1&amp;query=%E5%A4%AA%E5%B9%B3%E6%B4%8B%E5%85%AC%E5%9C%92%E6%B0%B4%E5%B2%B8%20%E8%8A%B1%E8%93%AE%E5%B8%82%20%E8%8A%B1%E8%93%AE%E7%B8%A3</t>
  </si>
  <si>
    <t>DOR-TTT-WAT-001</t>
  </si>
  <si>
    <t>富岡漁港</t>
  </si>
  <si>
    <t>富岡漁港具水岸視野、船舶、橋梁與市場形成明確場景，白天與黃昏皆有不同玩法。</t>
  </si>
  <si>
    <t>富岡漁港散步任務｜由港區入口沿水岸前進，完成船舶或橋梁觀察，抵達市場、燈塔或碼頭終點。沿途至少完成三個檢查點。</t>
  </si>
  <si>
    <t>https://www.google.com/maps/search/?api=1&amp;query=%E5%AF%8C%E5%B2%A1%E6%BC%81%E6%B8%AF%20%E8%87%BA%E6%9D%B1%E5%B8%82%20%E8%87%BA%E6%9D%B1%E7%B8%A3</t>
  </si>
  <si>
    <t>https://www.google.com/maps?q=22.791674,121.192050</t>
  </si>
  <si>
    <t>DOR-PEN-WAT-001</t>
  </si>
  <si>
    <t>觀音亭親水遊憩區具水岸視野、船舶、橋梁與市場形成明確場景，白天與黃昏皆有不同玩法。</t>
  </si>
  <si>
    <t>觀音亭親水遊憩區散步任務｜由港區入口沿水岸前進，完成船舶或橋梁觀察，抵達市場、燈塔或碼頭終點。記錄一個只有步行時才會注意到的細節。</t>
  </si>
  <si>
    <t>https://www.google.com/maps?q=23.567592,119.562060</t>
  </si>
  <si>
    <t>是｜與既有公園同名，可共用場域</t>
  </si>
  <si>
    <t>DOR-TPE-CUL-001</t>
  </si>
  <si>
    <t>文化聚落／產業遺址</t>
  </si>
  <si>
    <t>華山1914文化創意產業園區</t>
  </si>
  <si>
    <t>園區入口／核心建築代表點</t>
  </si>
  <si>
    <t>華山1914文化創意產業園區具宿舍群、聚落、工業與地方產業遺構具完整故事，可設計角色與時代任務。</t>
  </si>
  <si>
    <t>華山1914文化創意產業園區散步任務｜從入口解說點進入，辨認一處生活建築與一處產業遺構，於核心地標完成任務。記錄一個只有步行時才會注意到的細節。</t>
  </si>
  <si>
    <t>部分園區有開放時間、門票或導覽規定；聚落任務應尊重居民與拍攝限制。</t>
  </si>
  <si>
    <t>A｜觀光署 Google 基準園區 POI</t>
  </si>
  <si>
    <t>04｜文化聚落與產業遺址</t>
  </si>
  <si>
    <t>45–70 分鐘</t>
  </si>
  <si>
    <t>園區入口與解說／生活建築或聚落巷弄／產業遺構或核心展館</t>
  </si>
  <si>
    <t>https://www.google.com/maps/search/?api=1&amp;query=%E8%8F%AF%E5%B1%B11914%E6%96%87%E5%8C%96%E5%89%B5%E6%84%8F%E7%94%A2%E6%A5%AD%E5%9C%92%E5%8D%80%20%E4%B8%AD%E6%AD%A3%E5%8D%80%20%E8%87%BA%E5%8C%97%E5%B8%82</t>
  </si>
  <si>
    <t>https://www.google.com/maps?q=25.044130,121.529390</t>
  </si>
  <si>
    <t>文化／產業園區 POI</t>
  </si>
  <si>
    <t>DOR-TPE-CUL-002</t>
  </si>
  <si>
    <t>松山文創園區</t>
  </si>
  <si>
    <t>松山文創園區具宿舍群、聚落、工業與地方產業遺構具完整故事，可設計角色與時代任務。</t>
  </si>
  <si>
    <t>松山文創園區散步任務｜從入口解說點進入，辨認一處生活建築與一處產業遺構，於核心地標完成任務。以起點、途中與終點三張照片完成探索紀錄。</t>
  </si>
  <si>
    <t>https://www.google.com/maps/search/?api=1&amp;query=%E6%9D%BE%E5%B1%B1%E6%96%87%E5%89%B5%E5%9C%92%E5%8D%80%20%E4%BF%A1%E7%BE%A9%E5%8D%80%20%E8%87%BA%E5%8C%97%E5%B8%82</t>
  </si>
  <si>
    <t>https://www.google.com/maps?q=25.043848,121.560630</t>
  </si>
  <si>
    <t>DOR-TPE-CUL-003</t>
  </si>
  <si>
    <t>四四南村</t>
  </si>
  <si>
    <t>四四南村具宿舍群、聚落、工業與地方產業遺構具完整故事，可設計角色與時代任務。</t>
  </si>
  <si>
    <t>四四南村散步任務｜從入口解說點進入，辨認一處生活建築與一處產業遺構，於核心地標完成任務。在終點回答一題與場域故事有關的問題。</t>
  </si>
  <si>
    <t>https://www.google.com/maps/search/?api=1&amp;query=%E5%9B%9B%E5%9B%9B%E5%8D%97%E6%9D%91%20%E4%BF%A1%E7%BE%A9%E5%8D%80%20%E8%87%BA%E5%8C%97%E5%B8%82</t>
  </si>
  <si>
    <t>https://www.google.com/maps?q=25.031161,121.561790</t>
  </si>
  <si>
    <t>DOR-TPE-CUL-004</t>
  </si>
  <si>
    <t>林安泰古厝民俗文物館</t>
  </si>
  <si>
    <t>林安泰古厝民俗文物館具宿舍群、聚落、工業與地方產業遺構具完整故事，可設計角色與時代任務。</t>
  </si>
  <si>
    <t>林安泰古厝民俗文物館散步任務｜從入口解說點進入，辨認一處生活建築與一處產業遺構，於核心地標完成任務。沿途至少完成三個檢查點。</t>
  </si>
  <si>
    <t>https://www.google.com/maps/search/?api=1&amp;query=%E6%9E%97%E5%AE%89%E6%B3%B0%E5%8F%A4%E5%8E%9D%E6%B0%91%E4%BF%97%E6%96%87%E7%89%A9%E9%A4%A8%20%E4%B8%AD%E5%B1%B1%E5%8D%80%20%E8%87%BA%E5%8C%97%E5%B8%82</t>
  </si>
  <si>
    <t>https://www.google.com/maps?q=25.071749,121.530350</t>
  </si>
  <si>
    <t>DOR-NTP-CUL-001</t>
  </si>
  <si>
    <t>林本源園邸（板橋林家花園）</t>
  </si>
  <si>
    <t>林本源園邸（板橋林家花園）具宿舍群、聚落、工業與地方產業遺構具完整故事，可設計角色與時代任務。</t>
  </si>
  <si>
    <t>林本源園邸（板橋林家花園）散步任務｜從入口解說點進入，辨認一處生活建築與一處產業遺構，於核心地標完成任務。記錄一個只有步行時才會注意到的細節。</t>
  </si>
  <si>
    <t>https://www.google.com/maps/search/?api=1&amp;query=%E6%9E%97%E6%9C%AC%E6%BA%90%E5%9C%92%E9%82%B8%EF%BC%88%E6%9D%BF%E6%A9%8B%E6%9E%97%E5%AE%B6%E8%8A%B1%E5%9C%92%EF%BC%89%20%E6%9D%BF%E6%A9%8B%E5%8D%80%20%E6%96%B0%E5%8C%97%E5%B8%82</t>
  </si>
  <si>
    <t>https://www.google.com/maps?q=25.011119,121.454590</t>
  </si>
  <si>
    <t>DOR-NTP-CUL-002</t>
  </si>
  <si>
    <t>烏來泰雅民族博物館</t>
  </si>
  <si>
    <t>烏來泰雅民族博物館具宿舍群、聚落、工業與地方產業遺構具完整故事，可設計角色與時代任務。</t>
  </si>
  <si>
    <t>烏來泰雅民族博物館散步任務｜從入口解說點進入，辨認一處生活建築與一處產業遺構，於核心地標完成任務。以起點、途中與終點三張照片完成探索紀錄。</t>
  </si>
  <si>
    <t>https://www.google.com/maps/search/?api=1&amp;query=%E7%83%8F%E4%BE%86%E6%B3%B0%E9%9B%85%E6%B0%91%E6%97%8F%E5%8D%9A%E7%89%A9%E9%A4%A8%20%E7%83%8F%E4%BE%86%E5%8D%80%20%E6%96%B0%E5%8C%97%E5%B8%82</t>
  </si>
  <si>
    <t>https://www.google.com/maps?q=24.864090,121.551500</t>
  </si>
  <si>
    <t>DOR-TAO-CUL-001</t>
  </si>
  <si>
    <t>范姜老屋群</t>
  </si>
  <si>
    <t>范姜老屋群具宿舍群、聚落、工業與地方產業遺構具完整故事，可設計角色與時代任務。</t>
  </si>
  <si>
    <t>范姜老屋群散步任務｜從入口解說點進入，辨認一處生活建築與一處產業遺構，於核心地標完成任務。在終點回答一題與場域故事有關的問題。</t>
  </si>
  <si>
    <t>https://www.google.com/maps/search/?api=1&amp;query=%E8%8C%83%E5%A7%9C%E8%80%81%E5%B1%8B%E7%BE%A4%20%E6%96%B0%E5%B1%8B%E5%8D%80%20%E6%A1%83%E5%9C%92%E5%B8%82</t>
  </si>
  <si>
    <t>https://www.google.com/maps?q=24.976194,121.104440</t>
  </si>
  <si>
    <t>文化聚落代表點</t>
  </si>
  <si>
    <t>DOR-TAO-CUL-002</t>
  </si>
  <si>
    <t>大溪老茶廠</t>
  </si>
  <si>
    <t>大溪老茶廠具宿舍群、聚落、工業與地方產業遺構具完整故事，可設計角色與時代任務。</t>
  </si>
  <si>
    <t>大溪老茶廠散步任務｜從入口解說點進入，辨認一處生活建築與一處產業遺構，於核心地標完成任務。沿途至少完成三個檢查點。</t>
  </si>
  <si>
    <t>https://www.google.com/maps/search/?api=1&amp;query=%E5%A4%A7%E6%BA%AA%E8%80%81%E8%8C%B6%E5%BB%A0%20%E5%A4%A7%E6%BA%AA%E5%8D%80%20%E6%A1%83%E5%9C%92%E5%B8%82</t>
  </si>
  <si>
    <t>https://www.google.com/maps?q=24.830647,121.328380</t>
  </si>
  <si>
    <t>DOR-HSQ-CUL-001</t>
  </si>
  <si>
    <t>五峰鄉</t>
  </si>
  <si>
    <t>張學良文化園區</t>
  </si>
  <si>
    <t>張學良文化園區具宿舍群、聚落、工業與地方產業遺構具完整故事，可設計角色與時代任務。</t>
  </si>
  <si>
    <t>張學良文化園區散步任務｜從入口解說點進入，辨認一處生活建築與一處產業遺構，於核心地標完成任務。記錄一個只有步行時才會注意到的細節。</t>
  </si>
  <si>
    <t>https://www.google.com/maps/search/?api=1&amp;query=%E5%BC%B5%E5%AD%B8%E8%89%AF%E6%96%87%E5%8C%96%E5%9C%92%E5%8D%80%20%E4%BA%94%E5%B3%B0%E9%84%89%20%E6%96%B0%E7%AB%B9%E7%B8%A3</t>
  </si>
  <si>
    <t>https://www.google.com/maps?q=24.572472,121.105360</t>
  </si>
  <si>
    <t>DOR-MIA-CUL-001</t>
  </si>
  <si>
    <t>公館鄉</t>
  </si>
  <si>
    <t>台灣油礦陳列館</t>
  </si>
  <si>
    <t>台灣油礦陳列館具宿舍群、聚落、工業與地方產業遺構具完整故事，可設計角色與時代任務。</t>
  </si>
  <si>
    <t>台灣油礦陳列館散步任務｜從入口解說點進入，辨認一處生活建築與一處產業遺構，於核心地標完成任務。以起點、途中與終點三張照片完成探索紀錄。</t>
  </si>
  <si>
    <t>https://www.google.com/maps/search/?api=1&amp;query=%E5%8F%B0%E7%81%A3%E6%B2%B9%E7%A4%A6%E9%99%B3%E5%88%97%E9%A4%A8%20%E5%85%AC%E9%A4%A8%E9%84%89%20%E8%8B%97%E6%A0%97%E7%B8%A3</t>
  </si>
  <si>
    <t>https://www.google.com/maps?q=24.460023,120.856010</t>
  </si>
  <si>
    <t>DOR-CHA-CUL-001</t>
  </si>
  <si>
    <t>鹿港民俗文物館</t>
  </si>
  <si>
    <t>鹿港民俗文物館具宿舍群、聚落、工業與地方產業遺構具完整故事，可設計角色與時代任務。</t>
  </si>
  <si>
    <t>鹿港民俗文物館散步任務｜從入口解說點進入，辨認一處生活建築與一處產業遺構，於核心地標完成任務。在終點回答一題與場域故事有關的問題。</t>
  </si>
  <si>
    <t>https://www.google.com/maps/search/?api=1&amp;query=%E9%B9%BF%E6%B8%AF%E6%B0%91%E4%BF%97%E6%96%87%E7%89%A9%E9%A4%A8%20%E9%B9%BF%E6%B8%AF%E9%8E%AE%20%E5%BD%B0%E5%8C%96%E7%B8%A3</t>
  </si>
  <si>
    <t>https://www.google.com/maps?q=24.053883,120.436480</t>
  </si>
  <si>
    <t>DOR-MIA-CUL-002</t>
  </si>
  <si>
    <t>臺灣客家文化館</t>
  </si>
  <si>
    <t>臺灣客家文化館具宿舍群、聚落、工業與地方產業遺構具完整故事，可設計角色與時代任務。</t>
  </si>
  <si>
    <t>臺灣客家文化館散步任務｜從入口解說點進入，辨認一處生活建築與一處產業遺構，於核心地標完成任務。沿途至少完成三個檢查點。</t>
  </si>
  <si>
    <t>https://www.google.com/maps/search/?api=1&amp;query=%E8%87%BA%E7%81%A3%E5%AE%A2%E5%AE%B6%E6%96%87%E5%8C%96%E9%A4%A8%20%E9%8A%85%E9%91%BC%E9%84%89%20%E8%8B%97%E6%A0%97%E7%B8%A3</t>
  </si>
  <si>
    <t>https://www.google.com/maps?q=24.462385,120.771240</t>
  </si>
  <si>
    <t>DOR-CYQ-CUL-001</t>
  </si>
  <si>
    <t>阿里山鄉</t>
  </si>
  <si>
    <t>鄒族自然與文化中心</t>
  </si>
  <si>
    <t>鄒族自然與文化中心具宿舍群、聚落、工業與地方產業遺構具完整故事，可設計角色與時代任務。</t>
  </si>
  <si>
    <t>鄒族自然與文化中心散步任務｜從入口解說點進入，辨認一處生活建築與一處產業遺構，於核心地標完成任務。記錄一個只有步行時才會注意到的細節。</t>
  </si>
  <si>
    <t>https://www.google.com/maps/search/?api=1&amp;query=%E9%84%92%E6%97%8F%E8%87%AA%E7%84%B6%E8%88%87%E6%96%87%E5%8C%96%E4%B8%AD%E5%BF%83%20%E9%98%BF%E9%87%8C%E5%B1%B1%E9%84%89%20%E5%98%89%E7%BE%A9%E7%B8%A3</t>
  </si>
  <si>
    <t>https://www.google.com/maps?q=23.453945,120.749370</t>
  </si>
  <si>
    <t>DOR-TNN-CUL-001</t>
  </si>
  <si>
    <t>八田與一紀念園區</t>
  </si>
  <si>
    <t>八田與一紀念園區具宿舍群、聚落、工業與地方產業遺構具完整故事，可設計角色與時代任務。</t>
  </si>
  <si>
    <t>八田與一紀念園區散步任務｜從入口解說點進入，辨認一處生活建築與一處產業遺構，於核心地標完成任務。以起點、途中與終點三張照片完成探索紀錄。</t>
  </si>
  <si>
    <t>https://www.google.com/maps/search/?api=1&amp;query=%E5%85%AB%E7%94%B0%E8%88%87%E4%B8%80%E7%B4%80%E5%BF%B5%E5%9C%92%E5%8D%80%20%E5%AE%98%E7%94%B0%E5%8D%80%20%E8%87%BA%E5%8D%97%E5%B8%82</t>
  </si>
  <si>
    <t>https://www.google.com/maps?q=23.213932,120.364800</t>
  </si>
  <si>
    <t>DOR-TNN-CUL-002</t>
  </si>
  <si>
    <t>北門區</t>
  </si>
  <si>
    <t>井仔腳瓦盤鹽田</t>
  </si>
  <si>
    <t>井仔腳瓦盤鹽田具宿舍群、聚落、工業與地方產業遺構具完整故事，可設計角色與時代任務。</t>
  </si>
  <si>
    <t>井仔腳瓦盤鹽田散步任務｜從入口解說點進入，辨認一處生活建築與一處產業遺構，於核心地標完成任務。在終點回答一題與場域故事有關的問題。</t>
  </si>
  <si>
    <t>https://www.google.com/maps/search/?api=1&amp;query=%E4%BA%95%E4%BB%94%E8%85%B3%E7%93%A6%E7%9B%A4%E9%B9%BD%E7%94%B0%20%E5%8C%97%E9%96%80%E5%8D%80%20%E8%87%BA%E5%8D%97%E5%B8%82</t>
  </si>
  <si>
    <t>https://www.google.com/maps?q=23.258830,120.107560</t>
  </si>
  <si>
    <t>DOR-TNN-CUL-003</t>
  </si>
  <si>
    <t>安南區</t>
  </si>
  <si>
    <t>國立臺灣歷史博物館</t>
  </si>
  <si>
    <t>國立臺灣歷史博物館具宿舍群、聚落、工業與地方產業遺構具完整故事，可設計角色與時代任務。</t>
  </si>
  <si>
    <t>國立臺灣歷史博物館散步任務｜從入口解說點進入，辨認一處生活建築與一處產業遺構，於核心地標完成任務。沿途至少完成三個檢查點。</t>
  </si>
  <si>
    <t>https://www.google.com/maps/search/?api=1&amp;query=%E5%9C%8B%E7%AB%8B%E8%87%BA%E7%81%A3%E6%AD%B7%E5%8F%B2%E5%8D%9A%E7%89%A9%E9%A4%A8%20%E5%AE%89%E5%8D%97%E5%8D%80%20%E8%87%BA%E5%8D%97%E5%B8%82</t>
  </si>
  <si>
    <t>https://www.google.com/maps?q=23.058373,120.234980</t>
  </si>
  <si>
    <t>DOR-KHH-CUL-001</t>
  </si>
  <si>
    <t>小港區</t>
  </si>
  <si>
    <t>紅毛港文化園區</t>
  </si>
  <si>
    <t>紅毛港文化園區具宿舍群、聚落、工業與地方產業遺構具完整故事，可設計角色與時代任務。</t>
  </si>
  <si>
    <t>紅毛港文化園區散步任務｜從入口解說點進入，辨認一處生活建築與一處產業遺構，於核心地標完成任務。記錄一個只有步行時才會注意到的細節。</t>
  </si>
  <si>
    <t>https://www.google.com/maps/search/?api=1&amp;query=%E7%B4%85%E6%AF%9B%E6%B8%AF%E6%96%87%E5%8C%96%E5%9C%92%E5%8D%80%20%E5%B0%8F%E6%B8%AF%E5%8D%80%20%E9%AB%98%E9%9B%84%E5%B8%82</t>
  </si>
  <si>
    <t>https://www.google.com/maps?q=22.550687,120.317940</t>
  </si>
  <si>
    <t>DOR-KHH-CUL-002</t>
  </si>
  <si>
    <t>再見捌捌陸－臺灣眷村文化園區</t>
  </si>
  <si>
    <t>再見捌捌陸－臺灣眷村文化園區具宿舍群、聚落、工業與地方產業遺構具完整故事，可設計角色與時代任務。</t>
  </si>
  <si>
    <t>再見捌捌陸－臺灣眷村文化園區散步任務｜從入口解說點進入，辨認一處生活建築與一處產業遺構，於核心地標完成任務。以起點、途中與終點三張照片完成探索紀錄。</t>
  </si>
  <si>
    <t>https://www.google.com/maps/search/?api=1&amp;query=%E5%86%8D%E8%A6%8B%E6%8D%8C%E6%8D%8C%E9%99%B8%EF%BC%8D%E8%87%BA%E7%81%A3%E7%9C%B7%E6%9D%91%E6%96%87%E5%8C%96%E5%9C%92%E5%8D%80%20%E5%B7%A6%E7%87%9F%E5%8D%80%20%E9%AB%98%E9%9B%84%E5%B8%82</t>
  </si>
  <si>
    <t>https://www.google.com/maps?q=22.692490,120.289000</t>
  </si>
  <si>
    <t>DOR-KHH-CUL-003</t>
  </si>
  <si>
    <t>美濃區</t>
  </si>
  <si>
    <t>美濃客家文物館</t>
  </si>
  <si>
    <t>美濃客家文物館具宿舍群、聚落、工業與地方產業遺構具完整故事，可設計角色與時代任務。</t>
  </si>
  <si>
    <t>美濃客家文物館散步任務｜從入口解說點進入，辨認一處生活建築與一處產業遺構，於核心地標完成任務。在終點回答一題與場域故事有關的問題。</t>
  </si>
  <si>
    <t>https://www.google.com/maps/search/?api=1&amp;query=%E7%BE%8E%E6%BF%83%E5%AE%A2%E5%AE%B6%E6%96%87%E7%89%A9%E9%A4%A8%20%E7%BE%8E%E6%BF%83%E5%8D%80%20%E9%AB%98%E9%9B%84%E5%B8%82</t>
  </si>
  <si>
    <t>https://www.google.com/maps?q=22.911074,120.557540</t>
  </si>
  <si>
    <t>DOR-PIF-CUL-001</t>
  </si>
  <si>
    <t>瑪家鄉</t>
  </si>
  <si>
    <t>禮納里部落</t>
  </si>
  <si>
    <t>禮納里部落具宿舍群、聚落、工業與地方產業遺構具完整故事，可設計角色與時代任務。</t>
  </si>
  <si>
    <t>禮納里部落散步任務｜從入口解說點進入，辨認一處生活建築與一處產業遺構，於核心地標完成任務。沿途至少完成三個檢查點。</t>
  </si>
  <si>
    <t>https://www.google.com/maps/search/?api=1&amp;query=%E7%A6%AE%E7%B4%8D%E9%87%8C%E9%83%A8%E8%90%BD%20%E7%91%AA%E5%AE%B6%E9%84%89%20%E5%B1%8F%E6%9D%B1%E7%B8%A3</t>
  </si>
  <si>
    <t>https://www.google.com/maps?q=22.701433,120.646450</t>
  </si>
  <si>
    <t>DOR-PIF-CUL-002</t>
  </si>
  <si>
    <t>六堆客家文化園區具宿舍群、聚落、工業與地方產業遺構具完整故事，可設計角色與時代任務。</t>
  </si>
  <si>
    <t>六堆客家文化園區散步任務｜從入口解說點進入，辨認一處生活建築與一處產業遺構，於核心地標完成任務。記錄一個只有步行時才會注意到的細節。</t>
  </si>
  <si>
    <t>https://www.google.com/maps?q=22.658422,120.558810</t>
  </si>
  <si>
    <t>DOR-PIF-CUL-003</t>
  </si>
  <si>
    <t>瓊麻工業歷史展示區</t>
  </si>
  <si>
    <t>瓊麻工業歷史展示區具宿舍群、聚落、工業與地方產業遺構具完整故事，可設計角色與時代任務。</t>
  </si>
  <si>
    <t>瓊麻工業歷史展示區散步任務｜從入口解說點進入，辨認一處生活建築與一處產業遺構，於核心地標完成任務。以起點、途中與終點三張照片完成探索紀錄。</t>
  </si>
  <si>
    <t>https://www.google.com/maps/search/?api=1&amp;query=%E7%93%8A%E9%BA%BB%E5%B7%A5%E6%A5%AD%E6%AD%B7%E5%8F%B2%E5%B1%95%E7%A4%BA%E5%8D%80%20%E6%81%86%E6%98%A5%E9%8E%AE%20%E5%B1%8F%E6%9D%B1%E7%B8%A3</t>
  </si>
  <si>
    <t>https://www.google.com/maps?q=21.965090,120.741770</t>
  </si>
  <si>
    <t>DOR-PEN-CUL-001</t>
  </si>
  <si>
    <t>西嶼鄉</t>
  </si>
  <si>
    <t>二崁傳統聚落</t>
  </si>
  <si>
    <t>二崁傳統聚落具宿舍群、聚落、工業與地方產業遺構具完整故事，可設計角色與時代任務。</t>
  </si>
  <si>
    <t>二崁傳統聚落散步任務｜從入口解說點進入，辨認一處生活建築與一處產業遺構，於核心地標完成任務。在終點回答一題與場域故事有關的問題。</t>
  </si>
  <si>
    <t>https://www.google.com/maps/search/?api=1&amp;query=%E4%BA%8C%E5%B4%81%E5%82%B3%E7%B5%B1%E8%81%9A%E8%90%BD%20%E8%A5%BF%E5%B6%BC%E9%84%89%20%E6%BE%8E%E6%B9%96%E7%B8%A3</t>
  </si>
  <si>
    <t>https://www.google.com/maps?q=23.605174,119.519610</t>
  </si>
  <si>
    <t>DOR-PEN-CUL-002</t>
  </si>
  <si>
    <t>篤行十村眷村文化園區</t>
  </si>
  <si>
    <t>篤行十村眷村文化園區具宿舍群、聚落、工業與地方產業遺構具完整故事，可設計角色與時代任務。</t>
  </si>
  <si>
    <t>篤行十村眷村文化園區散步任務｜從入口解說點進入，辨認一處生活建築與一處產業遺構，於核心地標完成任務。沿途至少完成三個檢查點。</t>
  </si>
  <si>
    <t>https://www.google.com/maps/search/?api=1&amp;query=%E7%AF%A4%E8%A1%8C%E5%8D%81%E6%9D%91%E7%9C%B7%E6%9D%91%E6%96%87%E5%8C%96%E5%9C%92%E5%8D%80%20%E9%A6%AC%E5%85%AC%E5%B8%82%20%E6%BE%8E%E6%B9%96%E7%B8%A3</t>
  </si>
  <si>
    <t>https://www.google.com/maps?q=23.563854,119.560940</t>
  </si>
  <si>
    <t>DOR-KIN-CUL-001</t>
  </si>
  <si>
    <t>金沙鎮</t>
  </si>
  <si>
    <t>山后民俗文化村</t>
  </si>
  <si>
    <t>山后民俗文化村具宿舍群、聚落、工業與地方產業遺構具完整故事，可設計角色與時代任務。</t>
  </si>
  <si>
    <t>山后民俗文化村散步任務｜從入口解說點進入，辨認一處生活建築與一處產業遺構，於核心地標完成任務。記錄一個只有步行時才會注意到的細節。</t>
  </si>
  <si>
    <t>https://www.google.com/maps/search/?api=1&amp;query=%E5%B1%B1%E5%90%8E%E6%B0%91%E4%BF%97%E6%96%87%E5%8C%96%E6%9D%91%20%E9%87%91%E6%B2%99%E9%8E%AE%20%E9%87%91%E9%96%80%E7%B8%A3</t>
  </si>
  <si>
    <t>https://www.google.com/maps?q=24.503811,118.440410</t>
  </si>
  <si>
    <t>DOR-TPE-GRN-001</t>
  </si>
  <si>
    <t>城市綠道／水圳</t>
  </si>
  <si>
    <t>臺北大縱走關渡起點</t>
  </si>
  <si>
    <t>步道入口／綠道起點代表點</t>
  </si>
  <si>
    <t>臺北大縱走關渡起點具連續步行動線、林蔭與水系適合低強度散步，也能延伸里程與季節任務。</t>
  </si>
  <si>
    <t>臺北大縱走關渡起點散步任務｜由起點完成一段連續綠道，途中記錄自然節點，於折返點或終點完成里程打卡。記錄一個只有步行時才會注意到的細節。</t>
  </si>
  <si>
    <t>請確認步道、濕地與自行車道開放狀態；留意天候、照明、自行車及野生動物。</t>
  </si>
  <si>
    <t>05｜城市綠道與水圳</t>
  </si>
  <si>
    <t>50–90 分鐘</t>
  </si>
  <si>
    <t>入口或起點／中段林蔭、水圳或生態節點／折返點、觀景點或終點</t>
  </si>
  <si>
    <t>https://www.google.com/maps/search/?api=1&amp;query=%E8%87%BA%E5%8C%97%E5%A4%A7%E7%B8%B1%E8%B5%B0%E9%97%9C%E6%B8%A1%E8%B5%B7%E9%BB%9E%20%E5%8C%97%E6%8A%95%E5%8D%80%20%E8%87%BA%E5%8C%97%E5%B8%82</t>
  </si>
  <si>
    <t>https://www.google.com/maps?q=25.125630,121.467100</t>
  </si>
  <si>
    <t>線性綠道／生態場域代表點</t>
  </si>
  <si>
    <t>DOR-NTP-GRN-001</t>
  </si>
  <si>
    <t>淡水紅樹林自然保留區</t>
  </si>
  <si>
    <t>淡水紅樹林自然保留區具連續步行動線、林蔭與水系適合低強度散步，也能延伸里程與季節任務。</t>
  </si>
  <si>
    <t>淡水紅樹林自然保留區散步任務｜由起點完成一段連續綠道，途中記錄自然節點，於折返點或終點完成里程打卡。以起點、途中與終點三張照片完成探索紀錄。</t>
  </si>
  <si>
    <t>https://www.google.com/maps/search/?api=1&amp;query=%E6%B7%A1%E6%B0%B4%E7%B4%85%E6%A8%B9%E6%9E%97%E8%87%AA%E7%84%B6%E4%BF%9D%E7%95%99%E5%8D%80%20%E6%B7%A1%E6%B0%B4%E5%8D%80%20%E6%96%B0%E5%8C%97%E5%B8%82</t>
  </si>
  <si>
    <t>https://www.google.com/maps?q=25.156302,121.456550</t>
  </si>
  <si>
    <t>DOR-NTP-GRN-002</t>
  </si>
  <si>
    <t>五股區</t>
  </si>
  <si>
    <t>觀音山生態園區及林梢步道</t>
  </si>
  <si>
    <t>觀音山生態園區及林梢步道具連續步行動線、林蔭與水系適合低強度散步，也能延伸里程與季節任務。</t>
  </si>
  <si>
    <t>觀音山生態園區及林梢步道散步任務｜由起點完成一段連續綠道，途中記錄自然節點，於折返點或終點完成里程打卡。在終點回答一題與場域故事有關的問題。</t>
  </si>
  <si>
    <t>https://www.google.com/maps/search/?api=1&amp;query=%E8%A7%80%E9%9F%B3%E5%B1%B1%E7%94%9F%E6%85%8B%E5%9C%92%E5%8D%80%E5%8F%8A%E6%9E%97%E6%A2%A2%E6%AD%A5%E9%81%93%20%E4%BA%94%E8%82%A1%E5%8D%80%20%E6%96%B0%E5%8C%97%E5%B8%82</t>
  </si>
  <si>
    <t>https://www.google.com/maps?q=25.128150,121.419980</t>
  </si>
  <si>
    <t>DOR-TAO-GRN-001</t>
  </si>
  <si>
    <t>新屋綠色走廊</t>
  </si>
  <si>
    <t>新屋綠色走廊具連續步行動線、林蔭與水系適合低強度散步，也能延伸里程與季節任務。</t>
  </si>
  <si>
    <t>新屋綠色走廊散步任務｜由起點完成一段連續綠道，途中記錄自然節點，於折返點或終點完成里程打卡。沿途至少完成三個檢查點。</t>
  </si>
  <si>
    <t>https://www.google.com/maps/search/?api=1&amp;query=%E6%96%B0%E5%B1%8B%E7%B6%A0%E8%89%B2%E8%B5%B0%E5%BB%8A%20%E6%96%B0%E5%B1%8B%E5%8D%80%20%E6%A1%83%E5%9C%92%E5%B8%82</t>
  </si>
  <si>
    <t>https://www.google.com/maps?q=24.969406,121.012380</t>
  </si>
  <si>
    <t>DOR-HSQ-GRN-001</t>
  </si>
  <si>
    <t>峨眉鄉</t>
  </si>
  <si>
    <t>六寮古道</t>
  </si>
  <si>
    <t>六寮古道具連續步行動線、林蔭與水系適合低強度散步，也能延伸里程與季節任務。</t>
  </si>
  <si>
    <t>六寮古道散步任務｜由起點完成一段連續綠道，途中記錄自然節點，於折返點或終點完成里程打卡。記錄一個只有步行時才會注意到的細節。</t>
  </si>
  <si>
    <t>https://www.google.com/maps/search/?api=1&amp;query=%E5%85%AD%E5%AF%AE%E5%8F%A4%E9%81%93%20%E5%B3%A8%E7%9C%89%E9%84%89%20%E6%96%B0%E7%AB%B9%E7%B8%A3</t>
  </si>
  <si>
    <t>https://www.google.com/maps?q=24.655282,121.023270</t>
  </si>
  <si>
    <t>DOR-HSZ-GRN-001</t>
  </si>
  <si>
    <t>青草湖</t>
  </si>
  <si>
    <t>青草湖具連續步行動線、林蔭與水系適合低強度散步，也能延伸里程與季節任務。</t>
  </si>
  <si>
    <t>青草湖散步任務｜由起點完成一段連續綠道，途中記錄自然節點，於折返點或終點完成里程打卡。以起點、途中與終點三張照片完成探索紀錄。</t>
  </si>
  <si>
    <t>https://www.google.com/maps/search/?api=1&amp;query=%E9%9D%92%E8%8D%89%E6%B9%96%20%E6%9D%B1%E5%8D%80%20%E6%96%B0%E7%AB%B9%E5%B8%82</t>
  </si>
  <si>
    <t>https://www.google.com/maps?q=24.774934,120.970900</t>
  </si>
  <si>
    <t>DOR-HSZ-GRN-002</t>
  </si>
  <si>
    <t>十八尖山</t>
  </si>
  <si>
    <t>十八尖山具連續步行動線、林蔭與水系適合低強度散步，也能延伸里程與季節任務。</t>
  </si>
  <si>
    <t>十八尖山散步任務｜由起點完成一段連續綠道，途中記錄自然節點，於折返點或終點完成里程打卡。在終點回答一題與場域故事有關的問題。</t>
  </si>
  <si>
    <t>https://www.google.com/maps/search/?api=1&amp;query=%E5%8D%81%E5%85%AB%E5%B0%96%E5%B1%B1%20%E6%9D%B1%E5%8D%80%20%E6%96%B0%E7%AB%B9%E5%B8%82</t>
  </si>
  <si>
    <t>https://www.google.com/maps?q=24.792534,120.984590</t>
  </si>
  <si>
    <t>可能｜與「十八尖山公園」相近，合併前確認</t>
  </si>
  <si>
    <t>DOR-MIA-GRN-001</t>
  </si>
  <si>
    <t>塭子頭紅樹林生態保護區</t>
  </si>
  <si>
    <t>塭子頭紅樹林生態保護區具連續步行動線、林蔭與水系適合低強度散步，也能延伸里程與季節任務。</t>
  </si>
  <si>
    <t>塭子頭紅樹林生態保護區散步任務｜由起點完成一段連續綠道，途中記錄自然節點，於折返點或終點完成里程打卡。沿途至少完成三個檢查點。</t>
  </si>
  <si>
    <t>https://www.google.com/maps/search/?api=1&amp;query=%E5%A1%AD%E5%AD%90%E9%A0%AD%E7%B4%85%E6%A8%B9%E6%9E%97%E7%94%9F%E6%85%8B%E4%BF%9D%E8%AD%B7%E5%8D%80%20%E7%AB%B9%E5%8D%97%E9%8E%AE%20%E8%8B%97%E6%A0%97%E7%B8%A3</t>
  </si>
  <si>
    <t>https://www.google.com/maps?q=24.666496,120.843430</t>
  </si>
  <si>
    <t>DOR-TXG-GRN-001</t>
  </si>
  <si>
    <t>高美濕地</t>
  </si>
  <si>
    <t>高美濕地具連續步行動線、林蔭與水系適合低強度散步，也能延伸里程與季節任務。</t>
  </si>
  <si>
    <t>高美濕地散步任務｜由起點完成一段連續綠道，途中記錄自然節點，於折返點或終點完成里程打卡。記錄一個只有步行時才會注意到的細節。</t>
  </si>
  <si>
    <t>https://www.google.com/maps/search/?api=1&amp;query=%E9%AB%98%E7%BE%8E%E6%BF%95%E5%9C%B0%20%E6%B8%85%E6%B0%B4%E5%8D%80%20%E8%87%BA%E4%B8%AD%E5%B8%82</t>
  </si>
  <si>
    <t>https://www.google.com/maps?q=24.311951,120.549810</t>
  </si>
  <si>
    <t>DOR-TXG-GRN-002</t>
  </si>
  <si>
    <t>草悟道具連續步行動線、林蔭與水系適合低強度散步，也能延伸里程與季節任務。</t>
  </si>
  <si>
    <t>草悟道散步任務｜由起點完成一段連續綠道，途中記錄自然節點，於折返點或終點完成里程打卡。以起點、途中與終點三張照片完成探索紀錄。</t>
  </si>
  <si>
    <t>https://www.google.com/maps?q=24.148400,120.664770</t>
  </si>
  <si>
    <t>DOR-TXG-GRN-003</t>
  </si>
  <si>
    <t>和平區</t>
  </si>
  <si>
    <t>捎來步道</t>
  </si>
  <si>
    <t>捎來步道具連續步行動線、林蔭與水系適合低強度散步，也能延伸里程與季節任務。</t>
  </si>
  <si>
    <t>捎來步道散步任務｜由起點完成一段連續綠道，途中記錄自然節點，於折返點或終點完成里程打卡。在終點回答一題與場域故事有關的問題。</t>
  </si>
  <si>
    <t>https://www.google.com/maps/search/?api=1&amp;query=%E6%8D%8E%E4%BE%86%E6%AD%A5%E9%81%93%20%E5%92%8C%E5%B9%B3%E5%8D%80%20%E8%87%BA%E4%B8%AD%E5%B8%82</t>
  </si>
  <si>
    <t>https://www.google.com/maps?q=24.205635,121.005720</t>
  </si>
  <si>
    <t>DOR-CHA-GRN-001</t>
  </si>
  <si>
    <t>二水鄉</t>
  </si>
  <si>
    <t>二水自行車道</t>
  </si>
  <si>
    <t>二水自行車道具連續步行動線、林蔭與水系適合低強度散步，也能延伸里程與季節任務。</t>
  </si>
  <si>
    <t>二水自行車道散步任務｜由起點完成一段連續綠道，途中記錄自然節點，於折返點或終點完成里程打卡。沿途至少完成三個檢查點。</t>
  </si>
  <si>
    <t>https://www.google.com/maps/search/?api=1&amp;query=%E4%BA%8C%E6%B0%B4%E8%87%AA%E8%A1%8C%E8%BB%8A%E9%81%93%20%E4%BA%8C%E6%B0%B4%E9%84%89%20%E5%BD%B0%E5%8C%96%E7%B8%A3</t>
  </si>
  <si>
    <t>https://www.google.com/maps?q=23.814388,120.617440</t>
  </si>
  <si>
    <t>DOR-NAN-GRN-001</t>
  </si>
  <si>
    <t>魚池鄉</t>
  </si>
  <si>
    <t>向山自行車道</t>
  </si>
  <si>
    <t>向山自行車道具連續步行動線、林蔭與水系適合低強度散步，也能延伸里程與季節任務。</t>
  </si>
  <si>
    <t>向山自行車道散步任務｜由起點完成一段連續綠道，途中記錄自然節點，於折返點或終點完成里程打卡。記錄一個只有步行時才會注意到的細節。</t>
  </si>
  <si>
    <t>https://www.google.com/maps/search/?api=1&amp;query=%E5%90%91%E5%B1%B1%E8%87%AA%E8%A1%8C%E8%BB%8A%E9%81%93%20%E9%AD%9A%E6%B1%A0%E9%84%89%20%E5%8D%97%E6%8A%95%E7%B8%A3</t>
  </si>
  <si>
    <t>https://www.google.com/maps?q=23.852933,120.901730</t>
  </si>
  <si>
    <t>DOR-NAN-GRN-002</t>
  </si>
  <si>
    <t>日月潭涵碧步道</t>
  </si>
  <si>
    <t>日月潭涵碧步道具連續步行動線、林蔭與水系適合低強度散步，也能延伸里程與季節任務。</t>
  </si>
  <si>
    <t>日月潭涵碧步道散步任務｜由起點完成一段連續綠道，途中記錄自然節點，於折返點或終點完成里程打卡。以起點、途中與終點三張照片完成探索紀錄。</t>
  </si>
  <si>
    <t>https://www.google.com/maps/search/?api=1&amp;query=%E6%97%A5%E6%9C%88%E6%BD%AD%E6%B6%B5%E7%A2%A7%E6%AD%A5%E9%81%93%20%E9%AD%9A%E6%B1%A0%E9%84%89%20%E5%8D%97%E6%8A%95%E7%B8%A3</t>
  </si>
  <si>
    <t>https://www.google.com/maps?q=23.862239,120.908690</t>
  </si>
  <si>
    <t>DOR-YUN-GRN-001</t>
  </si>
  <si>
    <t>綠色隧道景觀公園</t>
  </si>
  <si>
    <t>綠色隧道景觀公園具連續步行動線、林蔭與水系適合低強度散步，也能延伸里程與季節任務。</t>
  </si>
  <si>
    <t>綠色隧道景觀公園散步任務｜由起點完成一段連續綠道，途中記錄自然節點，於折返點或終點完成里程打卡。在終點回答一題與場域故事有關的問題。</t>
  </si>
  <si>
    <t>https://www.google.com/maps/search/?api=1&amp;query=%E7%B6%A0%E8%89%B2%E9%9A%A7%E9%81%93%E6%99%AF%E8%A7%80%E5%85%AC%E5%9C%92%20%E5%8F%A4%E5%9D%91%E9%84%89%20%E9%9B%B2%E6%9E%97%E7%B8%A3</t>
  </si>
  <si>
    <t>https://www.google.com/maps?q=23.659291,120.540980</t>
  </si>
  <si>
    <t>可能｜與「古坑綠色隧道公園」可能同場域</t>
  </si>
  <si>
    <t>DOR-TNN-GRN-001</t>
  </si>
  <si>
    <t>白河區</t>
  </si>
  <si>
    <t>林初埤木棉花道</t>
  </si>
  <si>
    <t>林初埤木棉花道具連續步行動線、林蔭與水系適合低強度散步，也能延伸里程與季節任務。</t>
  </si>
  <si>
    <t>林初埤木棉花道散步任務｜由起點完成一段連續綠道，途中記錄自然節點，於折返點或終點完成里程打卡。沿途至少完成三個檢查點。</t>
  </si>
  <si>
    <t>https://www.google.com/maps/search/?api=1&amp;query=%E6%9E%97%E5%88%9D%E5%9F%A4%E6%9C%A8%E6%A3%89%E8%8A%B1%E9%81%93%20%E7%99%BD%E6%B2%B3%E5%8D%80%20%E8%87%BA%E5%8D%97%E5%B8%82</t>
  </si>
  <si>
    <t>https://www.google.com/maps?q=23.378123,120.409940</t>
  </si>
  <si>
    <t>DOR-TNN-GRN-002</t>
  </si>
  <si>
    <t>台江國家公園綠道</t>
  </si>
  <si>
    <t>台江國家公園綠道具連續步行動線、林蔭與水系適合低強度散步，也能延伸里程與季節任務。</t>
  </si>
  <si>
    <t>台江國家公園綠道散步任務｜由起點完成一段連續綠道，途中記錄自然節點，於折返點或終點完成里程打卡。記錄一個只有步行時才會注意到的細節。</t>
  </si>
  <si>
    <t>https://www.google.com/maps/search/?api=1&amp;query=%E5%8F%B0%E6%B1%9F%E5%9C%8B%E5%AE%B6%E5%85%AC%E5%9C%92%E7%B6%A0%E9%81%93%20%E5%AE%89%E5%8D%97%E5%8D%80%20%E8%87%BA%E5%8D%97%E5%B8%82</t>
  </si>
  <si>
    <t>https://www.google.com/maps?q=23.002870,120.136260</t>
  </si>
  <si>
    <t>DOR-KHH-GRN-001</t>
  </si>
  <si>
    <t>愛河之心</t>
  </si>
  <si>
    <t>愛河之心具連續步行動線、林蔭與水系適合低強度散步，也能延伸里程與季節任務。</t>
  </si>
  <si>
    <t>愛河之心散步任務｜由起點完成一段連續綠道，途中記錄自然節點，於折返點或終點完成里程打卡。以起點、途中與終點三張照片完成探索紀錄。</t>
  </si>
  <si>
    <t>https://www.google.com/maps/search/?api=1&amp;query=%E6%84%9B%E6%B2%B3%E4%B9%8B%E5%BF%83%20%E4%B8%89%E6%B0%91%E5%8D%80%20%E9%AB%98%E9%9B%84%E5%B8%82</t>
  </si>
  <si>
    <t>https://www.google.com/maps?q=22.652683,120.303160</t>
  </si>
  <si>
    <t>DOR-KHH-GRN-002</t>
  </si>
  <si>
    <t>洲仔濕地公園具連續步行動線、林蔭與水系適合低強度散步，也能延伸里程與季節任務。</t>
  </si>
  <si>
    <t>洲仔濕地公園散步任務｜由起點完成一段連續綠道，途中記錄自然節點，於折返點或終點完成里程打卡。在終點回答一題與場域故事有關的問題。</t>
  </si>
  <si>
    <t>https://www.google.com/maps?q=22.680554,120.298210</t>
  </si>
  <si>
    <t>DOR-PIF-GRN-001</t>
  </si>
  <si>
    <t>林邊鄉</t>
  </si>
  <si>
    <t>崎峰濕地公園</t>
  </si>
  <si>
    <t>崎峰濕地公園具連續步行動線、林蔭與水系適合低強度散步，也能延伸里程與季節任務。</t>
  </si>
  <si>
    <t>崎峰濕地公園散步任務｜由起點完成一段連續綠道，途中記錄自然節點，於折返點或終點完成里程打卡。沿途至少完成三個檢查點。</t>
  </si>
  <si>
    <t>https://www.google.com/maps/search/?api=1&amp;query=%E5%B4%8E%E5%B3%B0%E6%BF%95%E5%9C%B0%E5%85%AC%E5%9C%92%20%E6%9E%97%E9%82%8A%E9%84%89%20%E5%B1%8F%E6%9D%B1%E7%B8%A3</t>
  </si>
  <si>
    <t>https://www.google.com/maps?q=22.432070,120.490070</t>
  </si>
  <si>
    <t>DOR-ILA-GRN-001</t>
  </si>
  <si>
    <t>五結鄉</t>
  </si>
  <si>
    <t>冬山河親水公園具連續步行動線、林蔭與水系適合低強度散步，也能延伸里程與季節任務。</t>
  </si>
  <si>
    <t>冬山河親水公園散步任務｜由起點完成一段連續綠道，途中記錄自然節點，於折返點或終點完成里程打卡。記錄一個只有步行時才會注意到的細節。</t>
  </si>
  <si>
    <t>https://www.google.com/maps/search/?api=1&amp;query=%E5%86%AC%E5%B1%B1%E6%B2%B3%E8%A6%AA%E6%B0%B4%E5%85%AC%E5%9C%92%20%E4%BA%94%E7%B5%90%E9%84%89%20%E5%AE%9C%E8%98%AD%E7%B8%A3</t>
  </si>
  <si>
    <t>https://www.google.com/maps?q=24.672993,121.815810</t>
  </si>
  <si>
    <t>DOR-HUA-GRN-001</t>
  </si>
  <si>
    <t>七星潭海岸步道</t>
  </si>
  <si>
    <t>七星潭海岸步道具連續步行動線、林蔭與水系適合低強度散步，也能延伸里程與季節任務。</t>
  </si>
  <si>
    <t>七星潭海岸步道散步任務｜由起點完成一段連續綠道，途中記錄自然節點，於折返點或終點完成里程打卡。以起點、途中與終點三張照片完成探索紀錄。</t>
  </si>
  <si>
    <t>https://www.google.com/maps/search/?api=1&amp;query=%E4%B8%83%E6%98%9F%E6%BD%AD%E6%B5%B7%E5%B2%B8%E6%AD%A5%E9%81%93%20%E6%96%B0%E5%9F%8E%E9%84%89%20%E8%8A%B1%E8%93%AE%E7%B8%A3</t>
  </si>
  <si>
    <t>可能｜與「七星潭海濱公園」相近，合併前確認</t>
  </si>
  <si>
    <t>DOR-TTT-GRN-001</t>
  </si>
  <si>
    <t>長濱鄉</t>
  </si>
  <si>
    <t>金剛大道</t>
  </si>
  <si>
    <t>金剛大道具連續步行動線、林蔭與水系適合低強度散步，也能延伸里程與季節任務。</t>
  </si>
  <si>
    <t>金剛大道散步任務｜由起點完成一段連續綠道，途中記錄自然節點，於折返點或終點完成里程打卡。在終點回答一題與場域故事有關的問題。</t>
  </si>
  <si>
    <t>https://www.google.com/maps/search/?api=1&amp;query=%E9%87%91%E5%89%9B%E5%A4%A7%E9%81%93%20%E9%95%B7%E6%BF%B1%E9%84%89%20%E8%87%BA%E6%9D%B1%E7%B8%A3</t>
  </si>
  <si>
    <t>https://www.google.com/maps?q=23.330550,121.451360</t>
  </si>
  <si>
    <t>DOR-TTT-GRN-002</t>
  </si>
  <si>
    <t>關山親水公園具連續步行動線、林蔭與水系適合低強度散步，也能延伸里程與季節任務。</t>
  </si>
  <si>
    <t>關山親水公園散步任務｜由起點完成一段連續綠道，途中記錄自然節點，於折返點或終點完成里程打卡。沿途至少完成三個檢查點。</t>
  </si>
  <si>
    <t>DOR-KIN-GRN-001</t>
  </si>
  <si>
    <t>金門慈湖慈堤</t>
  </si>
  <si>
    <t>金門慈湖慈堤具連續步行動線、林蔭與水系適合低強度散步，也能延伸里程與季節任務。</t>
  </si>
  <si>
    <t>金門慈湖慈堤散步任務｜由起點完成一段連續綠道，途中記錄自然節點，於折返點或終點完成里程打卡。記錄一個只有步行時才會注意到的細節。</t>
  </si>
  <si>
    <t>https://www.google.com/maps/search/?api=1&amp;query=%E9%87%91%E9%96%80%E6%85%88%E6%B9%96%E6%85%88%E5%A0%A4%20%E9%87%91%E5%AF%A7%E9%84%89%20%E9%87%91%E9%96%80%E7%B8%A3</t>
  </si>
  <si>
    <t>https://www.google.com/maps?q=24.463408,118.300540</t>
  </si>
  <si>
    <t>DOR-TPE-ART-001</t>
  </si>
  <si>
    <t>公共藝術／特色建築</t>
  </si>
  <si>
    <t>北投圖書館</t>
  </si>
  <si>
    <t>建築主入口／公共藝術核心地標</t>
  </si>
  <si>
    <t>北投圖書館具建築輪廓、公共藝術與觀看角度具高度分享性，適合觀察與拍照型探索。</t>
  </si>
  <si>
    <t>北投圖書館散步任務｜完成建築外觀巡遊，尋找一件公共藝術或特色細節，從指定角度拍照後終點打卡。記錄一個只有步行時才會注意到的細節。</t>
  </si>
  <si>
    <t>戶外空間優先；室內展館需確認開放時間、門票、拍攝與活動管制。</t>
  </si>
  <si>
    <t>06｜公共藝術與特色建築</t>
  </si>
  <si>
    <t>35–60 分鐘</t>
  </si>
  <si>
    <t>主入口或建築正面／公共藝術或立面細節／最佳觀看角度或廣場終點</t>
  </si>
  <si>
    <t>https://www.google.com/maps/search/?api=1&amp;query=%E5%8C%97%E6%8A%95%E5%9C%96%E6%9B%B8%E9%A4%A8%20%E5%8C%97%E6%8A%95%E5%8D%80%20%E8%87%BA%E5%8C%97%E5%B8%82</t>
  </si>
  <si>
    <t>https://www.google.com/maps?q=25.136524,121.506370</t>
  </si>
  <si>
    <t>建築／公共藝術 POI</t>
  </si>
  <si>
    <t>DOR-TPE-ART-002</t>
  </si>
  <si>
    <t>國家兩廳院</t>
  </si>
  <si>
    <t>國家兩廳院具建築輪廓、公共藝術與觀看角度具高度分享性，適合觀察與拍照型探索。</t>
  </si>
  <si>
    <t>國家兩廳院散步任務｜完成建築外觀巡遊，尋找一件公共藝術或特色細節，從指定角度拍照後終點打卡。以起點、途中與終點三張照片完成探索紀錄。</t>
  </si>
  <si>
    <t>https://www.google.com/maps/search/?api=1&amp;query=%E5%9C%8B%E5%AE%B6%E5%85%A9%E5%BB%B3%E9%99%A2%20%E4%B8%AD%E6%AD%A3%E5%8D%80%20%E8%87%BA%E5%8C%97%E5%B8%82</t>
  </si>
  <si>
    <t>https://www.google.com/maps?q=25.036756,121.519040</t>
  </si>
  <si>
    <t>DOR-TPE-ART-003</t>
  </si>
  <si>
    <t>台北101</t>
  </si>
  <si>
    <t>台北101具建築輪廓、公共藝術與觀看角度具高度分享性，適合觀察與拍照型探索。</t>
  </si>
  <si>
    <t>台北101散步任務｜完成建築外觀巡遊，尋找一件公共藝術或特色細節，從指定角度拍照後終點打卡。在終點回答一題與場域故事有關的問題。</t>
  </si>
  <si>
    <t>https://www.google.com/maps/search/?api=1&amp;query=%E5%8F%B0%E5%8C%97101%20%E4%BF%A1%E7%BE%A9%E5%8D%80%20%E8%87%BA%E5%8C%97%E5%B8%82</t>
  </si>
  <si>
    <t>https://www.google.com/maps?q=25.033976,121.564530</t>
  </si>
  <si>
    <t>DOR-TPE-ART-004</t>
  </si>
  <si>
    <t>西門紅樓</t>
  </si>
  <si>
    <t>西門紅樓具建築輪廓、公共藝術與觀看角度具高度分享性，適合觀察與拍照型探索。</t>
  </si>
  <si>
    <t>西門紅樓散步任務｜完成建築外觀巡遊，尋找一件公共藝術或特色細節，從指定角度拍照後終點打卡。沿途至少完成三個檢查點。</t>
  </si>
  <si>
    <t>https://www.google.com/maps/search/?api=1&amp;query=%E8%A5%BF%E9%96%80%E7%B4%85%E6%A8%93%20%E8%90%AC%E8%8F%AF%E5%8D%80%20%E8%87%BA%E5%8C%97%E5%B8%82</t>
  </si>
  <si>
    <t>https://www.google.com/maps?q=25.042013,121.506850</t>
  </si>
  <si>
    <t>DOR-TPE-ART-005</t>
  </si>
  <si>
    <t>臺北市立美術館</t>
  </si>
  <si>
    <t>臺北市立美術館具建築輪廓、公共藝術與觀看角度具高度分享性，適合觀察與拍照型探索。</t>
  </si>
  <si>
    <t>臺北市立美術館散步任務｜完成建築外觀巡遊，尋找一件公共藝術或特色細節，從指定角度拍照後終點打卡。記錄一個只有步行時才會注意到的細節。</t>
  </si>
  <si>
    <t>https://www.google.com/maps/search/?api=1&amp;query=%E8%87%BA%E5%8C%97%E5%B8%82%E7%AB%8B%E7%BE%8E%E8%A1%93%E9%A4%A8%20%E4%B8%AD%E5%B1%B1%E5%8D%80%20%E8%87%BA%E5%8C%97%E5%B8%82</t>
  </si>
  <si>
    <t>https://www.google.com/maps?q=25.072411,121.524810</t>
  </si>
  <si>
    <t>DOR-TPE-ART-006</t>
  </si>
  <si>
    <t>自來水園區－自來水博物館</t>
  </si>
  <si>
    <t>自來水園區－自來水博物館具建築輪廓、公共藝術與觀看角度具高度分享性，適合觀察與拍照型探索。</t>
  </si>
  <si>
    <t>自來水園區－自來水博物館散步任務｜完成建築外觀巡遊，尋找一件公共藝術或特色細節，從指定角度拍照後終點打卡。以起點、途中與終點三張照片完成探索紀錄。</t>
  </si>
  <si>
    <t>https://www.google.com/maps/search/?api=1&amp;query=%E8%87%AA%E4%BE%86%E6%B0%B4%E5%9C%92%E5%8D%80%EF%BC%8D%E8%87%AA%E4%BE%86%E6%B0%B4%E5%8D%9A%E7%89%A9%E9%A4%A8%20%E4%B8%AD%E6%AD%A3%E5%8D%80%20%E8%87%BA%E5%8C%97%E5%B8%82</t>
  </si>
  <si>
    <t>https://www.google.com/maps?q=25.012516,121.530000</t>
  </si>
  <si>
    <t>DOR-NTP-ART-001</t>
  </si>
  <si>
    <t>十三行博物館</t>
  </si>
  <si>
    <t>十三行博物館具建築輪廓、公共藝術與觀看角度具高度分享性，適合觀察與拍照型探索。</t>
  </si>
  <si>
    <t>十三行博物館散步任務｜完成建築外觀巡遊，尋找一件公共藝術或特色細節，從指定角度拍照後終點打卡。在終點回答一題與場域故事有關的問題。</t>
  </si>
  <si>
    <t>https://www.google.com/maps/search/?api=1&amp;query=%E5%8D%81%E4%B8%89%E8%A1%8C%E5%8D%9A%E7%89%A9%E9%A4%A8%20%E5%85%AB%E9%87%8C%E5%8D%80%20%E6%96%B0%E5%8C%97%E5%B8%82</t>
  </si>
  <si>
    <t>https://www.google.com/maps?q=25.156873,121.404850</t>
  </si>
  <si>
    <t>DOR-NTP-ART-002</t>
  </si>
  <si>
    <t>朱銘美術館</t>
  </si>
  <si>
    <t>朱銘美術館具建築輪廓、公共藝術與觀看角度具高度分享性，適合觀察與拍照型探索。</t>
  </si>
  <si>
    <t>朱銘美術館散步任務｜完成建築外觀巡遊，尋找一件公共藝術或特色細節，從指定角度拍照後終點打卡。沿途至少完成三個檢查點。</t>
  </si>
  <si>
    <t>https://www.google.com/maps/search/?api=1&amp;query=%E6%9C%B1%E9%8A%98%E7%BE%8E%E8%A1%93%E9%A4%A8%20%E9%87%91%E5%B1%B1%E5%8D%80%20%E6%96%B0%E5%8C%97%E5%B8%82</t>
  </si>
  <si>
    <t>https://www.google.com/maps?q=25.246442,121.611210</t>
  </si>
  <si>
    <t>DOR-HSZ-ART-001</t>
  </si>
  <si>
    <t>新竹州廳（新竹市政府）</t>
  </si>
  <si>
    <t>新竹州廳（新竹市政府）具建築輪廓、公共藝術與觀看角度具高度分享性，適合觀察與拍照型探索。</t>
  </si>
  <si>
    <t>新竹州廳（新竹市政府）散步任務｜完成建築外觀巡遊，尋找一件公共藝術或特色細節，從指定角度拍照後終點打卡。記錄一個只有步行時才會注意到的細節。</t>
  </si>
  <si>
    <t>https://www.google.com/maps/search/?api=1&amp;query=%E6%96%B0%E7%AB%B9%E5%B7%9E%E5%BB%B3%EF%BC%88%E6%96%B0%E7%AB%B9%E5%B8%82%E6%94%BF%E5%BA%9C%EF%BC%89%20%E5%8C%97%E5%8D%80%20%E6%96%B0%E7%AB%B9%E5%B8%82</t>
  </si>
  <si>
    <t>https://www.google.com/maps?q=24.806764,120.968790</t>
  </si>
  <si>
    <t>DOR-HSZ-ART-002</t>
  </si>
  <si>
    <t>玻璃工藝博物館</t>
  </si>
  <si>
    <t>玻璃工藝博物館具建築輪廓、公共藝術與觀看角度具高度分享性，適合觀察與拍照型探索。</t>
  </si>
  <si>
    <t>玻璃工藝博物館散步任務｜完成建築外觀巡遊，尋找一件公共藝術或特色細節，從指定角度拍照後終點打卡。以起點、途中與終點三張照片完成探索紀錄。</t>
  </si>
  <si>
    <t>https://www.google.com/maps/search/?api=1&amp;query=%E7%8E%BB%E7%92%83%E5%B7%A5%E8%97%9D%E5%8D%9A%E7%89%A9%E9%A4%A8%20%E5%8C%97%E5%8D%80%20%E6%96%B0%E7%AB%B9%E5%B8%82</t>
  </si>
  <si>
    <t>https://www.google.com/maps?q=24.801313,120.978110</t>
  </si>
  <si>
    <t>DOR-MIA-ART-001</t>
  </si>
  <si>
    <t>三義木雕博物館</t>
  </si>
  <si>
    <t>三義木雕博物館具建築輪廓、公共藝術與觀看角度具高度分享性，適合觀察與拍照型探索。</t>
  </si>
  <si>
    <t>三義木雕博物館散步任務｜完成建築外觀巡遊，尋找一件公共藝術或特色細節，從指定角度拍照後終點打卡。在終點回答一題與場域故事有關的問題。</t>
  </si>
  <si>
    <t>https://www.google.com/maps/search/?api=1&amp;query=%E4%B8%89%E7%BE%A9%E6%9C%A8%E9%9B%95%E5%8D%9A%E7%89%A9%E9%A4%A8%20%E4%B8%89%E7%BE%A9%E9%84%89%20%E8%8B%97%E6%A0%97%E7%B8%A3</t>
  </si>
  <si>
    <t>https://www.google.com/maps?q=24.406005,120.761180</t>
  </si>
  <si>
    <t>DOR-TXG-ART-001</t>
  </si>
  <si>
    <t>臺中國家歌劇院</t>
  </si>
  <si>
    <t>臺中國家歌劇院具建築輪廓、公共藝術與觀看角度具高度分享性，適合觀察與拍照型探索。</t>
  </si>
  <si>
    <t>臺中國家歌劇院散步任務｜完成建築外觀巡遊，尋找一件公共藝術或特色細節，從指定角度拍照後終點打卡。沿途至少完成三個檢查點。</t>
  </si>
  <si>
    <t>https://www.google.com/maps/search/?api=1&amp;query=%E8%87%BA%E4%B8%AD%E5%9C%8B%E5%AE%B6%E6%AD%8C%E5%8A%87%E9%99%A2%20%E8%A5%BF%E5%B1%AF%E5%8D%80%20%E8%87%BA%E4%B8%AD%E5%B8%82</t>
  </si>
  <si>
    <t>https://www.google.com/maps?q=24.162649,120.640300</t>
  </si>
  <si>
    <t>DOR-TXG-ART-002</t>
  </si>
  <si>
    <t>國立臺灣美術館</t>
  </si>
  <si>
    <t>國立臺灣美術館具建築輪廓、公共藝術與觀看角度具高度分享性，適合觀察與拍照型探索。</t>
  </si>
  <si>
    <t>國立臺灣美術館散步任務｜完成建築外觀巡遊，尋找一件公共藝術或特色細節，從指定角度拍照後終點打卡。記錄一個只有步行時才會注意到的細節。</t>
  </si>
  <si>
    <t>https://www.google.com/maps/search/?api=1&amp;query=%E5%9C%8B%E7%AB%8B%E8%87%BA%E7%81%A3%E7%BE%8E%E8%A1%93%E9%A4%A8%20%E8%A5%BF%E5%8D%80%20%E8%87%BA%E4%B8%AD%E5%B8%82</t>
  </si>
  <si>
    <t>https://www.google.com/maps?q=24.141186,120.663310</t>
  </si>
  <si>
    <t>DOR-TXG-ART-003</t>
  </si>
  <si>
    <t>彩虹村</t>
  </si>
  <si>
    <t>彩虹村具建築輪廓、公共藝術與觀看角度具高度分享性，適合觀察與拍照型探索。</t>
  </si>
  <si>
    <t>彩虹村散步任務｜完成建築外觀巡遊，尋找一件公共藝術或特色細節，從指定角度拍照後終點打卡。以起點、途中與終點三張照片完成探索紀錄。</t>
  </si>
  <si>
    <t>https://www.google.com/maps/search/?api=1&amp;query=%E5%BD%A9%E8%99%B9%E6%9D%91%20%E5%8D%97%E5%B1%AF%E5%8D%80%20%E8%87%BA%E4%B8%AD%E5%B8%82</t>
  </si>
  <si>
    <t>https://www.google.com/maps?q=24.133681,120.609830</t>
  </si>
  <si>
    <t>DOR-CHA-ART-001</t>
  </si>
  <si>
    <t>八卦山大佛風景區</t>
  </si>
  <si>
    <t>八卦山大佛風景區具建築輪廓、公共藝術與觀看角度具高度分享性，適合觀察與拍照型探索。</t>
  </si>
  <si>
    <t>八卦山大佛風景區散步任務｜完成建築外觀巡遊，尋找一件公共藝術或特色細節，從指定角度拍照後終點打卡。在終點回答一題與場域故事有關的問題。</t>
  </si>
  <si>
    <t>https://www.google.com/maps/search/?api=1&amp;query=%E5%85%AB%E5%8D%A6%E5%B1%B1%E5%A4%A7%E4%BD%9B%E9%A2%A8%E6%99%AF%E5%8D%80%20%E5%BD%B0%E5%8C%96%E5%B8%82%20%E5%BD%B0%E5%8C%96%E7%B8%A3</t>
  </si>
  <si>
    <t>https://www.google.com/maps?q=24.078487,120.548820</t>
  </si>
  <si>
    <t>DOR-NAN-ART-001</t>
  </si>
  <si>
    <t>國立臺灣工藝研究發展中心</t>
  </si>
  <si>
    <t>國立臺灣工藝研究發展中心具建築輪廓、公共藝術與觀看角度具高度分享性，適合觀察與拍照型探索。</t>
  </si>
  <si>
    <t>國立臺灣工藝研究發展中心散步任務｜完成建築外觀巡遊，尋找一件公共藝術或特色細節，從指定角度拍照後終點打卡。沿途至少完成三個檢查點。</t>
  </si>
  <si>
    <t>https://www.google.com/maps/search/?api=1&amp;query=%E5%9C%8B%E7%AB%8B%E8%87%BA%E7%81%A3%E5%B7%A5%E8%97%9D%E7%A0%94%E7%A9%B6%E7%99%BC%E5%B1%95%E4%B8%AD%E5%BF%83%20%E8%8D%89%E5%B1%AF%E9%8E%AE%20%E5%8D%97%E6%8A%95%E7%B8%A3</t>
  </si>
  <si>
    <t>https://www.google.com/maps?q=23.980774,120.691850</t>
  </si>
  <si>
    <t>DOR-CYQ-ART-001</t>
  </si>
  <si>
    <t>太保市</t>
  </si>
  <si>
    <t>國立故宮博物院南部院區</t>
  </si>
  <si>
    <t>國立故宮博物院南部院區具建築輪廓、公共藝術與觀看角度具高度分享性，適合觀察與拍照型探索。</t>
  </si>
  <si>
    <t>國立故宮博物院南部院區散步任務｜完成建築外觀巡遊，尋找一件公共藝術或特色細節，從指定角度拍照後終點打卡。記錄一個只有步行時才會注意到的細節。</t>
  </si>
  <si>
    <t>https://www.google.com/maps/search/?api=1&amp;query=%E5%9C%8B%E7%AB%8B%E6%95%85%E5%AE%AE%E5%8D%9A%E7%89%A9%E9%99%A2%E5%8D%97%E9%83%A8%E9%99%A2%E5%8D%80%20%E5%A4%AA%E4%BF%9D%E5%B8%82%20%E5%98%89%E7%BE%A9%E7%B8%A3</t>
  </si>
  <si>
    <t>https://www.google.com/maps?q=23.473129,120.292710</t>
  </si>
  <si>
    <t>DOR-CYI-ART-001</t>
  </si>
  <si>
    <t>嘉義市史蹟資料館</t>
  </si>
  <si>
    <t>嘉義市史蹟資料館具建築輪廓、公共藝術與觀看角度具高度分享性，適合觀察與拍照型探索。</t>
  </si>
  <si>
    <t>嘉義市史蹟資料館散步任務｜完成建築外觀巡遊，尋找一件公共藝術或特色細節，從指定角度拍照後終點打卡。以起點、途中與終點三張照片完成探索紀錄。</t>
  </si>
  <si>
    <t>https://www.google.com/maps/search/?api=1&amp;query=%E5%98%89%E7%BE%A9%E5%B8%82%E5%8F%B2%E8%B9%9F%E8%B3%87%E6%96%99%E9%A4%A8%20%E6%9D%B1%E5%8D%80%20%E5%98%89%E7%BE%A9%E5%B8%82</t>
  </si>
  <si>
    <t>https://www.google.com/maps?q=23.481039,120.467480</t>
  </si>
  <si>
    <t>DOR-TNN-ART-001</t>
  </si>
  <si>
    <t>奇美博物館</t>
  </si>
  <si>
    <t>奇美博物館具建築輪廓、公共藝術與觀看角度具高度分享性，適合觀察與拍照型探索。</t>
  </si>
  <si>
    <t>奇美博物館散步任務｜完成建築外觀巡遊，尋找一件公共藝術或特色細節，從指定角度拍照後終點打卡。在終點回答一題與場域故事有關的問題。</t>
  </si>
  <si>
    <t>https://www.google.com/maps/search/?api=1&amp;query=%E5%A5%87%E7%BE%8E%E5%8D%9A%E7%89%A9%E9%A4%A8%20%E4%BB%81%E5%BE%B7%E5%8D%80%20%E8%87%BA%E5%8D%97%E5%B8%82</t>
  </si>
  <si>
    <t>https://www.google.com/maps?q=22.934752,120.226050</t>
  </si>
  <si>
    <t>DOR-TNN-ART-002</t>
  </si>
  <si>
    <t>國立臺灣文學館</t>
  </si>
  <si>
    <t>國立臺灣文學館具建築輪廓、公共藝術與觀看角度具高度分享性，適合觀察與拍照型探索。</t>
  </si>
  <si>
    <t>國立臺灣文學館散步任務｜完成建築外觀巡遊，尋找一件公共藝術或特色細節，從指定角度拍照後終點打卡。沿途至少完成三個檢查點。</t>
  </si>
  <si>
    <t>https://www.google.com/maps/search/?api=1&amp;query=%E5%9C%8B%E7%AB%8B%E8%87%BA%E7%81%A3%E6%96%87%E5%AD%B8%E9%A4%A8%20%E4%B8%AD%E8%A5%BF%E5%8D%80%20%E8%87%BA%E5%8D%97%E5%B8%82</t>
  </si>
  <si>
    <t>https://www.google.com/maps?q=22.992200,120.204580</t>
  </si>
  <si>
    <t>DOR-KHH-ART-001</t>
  </si>
  <si>
    <t>衛武營國家藝術文化中心</t>
  </si>
  <si>
    <t>衛武營國家藝術文化中心具建築輪廓、公共藝術與觀看角度具高度分享性，適合觀察與拍照型探索。</t>
  </si>
  <si>
    <t>衛武營國家藝術文化中心散步任務｜完成建築外觀巡遊，尋找一件公共藝術或特色細節，從指定角度拍照後終點打卡。記錄一個只有步行時才會注意到的細節。</t>
  </si>
  <si>
    <t>https://www.google.com/maps/search/?api=1&amp;query=%E8%A1%9B%E6%AD%A6%E7%87%9F%E5%9C%8B%E5%AE%B6%E8%97%9D%E8%A1%93%E6%96%87%E5%8C%96%E4%B8%AD%E5%BF%83%20%E9%B3%B3%E5%B1%B1%E5%8D%80%20%E9%AB%98%E9%9B%84%E5%B8%82</t>
  </si>
  <si>
    <t>https://www.google.com/maps?q=22.623000,120.342440</t>
  </si>
  <si>
    <t>DOR-KHH-ART-002</t>
  </si>
  <si>
    <t>鹽埕區</t>
  </si>
  <si>
    <t>駁二藝術特區</t>
  </si>
  <si>
    <t>駁二藝術特區具建築輪廓、公共藝術與觀看角度具高度分享性，適合觀察與拍照型探索。</t>
  </si>
  <si>
    <t>駁二藝術特區散步任務｜完成建築外觀巡遊，尋找一件公共藝術或特色細節，從指定角度拍照後終點打卡。以起點、途中與終點三張照片完成探索紀錄。</t>
  </si>
  <si>
    <t>https://www.google.com/maps/search/?api=1&amp;query=%E9%A7%81%E4%BA%8C%E8%97%9D%E8%A1%93%E7%89%B9%E5%8D%80%20%E9%B9%BD%E5%9F%95%E5%8D%80%20%E9%AB%98%E9%9B%84%E5%B8%82</t>
  </si>
  <si>
    <t>https://www.google.com/maps?q=22.620005,120.281600</t>
  </si>
  <si>
    <t>DOR-ILA-ART-001</t>
  </si>
  <si>
    <t>國立傳統藝術中心</t>
  </si>
  <si>
    <t>國立傳統藝術中心具建築輪廓、公共藝術與觀看角度具高度分享性，適合觀察與拍照型探索。</t>
  </si>
  <si>
    <t>國立傳統藝術中心散步任務｜完成建築外觀巡遊，尋找一件公共藝術或特色細節，從指定角度拍照後終點打卡。在終點回答一題與場域故事有關的問題。</t>
  </si>
  <si>
    <t>https://www.google.com/maps/search/?api=1&amp;query=%E5%9C%8B%E7%AB%8B%E5%82%B3%E7%B5%B1%E8%97%9D%E8%A1%93%E4%B8%AD%E5%BF%83%20%E4%BA%94%E7%B5%90%E9%84%89%20%E5%AE%9C%E8%98%AD%E7%B8%A3</t>
  </si>
  <si>
    <t>https://www.google.com/maps?q=24.685587,121.824050</t>
  </si>
  <si>
    <t>DOR-HUA-ART-001</t>
  </si>
  <si>
    <t>松園別館</t>
  </si>
  <si>
    <t>松園別館具建築輪廓、公共藝術與觀看角度具高度分享性，適合觀察與拍照型探索。</t>
  </si>
  <si>
    <t>松園別館散步任務｜完成建築外觀巡遊，尋找一件公共藝術或特色細節，從指定角度拍照後終點打卡。沿途至少完成三個檢查點。</t>
  </si>
  <si>
    <t>https://www.google.com/maps/search/?api=1&amp;query=%E6%9D%BE%E5%9C%92%E5%88%A5%E9%A4%A8%20%E8%8A%B1%E8%93%AE%E5%B8%82%20%E8%8A%B1%E8%93%AE%E7%B8%A3</t>
  </si>
  <si>
    <t>https://www.google.com/maps?q=23.982805,121.615490</t>
  </si>
  <si>
    <t>DOR-TTT-ART-001</t>
  </si>
  <si>
    <t>卑南遺址公園</t>
  </si>
  <si>
    <t>卑南遺址公園具建築輪廓、公共藝術與觀看角度具高度分享性，適合觀察與拍照型探索。</t>
  </si>
  <si>
    <t>卑南遺址公園散步任務｜完成建築外觀巡遊，尋找一件公共藝術或特色細節，從指定角度拍照後終點打卡。記錄一個只有步行時才會注意到的細節。</t>
  </si>
  <si>
    <t>https://www.google.com/maps/search/?api=1&amp;query=%E5%8D%91%E5%8D%97%E9%81%BA%E5%9D%80%E5%85%AC%E5%9C%92%20%E8%87%BA%E6%9D%B1%E5%B8%82%20%E8%87%BA%E6%9D%B1%E7%B8%A3</t>
  </si>
  <si>
    <t>DOR｜城市探索 01｜老街與歷史街區｜共 25 處</t>
  </si>
  <si>
    <t>DOR｜城市探索 02｜鐵道與舊鐵路｜共 25 處</t>
  </si>
  <si>
    <t>DOR｜城市探索 03｜水岸、港口與漁港｜共 25 處</t>
  </si>
  <si>
    <t>DOR｜城市探索 04｜文化聚落與產業遺址｜共 25 處</t>
  </si>
  <si>
    <t>DOR｜城市探索 05｜城市綠道與水圳｜共 25 處</t>
  </si>
  <si>
    <t>DOR｜城市探索 06｜公共藝術與特色建築｜共 25 處</t>
  </si>
  <si>
    <t>DOR｜城市探索 六大散步章節摘要</t>
  </si>
  <si>
    <t>收錄數</t>
  </si>
  <si>
    <t>P0核心</t>
  </si>
  <si>
    <t>P1擴充</t>
  </si>
  <si>
    <t>A｜POI</t>
  </si>
  <si>
    <t>B｜場域代表點</t>
  </si>
  <si>
    <t>涵蓋縣市數</t>
  </si>
  <si>
    <t>典型任務</t>
  </si>
  <si>
    <t>35–90 分鐘</t>
  </si>
  <si>
    <t>起點＋途中觀察＋終點</t>
  </si>
  <si>
    <t>六章節收錄數</t>
  </si>
  <si>
    <t>涵蓋章節數</t>
  </si>
  <si>
    <t>與既有公園關係</t>
  </si>
  <si>
    <t>處理建議</t>
  </si>
  <si>
    <t>同名／可共用</t>
  </si>
  <si>
    <t>優先共用場域，另建立不同主題路線</t>
  </si>
  <si>
    <t>可能同場域</t>
  </si>
  <si>
    <t>合併前以名稱與地圖人工確認</t>
  </si>
  <si>
    <t>建議新增</t>
  </si>
  <si>
    <t>可建立新的場域主資料</t>
  </si>
  <si>
    <t>Google Maps 優先複核清單｜共 87 處場域代表座標</t>
  </si>
  <si>
    <t>緯度</t>
  </si>
  <si>
    <t>經度</t>
  </si>
  <si>
    <t>複核重點</t>
  </si>
  <si>
    <t>確認 Google Maps 圖釘是否為主入口或核心地標；另選任務起點、途中節點與終點。</t>
  </si>
  <si>
    <t>DOR｜城市探索 六大散步章節｜使用說明</t>
  </si>
  <si>
    <t>說明</t>
  </si>
  <si>
    <t>資料定位</t>
  </si>
  <si>
    <t>本工作簿在既有知名公園資料上，新增六個適合 20–90 分鐘散步的城市探索章節，共 150 處。</t>
  </si>
  <si>
    <t>六大章節</t>
  </si>
  <si>
    <t>老街與歷史街區、鐵道與舊鐵路、水岸港口與漁港、文化聚落與產業遺址、城市綠道與水圳、公共藝術與特色建築。</t>
  </si>
  <si>
    <t>納入門檻</t>
  </si>
  <si>
    <t>優先納入可形成起點、途中觀察與終點三段體驗的場域；純拍照單點不作為主要擴充方向。</t>
  </si>
  <si>
    <t>座標來源</t>
  </si>
  <si>
    <t>以交通部觀光署景點－觀光資訊資料庫為座標底稿；該資料來源註記座標地圖以 Google 為主。</t>
  </si>
  <si>
    <t>Google Maps連結</t>
  </si>
  <si>
    <t>每筆均附「名稱＋行政區＋縣市」地標搜尋連結，以及經緯度座標檢視連結。</t>
  </si>
  <si>
    <t>A｜POI座標</t>
  </si>
  <si>
    <t>適用於單一建築、車站、鐵道遺構或明確園區地標；仍須確認 Google Maps 圖釘與任務入口是否一致。</t>
  </si>
  <si>
    <t>適用於老街、港區、聚落、綠道與線性路線；該座標只代表場域，不應直接當作唯一 GPS 判定圓心。</t>
  </si>
  <si>
    <t>任務資料結構</t>
  </si>
  <si>
    <t>建議正式產品採「場域 → 主題路線 → 3至5個任務節點」，而不是只保留一個地點座標。</t>
  </si>
  <si>
    <t>GPS半徑</t>
  </si>
  <si>
    <t>單一 POI 約120m、園區約160m、街區與聚落約200m、港區約250m、線性路線約300m；正式上線前仍需實測。</t>
  </si>
  <si>
    <t>開放性</t>
  </si>
  <si>
    <t>資料上線前需確認營業時間、門票、工程、活動、潮汐、夜間照明、鐵路管制與居民生活影響。</t>
  </si>
  <si>
    <t>去重方式</t>
  </si>
  <si>
    <t>合併既有 DOR 主表時，應用名稱正規化、行政區，以及300公尺內座標近似比對，避免同場域跨章節重複建點。</t>
  </si>
  <si>
    <t>資料限制</t>
  </si>
  <si>
    <t>本版不是直接以 Google Places API 批次擷取；它以觀光署 Google 基準座標及 Google Maps 地標搜尋連結建立工作底稿。</t>
  </si>
  <si>
    <t>表內已標示同名、可能同場域或建議新增；同一地點可以共用場域主檔，再建立不同章節的主題路線，避免重複建立座標與關主。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</si>
</sst>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%"/>
    <numFmt numFmtId="178" formatCode="0.0"/>
  </numFmts>
  <fonts count="11">
    <font>
      <sz val="11"/>
      <name val="Carlito"/>
    </font>
    <font>
      <b/>
      <sz val="15"/>
      <color rgb="FFFFFFFF"/>
      <name val="Carlito"/>
    </font>
    <font>
      <b/>
      <sz val="11"/>
      <color rgb="FF17324D"/>
      <name val="Carlito"/>
    </font>
    <font>
      <sz val="11"/>
      <color rgb="FF0563C1"/>
      <name val="Carlito"/>
    </font>
    <font>
      <b/>
      <sz val="11"/>
      <color rgb="FF274E13"/>
      <name val="Carlito"/>
    </font>
    <font>
      <b/>
      <sz val="11"/>
      <color rgb="FFFFFFFF"/>
      <name val="Carlito"/>
    </font>
    <font>
      <b/>
      <sz val="11"/>
      <color rgb="FF7F6000"/>
      <name val="Carlito"/>
    </font>
    <font>
      <b/>
      <sz val="14"/>
      <color rgb="FFFFFFFF"/>
      <name val="Carlito"/>
    </font>
    <font>
      <b/>
      <sz val="11"/>
      <color rgb="FF7F0000"/>
      <name val="Carlito"/>
    </font>
    <font>
      <sz val="11"/>
      <name val="Carlito"/>
    </font>
    <font>
      <sz val="9"/>
      <name val="細明體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FDF2"/>
      </patternFill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7F0000"/>
      </patternFill>
    </fill>
    <fill>
      <patternFill patternType="solid">
        <fgColor rgb="FFF4CCCC"/>
      </patternFill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EADC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7F0000"/>
      </patternFill>
    </fill>
    <fill>
      <patternFill patternType="solid">
        <fgColor rgb="FFF4CCC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3" fillId="0" borderId="0" xfId="1" applyFont="1" applyAlignment="1">
      <alignment vertical="top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1" applyFont="1" applyBorder="1"/>
    <xf numFmtId="0" fontId="4" fillId="4" borderId="6" xfId="1" applyFont="1" applyFill="1" applyBorder="1"/>
    <xf numFmtId="0" fontId="0" fillId="0" borderId="0" xfId="1" applyFont="1" applyAlignment="1">
      <alignment horizontal="center"/>
    </xf>
    <xf numFmtId="0" fontId="0" fillId="0" borderId="5" xfId="1" applyFont="1" applyBorder="1" applyAlignment="1">
      <alignment horizontal="center"/>
    </xf>
    <xf numFmtId="0" fontId="4" fillId="4" borderId="7" xfId="1" applyFont="1" applyFill="1" applyBorder="1" applyAlignment="1">
      <alignment horizontal="center"/>
    </xf>
    <xf numFmtId="0" fontId="4" fillId="4" borderId="8" xfId="1" applyFont="1" applyFill="1" applyBorder="1" applyAlignment="1">
      <alignment horizontal="center"/>
    </xf>
    <xf numFmtId="176" fontId="0" fillId="0" borderId="0" xfId="1" applyNumberFormat="1" applyFont="1" applyAlignment="1">
      <alignment vertical="top" wrapText="1"/>
    </xf>
    <xf numFmtId="176" fontId="0" fillId="0" borderId="0" xfId="1" applyNumberFormat="1" applyFont="1" applyAlignment="1">
      <alignment horizontal="center" vertical="top" wrapText="1"/>
    </xf>
    <xf numFmtId="0" fontId="6" fillId="5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2" fillId="8" borderId="0" xfId="1" applyFont="1" applyFill="1" applyAlignment="1">
      <alignment horizontal="center" vertical="center" wrapText="1"/>
    </xf>
    <xf numFmtId="0" fontId="2" fillId="8" borderId="0" xfId="1" applyFont="1" applyFill="1" applyAlignment="1">
      <alignment horizontal="center" wrapText="1"/>
    </xf>
    <xf numFmtId="0" fontId="0" fillId="0" borderId="0" xfId="1" applyFont="1" applyAlignment="1">
      <alignment horizontal="center" wrapText="1"/>
    </xf>
    <xf numFmtId="177" fontId="0" fillId="0" borderId="0" xfId="1" applyNumberFormat="1" applyFont="1" applyAlignment="1">
      <alignment wrapText="1"/>
    </xf>
    <xf numFmtId="0" fontId="8" fillId="10" borderId="0" xfId="1" applyFont="1" applyFill="1" applyAlignment="1">
      <alignment horizontal="center" vertical="center" wrapText="1"/>
    </xf>
    <xf numFmtId="0" fontId="2" fillId="12" borderId="0" xfId="1" applyFont="1" applyFill="1" applyAlignment="1">
      <alignment horizontal="center" wrapText="1"/>
    </xf>
    <xf numFmtId="0" fontId="2" fillId="12" borderId="0" xfId="1" applyFont="1" applyFill="1" applyAlignment="1">
      <alignment horizontal="center" vertical="center" wrapText="1"/>
    </xf>
    <xf numFmtId="178" fontId="0" fillId="0" borderId="0" xfId="1" applyNumberFormat="1" applyFont="1" applyAlignment="1">
      <alignment vertical="top" wrapText="1"/>
    </xf>
    <xf numFmtId="178" fontId="0" fillId="0" borderId="0" xfId="1" applyNumberFormat="1" applyFont="1" applyAlignment="1">
      <alignment horizontal="center" vertical="top" wrapText="1"/>
    </xf>
    <xf numFmtId="0" fontId="2" fillId="13" borderId="0" xfId="1" applyFont="1" applyFill="1" applyAlignment="1">
      <alignment horizontal="center" vertical="center" wrapText="1"/>
    </xf>
    <xf numFmtId="0" fontId="2" fillId="14" borderId="0" xfId="1" applyFont="1" applyFill="1" applyAlignment="1">
      <alignment horizontal="center" vertical="center" wrapText="1"/>
    </xf>
    <xf numFmtId="0" fontId="2" fillId="15" borderId="0" xfId="1" applyFont="1" applyFill="1" applyAlignment="1">
      <alignment horizontal="center" vertical="center" wrapText="1"/>
    </xf>
    <xf numFmtId="0" fontId="2" fillId="16" borderId="0" xfId="1" applyFont="1" applyFill="1" applyAlignment="1">
      <alignment horizontal="center" vertical="center" wrapText="1"/>
    </xf>
    <xf numFmtId="0" fontId="2" fillId="17" borderId="0" xfId="1" applyFont="1" applyFill="1" applyAlignment="1">
      <alignment horizontal="center" vertical="center" wrapText="1"/>
    </xf>
    <xf numFmtId="0" fontId="4" fillId="14" borderId="0" xfId="1" applyFont="1" applyFill="1" applyAlignment="1">
      <alignment wrapText="1"/>
    </xf>
    <xf numFmtId="0" fontId="2" fillId="12" borderId="0" xfId="1" applyFont="1" applyFill="1" applyAlignment="1">
      <alignment horizontal="center"/>
    </xf>
    <xf numFmtId="0" fontId="7" fillId="18" borderId="0" xfId="1" applyFont="1" applyFill="1" applyAlignment="1">
      <alignment horizontal="center"/>
    </xf>
    <xf numFmtId="0" fontId="8" fillId="19" borderId="0" xfId="1" applyFont="1" applyFill="1" applyAlignment="1">
      <alignment horizontal="center" wrapText="1"/>
    </xf>
    <xf numFmtId="0" fontId="1" fillId="7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  <xf numFmtId="0" fontId="5" fillId="7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wrapText="1"/>
    </xf>
    <xf numFmtId="0" fontId="7" fillId="9" borderId="0" xfId="1" applyFont="1" applyFill="1" applyAlignment="1">
      <alignment horizontal="center"/>
    </xf>
    <xf numFmtId="0" fontId="1" fillId="11" borderId="0" xfId="1" applyFont="1" applyFill="1" applyAlignment="1">
      <alignment horizontal="center" vertical="center"/>
    </xf>
    <xf numFmtId="0" fontId="0" fillId="0" borderId="0" xfId="0"/>
    <xf numFmtId="0" fontId="7" fillId="11" borderId="0" xfId="1" applyFont="1" applyFill="1" applyAlignment="1">
      <alignment horizontal="center"/>
    </xf>
    <xf numFmtId="0" fontId="1" fillId="11" borderId="0" xfId="1" applyFont="1" applyFill="1" applyAlignment="1">
      <alignment horizontal="center"/>
    </xf>
    <xf numFmtId="0" fontId="7" fillId="18" borderId="0" xfId="1" applyFont="1" applyFill="1" applyAlignment="1">
      <alignment horizontal="center"/>
    </xf>
  </cellXfs>
  <cellStyles count="2">
    <cellStyle name="Normal" xfId="1" xr:uid="{00000000-0005-0000-0000-000000000000}"/>
    <cellStyle name="一般" xfId="0" builtinId="0"/>
  </cellStyles>
  <dxfs count="22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7F0000"/>
      </font>
      <fill>
        <patternFill patternType="solid">
          <bgColor rgb="FFF4CCCC"/>
        </patternFill>
      </fill>
    </dxf>
    <dxf>
      <font>
        <b/>
        <color rgb="FF7F0000"/>
      </font>
      <fill>
        <patternFill patternType="solid">
          <bgColor rgb="FFF4CCCC"/>
        </patternFill>
      </fill>
    </dxf>
    <dxf>
      <font>
        <b/>
        <color rgb="FF17324D"/>
      </font>
      <fill>
        <patternFill patternType="solid">
          <bgColor rgb="FFFFF2CC"/>
        </patternFill>
      </fill>
    </dxf>
    <dxf>
      <font>
        <b/>
        <color rgb="FF17324D"/>
      </font>
      <fill>
        <patternFill patternType="solid">
          <bgColor rgb="FFE2F0D9"/>
        </patternFill>
      </fill>
    </dxf>
    <dxf>
      <font>
        <b/>
        <color rgb="FF17324D"/>
      </font>
      <fill>
        <patternFill patternType="solid">
          <bgColor rgb="FFEADCF8"/>
        </patternFill>
      </fill>
    </dxf>
    <dxf>
      <font>
        <b/>
        <color rgb="FF17324D"/>
      </font>
      <fill>
        <patternFill patternType="solid">
          <bgColor rgb="FFD9EAF7"/>
        </patternFill>
      </fill>
    </dxf>
    <dxf>
      <font>
        <b/>
        <color rgb="FF17324D"/>
      </font>
      <fill>
        <patternFill patternType="solid">
          <bgColor rgb="FFD9EAD3"/>
        </patternFill>
      </fill>
    </dxf>
    <dxf>
      <font>
        <b/>
        <color rgb="FF17324D"/>
      </font>
      <fill>
        <patternFill patternType="solid">
          <bgColor rgb="FFFCE5CD"/>
        </patternFill>
      </fill>
    </dxf>
    <dxf>
      <font>
        <b/>
        <color rgb="FF7F4E00"/>
      </font>
      <fill>
        <patternFill patternType="solid">
          <bgColor rgb="FFFCE5CD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0000"/>
      </font>
      <fill>
        <patternFill>
          <bgColor rgb="FFF4CCCC"/>
        </patternFill>
      </fill>
    </dxf>
    <dxf>
      <font>
        <b/>
        <color rgb="FF7F4E00"/>
      </font>
      <fill>
        <patternFill>
          <bgColor rgb="FFFCE5CD"/>
        </patternFill>
      </fill>
    </dxf>
    <dxf>
      <font>
        <b/>
        <color rgb="FF7F0000"/>
      </font>
      <fill>
        <patternFill>
          <bgColor rgb="FFF4CCCC"/>
        </patternFill>
      </fill>
    </dxf>
    <dxf>
      <font>
        <b/>
        <color rgb="FF7F4E00"/>
      </font>
      <fill>
        <patternFill>
          <bgColor rgb="FFFCE5CD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555555"/>
      </font>
      <fill>
        <patternFill>
          <bgColor rgb="FFEDEDED"/>
        </patternFill>
      </fill>
    </dxf>
    <dxf>
      <font>
        <b/>
        <color rgb="FF7F4E00"/>
      </font>
      <fill>
        <patternFill>
          <bgColor rgb="FFFCE5CD"/>
        </patternFill>
      </fill>
    </dxf>
    <dxf>
      <font>
        <b/>
        <color rgb="FF7F0000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17324D"/>
      </font>
      <fill>
        <patternFill>
          <bgColor rgb="FFDDEBF7"/>
        </patternFill>
      </fill>
    </dxf>
    <dxf>
      <font>
        <b/>
        <color rgb="FF5F4500"/>
      </font>
      <fill>
        <patternFill>
          <bgColor rgb="FFF8D66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t>各縣市納入公園數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總數</c:v>
          </c:tx>
          <c:invertIfNegative val="1"/>
          <c:cat>
            <c:strRef>
              <c:f>縣市摘要!$A$3:$A$24</c:f>
              <c:strCache>
                <c:ptCount val="22"/>
                <c:pt idx="0">
                  <c:v>臺北市</c:v>
                </c:pt>
                <c:pt idx="1">
                  <c:v>新北市</c:v>
                </c:pt>
                <c:pt idx="2">
                  <c:v>基隆市</c:v>
                </c:pt>
                <c:pt idx="3">
                  <c:v>桃園市</c:v>
                </c:pt>
                <c:pt idx="4">
                  <c:v>新竹市</c:v>
                </c:pt>
                <c:pt idx="5">
                  <c:v>新竹縣</c:v>
                </c:pt>
                <c:pt idx="6">
                  <c:v>苗栗縣</c:v>
                </c:pt>
                <c:pt idx="7">
                  <c:v>臺中市</c:v>
                </c:pt>
                <c:pt idx="8">
                  <c:v>彰化縣</c:v>
                </c:pt>
                <c:pt idx="9">
                  <c:v>南投縣</c:v>
                </c:pt>
                <c:pt idx="10">
                  <c:v>雲林縣</c:v>
                </c:pt>
                <c:pt idx="11">
                  <c:v>嘉義市</c:v>
                </c:pt>
                <c:pt idx="12">
                  <c:v>嘉義縣</c:v>
                </c:pt>
                <c:pt idx="13">
                  <c:v>臺南市</c:v>
                </c:pt>
                <c:pt idx="14">
                  <c:v>高雄市</c:v>
                </c:pt>
                <c:pt idx="15">
                  <c:v>屏東縣</c:v>
                </c:pt>
                <c:pt idx="16">
                  <c:v>宜蘭縣</c:v>
                </c:pt>
                <c:pt idx="17">
                  <c:v>花蓮縣</c:v>
                </c:pt>
                <c:pt idx="18">
                  <c:v>臺東縣</c:v>
                </c:pt>
                <c:pt idx="19">
                  <c:v>澎湖縣</c:v>
                </c:pt>
                <c:pt idx="20">
                  <c:v>金門縣</c:v>
                </c:pt>
                <c:pt idx="21">
                  <c:v>連江縣</c:v>
                </c:pt>
              </c:strCache>
            </c:strRef>
          </c:cat>
          <c:val>
            <c:numRef>
              <c:f>縣市摘要!$B$3:$B$24</c:f>
              <c:numCache>
                <c:formatCode>General</c:formatCode>
                <c:ptCount val="22"/>
                <c:pt idx="0">
                  <c:v>18</c:v>
                </c:pt>
                <c:pt idx="1">
                  <c:v>18</c:v>
                </c:pt>
                <c:pt idx="2">
                  <c:v>7</c:v>
                </c:pt>
                <c:pt idx="3">
                  <c:v>16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16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15</c:v>
                </c:pt>
                <c:pt idx="14">
                  <c:v>20</c:v>
                </c:pt>
                <c:pt idx="15">
                  <c:v>9</c:v>
                </c:pt>
                <c:pt idx="16">
                  <c:v>11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4-4298-8B32-02426AF9B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t>六大散步章節收錄數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收錄數</c:v>
          </c:tx>
          <c:invertIfNegative val="1"/>
          <c:cat>
            <c:strRef>
              <c:f>六章節摘要!$A$3:$A$8</c:f>
              <c:strCache>
                <c:ptCount val="6"/>
                <c:pt idx="0">
                  <c:v>01｜老街與歷史街區</c:v>
                </c:pt>
                <c:pt idx="1">
                  <c:v>02｜鐵道與舊鐵路</c:v>
                </c:pt>
                <c:pt idx="2">
                  <c:v>03｜水岸、港口與漁港</c:v>
                </c:pt>
                <c:pt idx="3">
                  <c:v>04｜文化聚落與產業遺址</c:v>
                </c:pt>
                <c:pt idx="4">
                  <c:v>05｜城市綠道與水圳</c:v>
                </c:pt>
                <c:pt idx="5">
                  <c:v>06｜公共藝術與特色建築</c:v>
                </c:pt>
              </c:strCache>
            </c:strRef>
          </c:cat>
          <c:val>
            <c:numRef>
              <c:f>六章節摘要!$B$3:$B$8</c:f>
              <c:numCache>
                <c:formatCode>General</c:formatCode>
                <c:ptCount val="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7-47BC-9E96-D98EAD939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nownParksTable" displayName="KnownParksTable" ref="A2:T233">
  <tableColumns count="20">
    <tableColumn id="1" xr3:uid="{00000000-0010-0000-0000-000001000000}" name="序號"/>
    <tableColumn id="2" xr3:uid="{00000000-0010-0000-0000-000002000000}" name="縣市"/>
    <tableColumn id="3" xr3:uid="{00000000-0010-0000-0000-000003000000}" name="行政區"/>
    <tableColumn id="4" xr3:uid="{00000000-0010-0000-0000-000004000000}" name="公園名稱"/>
    <tableColumn id="5" xr3:uid="{00000000-0010-0000-0000-000005000000}" name="類型"/>
    <tableColumn id="6" xr3:uid="{00000000-0010-0000-0000-000006000000}" name="知名度層級"/>
    <tableColumn id="7" xr3:uid="{00000000-0010-0000-0000-000007000000}" name="DOR收錄優先級"/>
    <tableColumn id="8" xr3:uid="{00000000-0010-0000-0000-000008000000}" name="代表性理由"/>
    <tableColumn id="9" xr3:uid="{00000000-0010-0000-0000-000009000000}" name="適合玩法／任務"/>
    <tableColumn id="10" xr3:uid="{00000000-0010-0000-0000-00000A000000}" name="與現有DOR重疊"/>
    <tableColumn id="11" xr3:uid="{00000000-0010-0000-0000-00000B000000}" name="場域性質"/>
    <tableColumn id="12" xr3:uid="{00000000-0010-0000-0000-00000C000000}" name="開放／營運備註"/>
    <tableColumn id="13" xr3:uid="{00000000-0010-0000-0000-00000D000000}" name="官方／主要來源"/>
    <tableColumn id="14" xr3:uid="{00000000-0010-0000-0000-00000E000000}" name="複核狀態"/>
    <tableColumn id="15" xr3:uid="{00000000-0010-0000-0000-00000F000000}" name="緯度（WGS84）"/>
    <tableColumn id="16" xr3:uid="{00000000-0010-0000-0000-000010000000}" name="經度（WGS84）"/>
    <tableColumn id="17" xr3:uid="{00000000-0010-0000-0000-000011000000}" name="座標可信度"/>
    <tableColumn id="18" xr3:uid="{00000000-0010-0000-0000-000012000000}" name="座標來源／比對方式"/>
    <tableColumn id="19" xr3:uid="{00000000-0010-0000-0000-000013000000}" name="座標設定說明"/>
    <tableColumn id="20" xr3:uid="{00000000-0010-0000-0000-000014000000}" name="地圖檢視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RSixChaptersTable" displayName="DORSixChaptersTable" ref="A2:AD152">
  <tableColumns count="30">
    <tableColumn id="1" xr3:uid="{00000000-0010-0000-0100-000001000000}" name="地點ID"/>
    <tableColumn id="2" xr3:uid="{00000000-0010-0000-0100-000002000000}" name="縣市"/>
    <tableColumn id="3" xr3:uid="{00000000-0010-0000-0100-000003000000}" name="行政區"/>
    <tableColumn id="4" xr3:uid="{00000000-0010-0000-0100-000004000000}" name="類型"/>
    <tableColumn id="5" xr3:uid="{00000000-0010-0000-0100-000005000000}" name="地點名稱"/>
    <tableColumn id="6" xr3:uid="{00000000-0010-0000-0100-000006000000}" name="打卡點定位"/>
    <tableColumn id="7" xr3:uid="{00000000-0010-0000-0100-000007000000}" name="緯度（WGS84）"/>
    <tableColumn id="8" xr3:uid="{00000000-0010-0000-0100-000008000000}" name="經度（WGS84）"/>
    <tableColumn id="9" xr3:uid="{00000000-0010-0000-0100-000009000000}" name="星等"/>
    <tableColumn id="10" xr3:uid="{00000000-0010-0000-0100-00000A000000}" name="星等顯示"/>
    <tableColumn id="11" xr3:uid="{00000000-0010-0000-0100-00000B000000}" name="熱門理由"/>
    <tableColumn id="12" xr3:uid="{00000000-0010-0000-0100-00000C000000}" name="建議任務"/>
    <tableColumn id="13" xr3:uid="{00000000-0010-0000-0100-00000D000000}" name="開放性備註"/>
    <tableColumn id="14" xr3:uid="{00000000-0010-0000-0100-00000E000000}" name="GPS半徑建議m"/>
    <tableColumn id="15" xr3:uid="{00000000-0010-0000-0100-00000F000000}" name="座標可信度"/>
    <tableColumn id="16" xr3:uid="{00000000-0010-0000-0100-000010000000}" name="座標設定說明"/>
    <tableColumn id="17" xr3:uid="{00000000-0010-0000-0100-000011000000}" name="資料來源類型"/>
    <tableColumn id="18" xr3:uid="{00000000-0010-0000-0100-000012000000}" name="資料來源URL"/>
    <tableColumn id="19" xr3:uid="{00000000-0010-0000-0100-000013000000}" name="整理日期"/>
    <tableColumn id="20" xr3:uid="{00000000-0010-0000-0100-000014000000}" name="主類別"/>
    <tableColumn id="21" xr3:uid="{00000000-0010-0000-0100-000015000000}" name="章節"/>
    <tableColumn id="22" xr3:uid="{00000000-0010-0000-0100-000016000000}" name="散步適合度"/>
    <tableColumn id="23" xr3:uid="{00000000-0010-0000-0100-000017000000}" name="建議時間"/>
    <tableColumn id="24" xr3:uid="{00000000-0010-0000-0100-000018000000}" name="建議距離km"/>
    <tableColumn id="25" xr3:uid="{00000000-0010-0000-0100-000019000000}" name="任務節點建議"/>
    <tableColumn id="26" xr3:uid="{00000000-0010-0000-0100-00001A000000}" name="DOR收錄優先級"/>
    <tableColumn id="27" xr3:uid="{00000000-0010-0000-0100-00001B000000}" name="Google Maps地標搜尋"/>
    <tableColumn id="28" xr3:uid="{00000000-0010-0000-0100-00001C000000}" name="Google Maps座標檢視"/>
    <tableColumn id="29" xr3:uid="{00000000-0010-0000-0100-00001D000000}" name="座標場域類型"/>
    <tableColumn id="30" xr3:uid="{00000000-0010-0000-0100-00001E000000}" name="去重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3"/>
  <sheetViews>
    <sheetView tabSelected="1" workbookViewId="0">
      <selection sqref="A1:W1"/>
    </sheetView>
  </sheetViews>
  <sheetFormatPr defaultRowHeight="14"/>
  <cols>
    <col min="1" max="1" width="7" customWidth="1"/>
    <col min="2" max="2" width="9" customWidth="1"/>
    <col min="3" max="3" width="10" customWidth="1"/>
    <col min="4" max="4" width="29" customWidth="1"/>
    <col min="5" max="5" width="16" customWidth="1"/>
    <col min="6" max="7" width="15" customWidth="1"/>
    <col min="8" max="8" width="32" customWidth="1"/>
    <col min="9" max="9" width="30" customWidth="1"/>
    <col min="10" max="10" width="18" customWidth="1"/>
    <col min="11" max="11" width="17" customWidth="1"/>
    <col min="12" max="12" width="36" customWidth="1"/>
    <col min="13" max="13" width="30" customWidth="1"/>
    <col min="14" max="14" width="28" customWidth="1"/>
    <col min="15" max="16" width="17" customWidth="1"/>
    <col min="17" max="17" width="28" customWidth="1"/>
    <col min="18" max="18" width="42" customWidth="1"/>
    <col min="19" max="19" width="45" customWidth="1"/>
    <col min="20" max="20" width="48" customWidth="1"/>
    <col min="21" max="21" width="40" customWidth="1"/>
    <col min="22" max="22" width="34" customWidth="1"/>
    <col min="23" max="23" width="24" customWidth="1"/>
  </cols>
  <sheetData>
    <row r="1" spans="1:23" ht="2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3" ht="42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19" t="s">
        <v>15</v>
      </c>
      <c r="P2" s="19" t="s">
        <v>16</v>
      </c>
      <c r="Q2" s="19" t="s">
        <v>17</v>
      </c>
      <c r="R2" s="19" t="s">
        <v>18</v>
      </c>
      <c r="S2" s="19" t="s">
        <v>19</v>
      </c>
      <c r="T2" s="19" t="s">
        <v>20</v>
      </c>
      <c r="U2" s="19" t="s">
        <v>21</v>
      </c>
      <c r="V2" s="19" t="s">
        <v>22</v>
      </c>
      <c r="W2" s="19" t="s">
        <v>23</v>
      </c>
    </row>
    <row r="3" spans="1:23" ht="70">
      <c r="A3" s="4">
        <v>1</v>
      </c>
      <c r="B3" s="4" t="s">
        <v>24</v>
      </c>
      <c r="C3" s="4" t="s">
        <v>25</v>
      </c>
      <c r="D3" s="3" t="s">
        <v>26</v>
      </c>
      <c r="E3" s="3" t="s">
        <v>27</v>
      </c>
      <c r="F3" s="4" t="s">
        <v>28</v>
      </c>
      <c r="G3" s="4" t="s">
        <v>29</v>
      </c>
      <c r="H3" s="3" t="s">
        <v>30</v>
      </c>
      <c r="I3" s="3" t="s">
        <v>31</v>
      </c>
      <c r="J3" s="4" t="s">
        <v>32</v>
      </c>
      <c r="K3" s="4" t="s">
        <v>33</v>
      </c>
      <c r="L3" s="3" t="s">
        <v>34</v>
      </c>
      <c r="M3" s="5" t="s">
        <v>35</v>
      </c>
      <c r="N3" s="3" t="s">
        <v>36</v>
      </c>
      <c r="O3" s="16">
        <v>25.03342</v>
      </c>
      <c r="P3" s="16">
        <v>121.5352</v>
      </c>
      <c r="Q3" s="4" t="s">
        <v>37</v>
      </c>
      <c r="R3" s="3" t="s">
        <v>38</v>
      </c>
      <c r="S3" s="3" t="s">
        <v>39</v>
      </c>
      <c r="T3" s="5" t="s">
        <v>40</v>
      </c>
      <c r="U3" s="5" t="s">
        <v>41</v>
      </c>
      <c r="V3" s="3" t="s">
        <v>42</v>
      </c>
      <c r="W3" s="4" t="s">
        <v>43</v>
      </c>
    </row>
    <row r="4" spans="1:23" ht="70">
      <c r="A4" s="4">
        <v>2</v>
      </c>
      <c r="B4" s="4" t="s">
        <v>24</v>
      </c>
      <c r="C4" s="4" t="s">
        <v>44</v>
      </c>
      <c r="D4" s="3" t="s">
        <v>45</v>
      </c>
      <c r="E4" s="3" t="s">
        <v>46</v>
      </c>
      <c r="F4" s="4" t="s">
        <v>28</v>
      </c>
      <c r="G4" s="4" t="s">
        <v>29</v>
      </c>
      <c r="H4" s="3" t="s">
        <v>47</v>
      </c>
      <c r="I4" s="3" t="s">
        <v>48</v>
      </c>
      <c r="J4" s="4" t="s">
        <v>49</v>
      </c>
      <c r="K4" s="4" t="s">
        <v>33</v>
      </c>
      <c r="L4" s="3" t="s">
        <v>34</v>
      </c>
      <c r="M4" s="5" t="s">
        <v>35</v>
      </c>
      <c r="N4" s="3" t="s">
        <v>36</v>
      </c>
      <c r="O4" s="16">
        <v>25.04044</v>
      </c>
      <c r="P4" s="16">
        <v>121.51416999999999</v>
      </c>
      <c r="Q4" s="4" t="s">
        <v>37</v>
      </c>
      <c r="R4" s="3" t="s">
        <v>38</v>
      </c>
      <c r="S4" s="3" t="s">
        <v>39</v>
      </c>
      <c r="T4" s="5" t="s">
        <v>50</v>
      </c>
      <c r="U4" s="5" t="s">
        <v>51</v>
      </c>
      <c r="V4" s="3" t="s">
        <v>52</v>
      </c>
      <c r="W4" s="4" t="s">
        <v>43</v>
      </c>
    </row>
    <row r="5" spans="1:23" ht="70">
      <c r="A5" s="4">
        <v>3</v>
      </c>
      <c r="B5" s="4" t="s">
        <v>24</v>
      </c>
      <c r="C5" s="4" t="s">
        <v>53</v>
      </c>
      <c r="D5" s="3" t="s">
        <v>54</v>
      </c>
      <c r="E5" s="3" t="s">
        <v>46</v>
      </c>
      <c r="F5" s="4" t="s">
        <v>28</v>
      </c>
      <c r="G5" s="4" t="s">
        <v>29</v>
      </c>
      <c r="H5" s="3" t="s">
        <v>47</v>
      </c>
      <c r="I5" s="3" t="s">
        <v>48</v>
      </c>
      <c r="J5" s="4" t="s">
        <v>49</v>
      </c>
      <c r="K5" s="4" t="s">
        <v>33</v>
      </c>
      <c r="L5" s="3" t="s">
        <v>34</v>
      </c>
      <c r="M5" s="5" t="s">
        <v>35</v>
      </c>
      <c r="N5" s="3" t="s">
        <v>36</v>
      </c>
      <c r="O5" s="16">
        <v>25.094899999999999</v>
      </c>
      <c r="P5" s="16">
        <v>121.53015000000001</v>
      </c>
      <c r="Q5" s="4" t="s">
        <v>37</v>
      </c>
      <c r="R5" s="3" t="s">
        <v>38</v>
      </c>
      <c r="S5" s="3" t="s">
        <v>39</v>
      </c>
      <c r="T5" s="5" t="s">
        <v>55</v>
      </c>
      <c r="U5" s="5" t="s">
        <v>56</v>
      </c>
      <c r="V5" s="3" t="s">
        <v>57</v>
      </c>
      <c r="W5" s="4" t="s">
        <v>43</v>
      </c>
    </row>
    <row r="6" spans="1:23" ht="56">
      <c r="A6" s="4">
        <v>4</v>
      </c>
      <c r="B6" s="4" t="s">
        <v>24</v>
      </c>
      <c r="C6" s="4" t="s">
        <v>58</v>
      </c>
      <c r="D6" s="3" t="s">
        <v>59</v>
      </c>
      <c r="E6" s="3" t="s">
        <v>46</v>
      </c>
      <c r="F6" s="4" t="s">
        <v>60</v>
      </c>
      <c r="G6" s="4" t="s">
        <v>29</v>
      </c>
      <c r="H6" s="3" t="s">
        <v>47</v>
      </c>
      <c r="I6" s="3" t="s">
        <v>48</v>
      </c>
      <c r="J6" s="4" t="s">
        <v>49</v>
      </c>
      <c r="K6" s="4" t="s">
        <v>33</v>
      </c>
      <c r="L6" s="3" t="s">
        <v>34</v>
      </c>
      <c r="M6" s="5" t="s">
        <v>35</v>
      </c>
      <c r="N6" s="3" t="s">
        <v>36</v>
      </c>
      <c r="O6" s="16">
        <v>25.136559999999999</v>
      </c>
      <c r="P6" s="16">
        <v>121.50473</v>
      </c>
      <c r="Q6" s="4" t="s">
        <v>37</v>
      </c>
      <c r="R6" s="3" t="s">
        <v>38</v>
      </c>
      <c r="S6" s="3" t="s">
        <v>39</v>
      </c>
      <c r="T6" s="5" t="s">
        <v>61</v>
      </c>
      <c r="U6" s="5" t="s">
        <v>62</v>
      </c>
      <c r="V6" s="3" t="s">
        <v>63</v>
      </c>
      <c r="W6" s="4" t="s">
        <v>43</v>
      </c>
    </row>
    <row r="7" spans="1:23" ht="56">
      <c r="A7" s="4">
        <v>5</v>
      </c>
      <c r="B7" s="4" t="s">
        <v>24</v>
      </c>
      <c r="C7" s="4" t="s">
        <v>58</v>
      </c>
      <c r="D7" s="3" t="s">
        <v>64</v>
      </c>
      <c r="E7" s="3" t="s">
        <v>65</v>
      </c>
      <c r="F7" s="4" t="s">
        <v>60</v>
      </c>
      <c r="G7" s="4" t="s">
        <v>66</v>
      </c>
      <c r="H7" s="3" t="s">
        <v>67</v>
      </c>
      <c r="I7" s="3" t="s">
        <v>68</v>
      </c>
      <c r="J7" s="4" t="s">
        <v>49</v>
      </c>
      <c r="K7" s="4" t="s">
        <v>33</v>
      </c>
      <c r="L7" s="3" t="s">
        <v>34</v>
      </c>
      <c r="M7" s="5" t="s">
        <v>35</v>
      </c>
      <c r="N7" s="3" t="s">
        <v>36</v>
      </c>
      <c r="O7" s="16">
        <v>25.157869999999999</v>
      </c>
      <c r="P7" s="16">
        <v>121.54252</v>
      </c>
      <c r="Q7" s="4" t="s">
        <v>37</v>
      </c>
      <c r="R7" s="3" t="s">
        <v>38</v>
      </c>
      <c r="S7" s="3" t="s">
        <v>39</v>
      </c>
      <c r="T7" s="5" t="s">
        <v>69</v>
      </c>
      <c r="U7" s="5" t="s">
        <v>70</v>
      </c>
      <c r="V7" s="3" t="s">
        <v>71</v>
      </c>
      <c r="W7" s="4" t="s">
        <v>43</v>
      </c>
    </row>
    <row r="8" spans="1:23" ht="56">
      <c r="A8" s="4">
        <v>6</v>
      </c>
      <c r="B8" s="4" t="s">
        <v>24</v>
      </c>
      <c r="C8" s="4" t="s">
        <v>72</v>
      </c>
      <c r="D8" s="3" t="s">
        <v>73</v>
      </c>
      <c r="E8" s="3" t="s">
        <v>74</v>
      </c>
      <c r="F8" s="4" t="s">
        <v>60</v>
      </c>
      <c r="G8" s="4" t="s">
        <v>29</v>
      </c>
      <c r="H8" s="3" t="s">
        <v>75</v>
      </c>
      <c r="I8" s="3" t="s">
        <v>76</v>
      </c>
      <c r="J8" s="4" t="s">
        <v>32</v>
      </c>
      <c r="K8" s="4" t="s">
        <v>33</v>
      </c>
      <c r="L8" s="3" t="s">
        <v>34</v>
      </c>
      <c r="M8" s="5" t="s">
        <v>35</v>
      </c>
      <c r="N8" s="3" t="s">
        <v>36</v>
      </c>
      <c r="O8" s="16">
        <v>25.0837</v>
      </c>
      <c r="P8" s="16">
        <v>121.602</v>
      </c>
      <c r="Q8" s="4" t="s">
        <v>37</v>
      </c>
      <c r="R8" s="3" t="s">
        <v>38</v>
      </c>
      <c r="S8" s="3" t="s">
        <v>39</v>
      </c>
      <c r="T8" s="5" t="s">
        <v>77</v>
      </c>
      <c r="U8" s="5" t="s">
        <v>78</v>
      </c>
      <c r="V8" s="3" t="s">
        <v>79</v>
      </c>
      <c r="W8" s="4" t="s">
        <v>43</v>
      </c>
    </row>
    <row r="9" spans="1:23" ht="56">
      <c r="A9" s="4">
        <v>7</v>
      </c>
      <c r="B9" s="4" t="s">
        <v>24</v>
      </c>
      <c r="C9" s="4" t="s">
        <v>72</v>
      </c>
      <c r="D9" s="3" t="s">
        <v>80</v>
      </c>
      <c r="E9" s="3" t="s">
        <v>74</v>
      </c>
      <c r="F9" s="4" t="s">
        <v>60</v>
      </c>
      <c r="G9" s="4" t="s">
        <v>66</v>
      </c>
      <c r="H9" s="3" t="s">
        <v>75</v>
      </c>
      <c r="I9" s="3" t="s">
        <v>76</v>
      </c>
      <c r="J9" s="4" t="s">
        <v>49</v>
      </c>
      <c r="K9" s="4" t="s">
        <v>33</v>
      </c>
      <c r="L9" s="3" t="s">
        <v>34</v>
      </c>
      <c r="M9" s="5" t="s">
        <v>35</v>
      </c>
      <c r="N9" s="3" t="s">
        <v>36</v>
      </c>
      <c r="O9" s="16">
        <v>25.082190000000001</v>
      </c>
      <c r="P9" s="16">
        <v>121.58429</v>
      </c>
      <c r="Q9" s="4" t="s">
        <v>37</v>
      </c>
      <c r="R9" s="3" t="s">
        <v>38</v>
      </c>
      <c r="S9" s="3" t="s">
        <v>39</v>
      </c>
      <c r="T9" s="5" t="s">
        <v>81</v>
      </c>
      <c r="U9" s="5" t="s">
        <v>82</v>
      </c>
      <c r="V9" s="3" t="s">
        <v>83</v>
      </c>
      <c r="W9" s="4" t="s">
        <v>43</v>
      </c>
    </row>
    <row r="10" spans="1:23" ht="56">
      <c r="A10" s="4">
        <v>8</v>
      </c>
      <c r="B10" s="4" t="s">
        <v>24</v>
      </c>
      <c r="C10" s="4" t="s">
        <v>84</v>
      </c>
      <c r="D10" s="3" t="s">
        <v>85</v>
      </c>
      <c r="E10" s="3" t="s">
        <v>74</v>
      </c>
      <c r="F10" s="4" t="s">
        <v>60</v>
      </c>
      <c r="G10" s="4" t="s">
        <v>29</v>
      </c>
      <c r="H10" s="3" t="s">
        <v>75</v>
      </c>
      <c r="I10" s="3" t="s">
        <v>76</v>
      </c>
      <c r="J10" s="4" t="s">
        <v>32</v>
      </c>
      <c r="K10" s="4" t="s">
        <v>33</v>
      </c>
      <c r="L10" s="3" t="s">
        <v>34</v>
      </c>
      <c r="M10" s="5" t="s">
        <v>35</v>
      </c>
      <c r="N10" s="3" t="s">
        <v>36</v>
      </c>
      <c r="O10" s="16">
        <v>25.039400000000001</v>
      </c>
      <c r="P10" s="16">
        <v>121.59050000000001</v>
      </c>
      <c r="Q10" s="4" t="s">
        <v>37</v>
      </c>
      <c r="R10" s="3" t="s">
        <v>38</v>
      </c>
      <c r="S10" s="3" t="s">
        <v>39</v>
      </c>
      <c r="T10" s="5" t="s">
        <v>86</v>
      </c>
      <c r="U10" s="5" t="s">
        <v>87</v>
      </c>
      <c r="V10" s="3" t="s">
        <v>88</v>
      </c>
      <c r="W10" s="4" t="s">
        <v>43</v>
      </c>
    </row>
    <row r="11" spans="1:23" ht="56">
      <c r="A11" s="4">
        <v>9</v>
      </c>
      <c r="B11" s="4" t="s">
        <v>24</v>
      </c>
      <c r="C11" s="4" t="s">
        <v>89</v>
      </c>
      <c r="D11" s="3" t="s">
        <v>90</v>
      </c>
      <c r="E11" s="3" t="s">
        <v>91</v>
      </c>
      <c r="F11" s="4" t="s">
        <v>60</v>
      </c>
      <c r="G11" s="4" t="s">
        <v>29</v>
      </c>
      <c r="H11" s="3" t="s">
        <v>92</v>
      </c>
      <c r="I11" s="3" t="s">
        <v>93</v>
      </c>
      <c r="J11" s="4" t="s">
        <v>32</v>
      </c>
      <c r="K11" s="4" t="s">
        <v>33</v>
      </c>
      <c r="L11" s="3" t="s">
        <v>34</v>
      </c>
      <c r="M11" s="5" t="s">
        <v>35</v>
      </c>
      <c r="N11" s="3" t="s">
        <v>36</v>
      </c>
      <c r="O11" s="16">
        <v>25.0227</v>
      </c>
      <c r="P11" s="16">
        <v>121.5052</v>
      </c>
      <c r="Q11" s="4" t="s">
        <v>37</v>
      </c>
      <c r="R11" s="3" t="s">
        <v>38</v>
      </c>
      <c r="S11" s="3" t="s">
        <v>39</v>
      </c>
      <c r="T11" s="5" t="s">
        <v>94</v>
      </c>
      <c r="U11" s="5" t="s">
        <v>95</v>
      </c>
      <c r="V11" s="3" t="s">
        <v>96</v>
      </c>
      <c r="W11" s="4" t="s">
        <v>43</v>
      </c>
    </row>
    <row r="12" spans="1:23" ht="98">
      <c r="A12" s="4">
        <v>10</v>
      </c>
      <c r="B12" s="4" t="s">
        <v>24</v>
      </c>
      <c r="C12" s="4" t="s">
        <v>97</v>
      </c>
      <c r="D12" s="3" t="s">
        <v>98</v>
      </c>
      <c r="E12" s="3" t="s">
        <v>27</v>
      </c>
      <c r="F12" s="4" t="s">
        <v>28</v>
      </c>
      <c r="G12" s="4" t="s">
        <v>29</v>
      </c>
      <c r="H12" s="3" t="s">
        <v>30</v>
      </c>
      <c r="I12" s="3" t="s">
        <v>31</v>
      </c>
      <c r="J12" s="4" t="s">
        <v>32</v>
      </c>
      <c r="K12" s="4" t="s">
        <v>33</v>
      </c>
      <c r="L12" s="3" t="s">
        <v>34</v>
      </c>
      <c r="M12" s="5" t="s">
        <v>35</v>
      </c>
      <c r="N12" s="3" t="s">
        <v>36</v>
      </c>
      <c r="O12" s="16">
        <v>25.069099999999999</v>
      </c>
      <c r="P12" s="16">
        <v>121.53230000000001</v>
      </c>
      <c r="Q12" s="4" t="s">
        <v>99</v>
      </c>
      <c r="R12" s="3" t="s">
        <v>38</v>
      </c>
      <c r="S12" s="3" t="s">
        <v>100</v>
      </c>
      <c r="T12" s="5" t="s">
        <v>101</v>
      </c>
      <c r="U12" s="5" t="s">
        <v>102</v>
      </c>
      <c r="V12" s="3" t="s">
        <v>103</v>
      </c>
      <c r="W12" s="4" t="s">
        <v>104</v>
      </c>
    </row>
    <row r="13" spans="1:23" ht="70">
      <c r="A13" s="4">
        <v>11</v>
      </c>
      <c r="B13" s="4" t="s">
        <v>24</v>
      </c>
      <c r="C13" s="4" t="s">
        <v>97</v>
      </c>
      <c r="D13" s="3" t="s">
        <v>105</v>
      </c>
      <c r="E13" s="3" t="s">
        <v>74</v>
      </c>
      <c r="F13" s="4" t="s">
        <v>60</v>
      </c>
      <c r="G13" s="4" t="s">
        <v>66</v>
      </c>
      <c r="H13" s="3" t="s">
        <v>75</v>
      </c>
      <c r="I13" s="3" t="s">
        <v>76</v>
      </c>
      <c r="J13" s="4" t="s">
        <v>49</v>
      </c>
      <c r="K13" s="4" t="s">
        <v>33</v>
      </c>
      <c r="L13" s="3" t="s">
        <v>34</v>
      </c>
      <c r="M13" s="5" t="s">
        <v>35</v>
      </c>
      <c r="N13" s="3" t="s">
        <v>36</v>
      </c>
      <c r="O13" s="16">
        <v>25.062650000000001</v>
      </c>
      <c r="P13" s="16">
        <v>121.54049999999999</v>
      </c>
      <c r="Q13" s="4" t="s">
        <v>37</v>
      </c>
      <c r="R13" s="3" t="s">
        <v>38</v>
      </c>
      <c r="S13" s="3" t="s">
        <v>39</v>
      </c>
      <c r="T13" s="5" t="s">
        <v>106</v>
      </c>
      <c r="U13" s="5" t="s">
        <v>107</v>
      </c>
      <c r="V13" s="3" t="s">
        <v>108</v>
      </c>
      <c r="W13" s="4" t="s">
        <v>43</v>
      </c>
    </row>
    <row r="14" spans="1:23" ht="70">
      <c r="A14" s="4">
        <v>12</v>
      </c>
      <c r="B14" s="4" t="s">
        <v>24</v>
      </c>
      <c r="C14" s="4" t="s">
        <v>53</v>
      </c>
      <c r="D14" s="3" t="s">
        <v>109</v>
      </c>
      <c r="E14" s="3" t="s">
        <v>91</v>
      </c>
      <c r="F14" s="4" t="s">
        <v>60</v>
      </c>
      <c r="G14" s="4" t="s">
        <v>66</v>
      </c>
      <c r="H14" s="3" t="s">
        <v>92</v>
      </c>
      <c r="I14" s="3" t="s">
        <v>93</v>
      </c>
      <c r="J14" s="4" t="s">
        <v>32</v>
      </c>
      <c r="K14" s="4" t="s">
        <v>33</v>
      </c>
      <c r="L14" s="3" t="s">
        <v>34</v>
      </c>
      <c r="M14" s="5" t="s">
        <v>35</v>
      </c>
      <c r="N14" s="3" t="s">
        <v>36</v>
      </c>
      <c r="O14" s="16">
        <v>25.1158</v>
      </c>
      <c r="P14" s="16">
        <v>121.532</v>
      </c>
      <c r="Q14" s="4" t="s">
        <v>37</v>
      </c>
      <c r="R14" s="3" t="s">
        <v>38</v>
      </c>
      <c r="S14" s="3" t="s">
        <v>39</v>
      </c>
      <c r="T14" s="5" t="s">
        <v>110</v>
      </c>
      <c r="U14" s="5" t="s">
        <v>111</v>
      </c>
      <c r="V14" s="3" t="s">
        <v>112</v>
      </c>
      <c r="W14" s="4" t="s">
        <v>43</v>
      </c>
    </row>
    <row r="15" spans="1:23" ht="70">
      <c r="A15" s="4">
        <v>13</v>
      </c>
      <c r="B15" s="4" t="s">
        <v>24</v>
      </c>
      <c r="C15" s="4" t="s">
        <v>97</v>
      </c>
      <c r="D15" s="3" t="s">
        <v>113</v>
      </c>
      <c r="E15" s="3" t="s">
        <v>114</v>
      </c>
      <c r="F15" s="4" t="s">
        <v>28</v>
      </c>
      <c r="G15" s="4" t="s">
        <v>29</v>
      </c>
      <c r="H15" s="3" t="s">
        <v>115</v>
      </c>
      <c r="I15" s="3" t="s">
        <v>116</v>
      </c>
      <c r="J15" s="4" t="s">
        <v>32</v>
      </c>
      <c r="K15" s="4" t="s">
        <v>33</v>
      </c>
      <c r="L15" s="3" t="s">
        <v>34</v>
      </c>
      <c r="M15" s="5" t="s">
        <v>35</v>
      </c>
      <c r="N15" s="3" t="s">
        <v>36</v>
      </c>
      <c r="O15" s="16">
        <v>25.072700000000001</v>
      </c>
      <c r="P15" s="16">
        <v>121.535</v>
      </c>
      <c r="Q15" s="4" t="s">
        <v>99</v>
      </c>
      <c r="R15" s="3" t="s">
        <v>38</v>
      </c>
      <c r="S15" s="3" t="s">
        <v>117</v>
      </c>
      <c r="T15" s="5" t="s">
        <v>118</v>
      </c>
      <c r="U15" s="5" t="s">
        <v>119</v>
      </c>
      <c r="V15" s="3" t="s">
        <v>120</v>
      </c>
      <c r="W15" s="4" t="s">
        <v>121</v>
      </c>
    </row>
    <row r="16" spans="1:23" ht="70">
      <c r="A16" s="4">
        <v>14</v>
      </c>
      <c r="B16" s="4" t="s">
        <v>24</v>
      </c>
      <c r="C16" s="4" t="s">
        <v>97</v>
      </c>
      <c r="D16" s="3" t="s">
        <v>122</v>
      </c>
      <c r="E16" s="3" t="s">
        <v>114</v>
      </c>
      <c r="F16" s="4" t="s">
        <v>60</v>
      </c>
      <c r="G16" s="4" t="s">
        <v>66</v>
      </c>
      <c r="H16" s="3" t="s">
        <v>115</v>
      </c>
      <c r="I16" s="3" t="s">
        <v>116</v>
      </c>
      <c r="J16" s="4" t="s">
        <v>49</v>
      </c>
      <c r="K16" s="4" t="s">
        <v>33</v>
      </c>
      <c r="L16" s="3" t="s">
        <v>34</v>
      </c>
      <c r="M16" s="5" t="s">
        <v>35</v>
      </c>
      <c r="N16" s="3" t="s">
        <v>36</v>
      </c>
      <c r="O16" s="16">
        <v>25.078399999999998</v>
      </c>
      <c r="P16" s="16">
        <v>121.55549999999999</v>
      </c>
      <c r="Q16" s="4" t="s">
        <v>99</v>
      </c>
      <c r="R16" s="3" t="s">
        <v>38</v>
      </c>
      <c r="S16" s="3" t="s">
        <v>117</v>
      </c>
      <c r="T16" s="5" t="s">
        <v>123</v>
      </c>
      <c r="U16" s="5" t="s">
        <v>124</v>
      </c>
      <c r="V16" s="3" t="s">
        <v>125</v>
      </c>
      <c r="W16" s="4" t="s">
        <v>121</v>
      </c>
    </row>
    <row r="17" spans="1:23" ht="70">
      <c r="A17" s="4">
        <v>15</v>
      </c>
      <c r="B17" s="4" t="s">
        <v>24</v>
      </c>
      <c r="C17" s="4" t="s">
        <v>126</v>
      </c>
      <c r="D17" s="3" t="s">
        <v>127</v>
      </c>
      <c r="E17" s="3" t="s">
        <v>114</v>
      </c>
      <c r="F17" s="4" t="s">
        <v>60</v>
      </c>
      <c r="G17" s="4" t="s">
        <v>66</v>
      </c>
      <c r="H17" s="3" t="s">
        <v>115</v>
      </c>
      <c r="I17" s="3" t="s">
        <v>116</v>
      </c>
      <c r="J17" s="4" t="s">
        <v>49</v>
      </c>
      <c r="K17" s="4" t="s">
        <v>33</v>
      </c>
      <c r="L17" s="3" t="s">
        <v>34</v>
      </c>
      <c r="M17" s="5" t="s">
        <v>35</v>
      </c>
      <c r="N17" s="3" t="s">
        <v>36</v>
      </c>
      <c r="O17" s="16">
        <v>25.0505</v>
      </c>
      <c r="P17" s="16">
        <v>121.5775</v>
      </c>
      <c r="Q17" s="4" t="s">
        <v>99</v>
      </c>
      <c r="R17" s="3" t="s">
        <v>38</v>
      </c>
      <c r="S17" s="3" t="s">
        <v>117</v>
      </c>
      <c r="T17" s="5" t="s">
        <v>128</v>
      </c>
      <c r="U17" s="5" t="s">
        <v>129</v>
      </c>
      <c r="V17" s="3" t="s">
        <v>130</v>
      </c>
      <c r="W17" s="4" t="s">
        <v>121</v>
      </c>
    </row>
    <row r="18" spans="1:23" ht="70">
      <c r="A18" s="4">
        <v>16</v>
      </c>
      <c r="B18" s="4" t="s">
        <v>24</v>
      </c>
      <c r="C18" s="4" t="s">
        <v>89</v>
      </c>
      <c r="D18" s="3" t="s">
        <v>131</v>
      </c>
      <c r="E18" s="3" t="s">
        <v>114</v>
      </c>
      <c r="F18" s="4" t="s">
        <v>60</v>
      </c>
      <c r="G18" s="4" t="s">
        <v>66</v>
      </c>
      <c r="H18" s="3" t="s">
        <v>115</v>
      </c>
      <c r="I18" s="3" t="s">
        <v>116</v>
      </c>
      <c r="J18" s="4" t="s">
        <v>49</v>
      </c>
      <c r="K18" s="4" t="s">
        <v>33</v>
      </c>
      <c r="L18" s="3" t="s">
        <v>34</v>
      </c>
      <c r="M18" s="5" t="s">
        <v>35</v>
      </c>
      <c r="N18" s="3" t="s">
        <v>36</v>
      </c>
      <c r="O18" s="16">
        <v>25.0199</v>
      </c>
      <c r="P18" s="16">
        <v>121.5046</v>
      </c>
      <c r="Q18" s="4" t="s">
        <v>99</v>
      </c>
      <c r="R18" s="3" t="s">
        <v>38</v>
      </c>
      <c r="S18" s="3" t="s">
        <v>117</v>
      </c>
      <c r="T18" s="5" t="s">
        <v>132</v>
      </c>
      <c r="U18" s="5" t="s">
        <v>133</v>
      </c>
      <c r="V18" s="3" t="s">
        <v>134</v>
      </c>
      <c r="W18" s="4" t="s">
        <v>121</v>
      </c>
    </row>
    <row r="19" spans="1:23" ht="70">
      <c r="A19" s="4">
        <v>17</v>
      </c>
      <c r="B19" s="4" t="s">
        <v>24</v>
      </c>
      <c r="C19" s="4" t="s">
        <v>53</v>
      </c>
      <c r="D19" s="3" t="s">
        <v>135</v>
      </c>
      <c r="E19" s="3" t="s">
        <v>114</v>
      </c>
      <c r="F19" s="4" t="s">
        <v>60</v>
      </c>
      <c r="G19" s="4" t="s">
        <v>66</v>
      </c>
      <c r="H19" s="3" t="s">
        <v>115</v>
      </c>
      <c r="I19" s="3" t="s">
        <v>116</v>
      </c>
      <c r="J19" s="4" t="s">
        <v>32</v>
      </c>
      <c r="K19" s="4" t="s">
        <v>33</v>
      </c>
      <c r="L19" s="3" t="s">
        <v>34</v>
      </c>
      <c r="M19" s="5" t="s">
        <v>35</v>
      </c>
      <c r="N19" s="3" t="s">
        <v>36</v>
      </c>
      <c r="O19" s="16">
        <v>25.088100000000001</v>
      </c>
      <c r="P19" s="16">
        <v>121.5176</v>
      </c>
      <c r="Q19" s="4" t="s">
        <v>99</v>
      </c>
      <c r="R19" s="3" t="s">
        <v>38</v>
      </c>
      <c r="S19" s="3" t="s">
        <v>117</v>
      </c>
      <c r="T19" s="5" t="s">
        <v>136</v>
      </c>
      <c r="U19" s="5" t="s">
        <v>137</v>
      </c>
      <c r="V19" s="3" t="s">
        <v>138</v>
      </c>
      <c r="W19" s="4" t="s">
        <v>121</v>
      </c>
    </row>
    <row r="20" spans="1:23" ht="70">
      <c r="A20" s="4">
        <v>18</v>
      </c>
      <c r="B20" s="4" t="s">
        <v>24</v>
      </c>
      <c r="C20" s="4" t="s">
        <v>58</v>
      </c>
      <c r="D20" s="3" t="s">
        <v>139</v>
      </c>
      <c r="E20" s="3" t="s">
        <v>140</v>
      </c>
      <c r="F20" s="4" t="s">
        <v>60</v>
      </c>
      <c r="G20" s="4" t="s">
        <v>66</v>
      </c>
      <c r="H20" s="3" t="s">
        <v>141</v>
      </c>
      <c r="I20" s="3" t="s">
        <v>142</v>
      </c>
      <c r="J20" s="4" t="s">
        <v>49</v>
      </c>
      <c r="K20" s="4" t="s">
        <v>143</v>
      </c>
      <c r="L20" s="3" t="s">
        <v>144</v>
      </c>
      <c r="M20" s="5" t="s">
        <v>35</v>
      </c>
      <c r="N20" s="3" t="s">
        <v>36</v>
      </c>
      <c r="O20" s="16">
        <v>25.119900000000001</v>
      </c>
      <c r="P20" s="16">
        <v>121.4697</v>
      </c>
      <c r="Q20" s="4" t="s">
        <v>145</v>
      </c>
      <c r="R20" s="3" t="s">
        <v>38</v>
      </c>
      <c r="S20" s="3" t="s">
        <v>146</v>
      </c>
      <c r="T20" s="5" t="s">
        <v>147</v>
      </c>
      <c r="U20" s="5" t="s">
        <v>148</v>
      </c>
      <c r="V20" s="3" t="s">
        <v>149</v>
      </c>
      <c r="W20" s="4" t="s">
        <v>150</v>
      </c>
    </row>
    <row r="21" spans="1:23" ht="70">
      <c r="A21" s="4">
        <v>19</v>
      </c>
      <c r="B21" s="4" t="s">
        <v>151</v>
      </c>
      <c r="C21" s="4" t="s">
        <v>152</v>
      </c>
      <c r="D21" s="3" t="s">
        <v>153</v>
      </c>
      <c r="E21" s="3" t="s">
        <v>27</v>
      </c>
      <c r="F21" s="4" t="s">
        <v>28</v>
      </c>
      <c r="G21" s="4" t="s">
        <v>29</v>
      </c>
      <c r="H21" s="3" t="s">
        <v>30</v>
      </c>
      <c r="I21" s="3" t="s">
        <v>31</v>
      </c>
      <c r="J21" s="4" t="s">
        <v>32</v>
      </c>
      <c r="K21" s="4" t="s">
        <v>33</v>
      </c>
      <c r="L21" s="3" t="s">
        <v>34</v>
      </c>
      <c r="M21" s="5" t="s">
        <v>154</v>
      </c>
      <c r="N21" s="3" t="s">
        <v>36</v>
      </c>
      <c r="O21" s="16">
        <v>25.055399999999999</v>
      </c>
      <c r="P21" s="16">
        <v>121.4824</v>
      </c>
      <c r="Q21" s="4" t="s">
        <v>37</v>
      </c>
      <c r="R21" s="3" t="s">
        <v>38</v>
      </c>
      <c r="S21" s="3" t="s">
        <v>39</v>
      </c>
      <c r="T21" s="5" t="s">
        <v>155</v>
      </c>
      <c r="U21" s="5" t="s">
        <v>156</v>
      </c>
      <c r="V21" s="3" t="s">
        <v>157</v>
      </c>
      <c r="W21" s="4" t="s">
        <v>43</v>
      </c>
    </row>
    <row r="22" spans="1:23" ht="70">
      <c r="A22" s="4">
        <v>20</v>
      </c>
      <c r="B22" s="4" t="s">
        <v>151</v>
      </c>
      <c r="C22" s="4" t="s">
        <v>152</v>
      </c>
      <c r="D22" s="3" t="s">
        <v>158</v>
      </c>
      <c r="E22" s="3" t="s">
        <v>114</v>
      </c>
      <c r="F22" s="4" t="s">
        <v>60</v>
      </c>
      <c r="G22" s="4" t="s">
        <v>29</v>
      </c>
      <c r="H22" s="3" t="s">
        <v>115</v>
      </c>
      <c r="I22" s="3" t="s">
        <v>116</v>
      </c>
      <c r="J22" s="4" t="s">
        <v>32</v>
      </c>
      <c r="K22" s="4" t="s">
        <v>33</v>
      </c>
      <c r="L22" s="3" t="s">
        <v>34</v>
      </c>
      <c r="M22" s="5" t="s">
        <v>154</v>
      </c>
      <c r="N22" s="3" t="s">
        <v>36</v>
      </c>
      <c r="O22" s="16">
        <v>25.058</v>
      </c>
      <c r="P22" s="16">
        <v>121.486</v>
      </c>
      <c r="Q22" s="4" t="s">
        <v>37</v>
      </c>
      <c r="R22" s="3" t="s">
        <v>38</v>
      </c>
      <c r="S22" s="3" t="s">
        <v>39</v>
      </c>
      <c r="T22" s="5" t="s">
        <v>159</v>
      </c>
      <c r="U22" s="5" t="s">
        <v>160</v>
      </c>
      <c r="V22" s="3" t="s">
        <v>161</v>
      </c>
      <c r="W22" s="4" t="s">
        <v>43</v>
      </c>
    </row>
    <row r="23" spans="1:23" ht="70">
      <c r="A23" s="4">
        <v>21</v>
      </c>
      <c r="B23" s="4" t="s">
        <v>151</v>
      </c>
      <c r="C23" s="4" t="s">
        <v>162</v>
      </c>
      <c r="D23" s="3" t="s">
        <v>163</v>
      </c>
      <c r="E23" s="3" t="s">
        <v>91</v>
      </c>
      <c r="F23" s="4" t="s">
        <v>60</v>
      </c>
      <c r="G23" s="4" t="s">
        <v>29</v>
      </c>
      <c r="H23" s="3" t="s">
        <v>92</v>
      </c>
      <c r="I23" s="3" t="s">
        <v>93</v>
      </c>
      <c r="J23" s="4" t="s">
        <v>32</v>
      </c>
      <c r="K23" s="4" t="s">
        <v>33</v>
      </c>
      <c r="L23" s="3" t="s">
        <v>34</v>
      </c>
      <c r="M23" s="5" t="s">
        <v>154</v>
      </c>
      <c r="N23" s="3" t="s">
        <v>36</v>
      </c>
      <c r="O23" s="16">
        <v>24.965</v>
      </c>
      <c r="P23" s="16">
        <v>121.53400000000001</v>
      </c>
      <c r="Q23" s="4" t="s">
        <v>37</v>
      </c>
      <c r="R23" s="3" t="s">
        <v>38</v>
      </c>
      <c r="S23" s="3" t="s">
        <v>39</v>
      </c>
      <c r="T23" s="5" t="s">
        <v>164</v>
      </c>
      <c r="U23" s="5" t="s">
        <v>165</v>
      </c>
      <c r="V23" s="3" t="s">
        <v>166</v>
      </c>
      <c r="W23" s="4" t="s">
        <v>43</v>
      </c>
    </row>
    <row r="24" spans="1:23" ht="84">
      <c r="A24" s="4">
        <v>22</v>
      </c>
      <c r="B24" s="4" t="s">
        <v>151</v>
      </c>
      <c r="C24" s="4" t="s">
        <v>167</v>
      </c>
      <c r="D24" s="3" t="s">
        <v>168</v>
      </c>
      <c r="E24" s="3" t="s">
        <v>27</v>
      </c>
      <c r="F24" s="4" t="s">
        <v>28</v>
      </c>
      <c r="G24" s="4" t="s">
        <v>29</v>
      </c>
      <c r="H24" s="3" t="s">
        <v>30</v>
      </c>
      <c r="I24" s="3" t="s">
        <v>31</v>
      </c>
      <c r="J24" s="4" t="s">
        <v>49</v>
      </c>
      <c r="K24" s="4" t="s">
        <v>33</v>
      </c>
      <c r="L24" s="3" t="s">
        <v>34</v>
      </c>
      <c r="M24" s="5" t="s">
        <v>154</v>
      </c>
      <c r="N24" s="3" t="s">
        <v>36</v>
      </c>
      <c r="O24" s="16">
        <v>25.0016</v>
      </c>
      <c r="P24" s="16">
        <v>121.51439999999999</v>
      </c>
      <c r="Q24" s="4" t="s">
        <v>99</v>
      </c>
      <c r="R24" s="3" t="s">
        <v>38</v>
      </c>
      <c r="S24" s="3" t="s">
        <v>100</v>
      </c>
      <c r="T24" s="5" t="s">
        <v>169</v>
      </c>
      <c r="U24" s="5" t="s">
        <v>170</v>
      </c>
      <c r="V24" s="3" t="s">
        <v>171</v>
      </c>
      <c r="W24" s="4" t="s">
        <v>104</v>
      </c>
    </row>
    <row r="25" spans="1:23" ht="70">
      <c r="A25" s="4">
        <v>23</v>
      </c>
      <c r="B25" s="4" t="s">
        <v>151</v>
      </c>
      <c r="C25" s="4" t="s">
        <v>172</v>
      </c>
      <c r="D25" s="3" t="s">
        <v>173</v>
      </c>
      <c r="E25" s="3" t="s">
        <v>27</v>
      </c>
      <c r="F25" s="4" t="s">
        <v>60</v>
      </c>
      <c r="G25" s="4" t="s">
        <v>29</v>
      </c>
      <c r="H25" s="3" t="s">
        <v>30</v>
      </c>
      <c r="I25" s="3" t="s">
        <v>31</v>
      </c>
      <c r="J25" s="4" t="s">
        <v>49</v>
      </c>
      <c r="K25" s="4" t="s">
        <v>33</v>
      </c>
      <c r="L25" s="3" t="s">
        <v>34</v>
      </c>
      <c r="M25" s="5" t="s">
        <v>154</v>
      </c>
      <c r="N25" s="3" t="s">
        <v>36</v>
      </c>
      <c r="O25" s="16">
        <v>25.012599999999999</v>
      </c>
      <c r="P25" s="16">
        <v>121.4628</v>
      </c>
      <c r="Q25" s="4" t="s">
        <v>145</v>
      </c>
      <c r="R25" s="3" t="s">
        <v>38</v>
      </c>
      <c r="S25" s="3" t="s">
        <v>39</v>
      </c>
      <c r="T25" s="5" t="s">
        <v>174</v>
      </c>
      <c r="U25" s="5" t="s">
        <v>175</v>
      </c>
      <c r="V25" s="3" t="s">
        <v>176</v>
      </c>
      <c r="W25" s="4" t="s">
        <v>43</v>
      </c>
    </row>
    <row r="26" spans="1:23" ht="84">
      <c r="A26" s="4">
        <v>24</v>
      </c>
      <c r="B26" s="4" t="s">
        <v>151</v>
      </c>
      <c r="C26" s="4" t="s">
        <v>172</v>
      </c>
      <c r="D26" s="3" t="s">
        <v>177</v>
      </c>
      <c r="E26" s="3" t="s">
        <v>46</v>
      </c>
      <c r="F26" s="4" t="s">
        <v>60</v>
      </c>
      <c r="G26" s="4" t="s">
        <v>66</v>
      </c>
      <c r="H26" s="3" t="s">
        <v>47</v>
      </c>
      <c r="I26" s="3" t="s">
        <v>48</v>
      </c>
      <c r="J26" s="4" t="s">
        <v>49</v>
      </c>
      <c r="K26" s="4" t="s">
        <v>143</v>
      </c>
      <c r="L26" s="3" t="s">
        <v>144</v>
      </c>
      <c r="M26" s="5" t="s">
        <v>154</v>
      </c>
      <c r="N26" s="3" t="s">
        <v>36</v>
      </c>
      <c r="O26" s="16">
        <v>25.023800000000001</v>
      </c>
      <c r="P26" s="16">
        <v>121.4515</v>
      </c>
      <c r="Q26" s="4" t="s">
        <v>145</v>
      </c>
      <c r="R26" s="3" t="s">
        <v>38</v>
      </c>
      <c r="S26" s="3" t="s">
        <v>146</v>
      </c>
      <c r="T26" s="5" t="s">
        <v>178</v>
      </c>
      <c r="U26" s="5" t="s">
        <v>179</v>
      </c>
      <c r="V26" s="3" t="s">
        <v>180</v>
      </c>
      <c r="W26" s="4" t="s">
        <v>150</v>
      </c>
    </row>
    <row r="27" spans="1:23" ht="56">
      <c r="A27" s="4">
        <v>25</v>
      </c>
      <c r="B27" s="4" t="s">
        <v>151</v>
      </c>
      <c r="C27" s="4" t="s">
        <v>181</v>
      </c>
      <c r="D27" s="3" t="s">
        <v>182</v>
      </c>
      <c r="E27" s="3" t="s">
        <v>74</v>
      </c>
      <c r="F27" s="4" t="s">
        <v>60</v>
      </c>
      <c r="G27" s="4" t="s">
        <v>66</v>
      </c>
      <c r="H27" s="3" t="s">
        <v>75</v>
      </c>
      <c r="I27" s="3" t="s">
        <v>76</v>
      </c>
      <c r="J27" s="4" t="s">
        <v>49</v>
      </c>
      <c r="K27" s="4" t="s">
        <v>33</v>
      </c>
      <c r="L27" s="3" t="s">
        <v>34</v>
      </c>
      <c r="M27" s="5" t="s">
        <v>154</v>
      </c>
      <c r="N27" s="3" t="s">
        <v>36</v>
      </c>
      <c r="O27" s="16">
        <v>25.009599999999999</v>
      </c>
      <c r="P27" s="16">
        <v>121.509</v>
      </c>
      <c r="Q27" s="4" t="s">
        <v>145</v>
      </c>
      <c r="R27" s="3" t="s">
        <v>38</v>
      </c>
      <c r="S27" s="3" t="s">
        <v>39</v>
      </c>
      <c r="T27" s="5" t="s">
        <v>183</v>
      </c>
      <c r="U27" s="5" t="s">
        <v>184</v>
      </c>
      <c r="V27" s="3" t="s">
        <v>185</v>
      </c>
      <c r="W27" s="4" t="s">
        <v>43</v>
      </c>
    </row>
    <row r="28" spans="1:23" ht="70">
      <c r="A28" s="4">
        <v>26</v>
      </c>
      <c r="B28" s="4" t="s">
        <v>151</v>
      </c>
      <c r="C28" s="4" t="s">
        <v>167</v>
      </c>
      <c r="D28" s="3" t="s">
        <v>186</v>
      </c>
      <c r="E28" s="3" t="s">
        <v>91</v>
      </c>
      <c r="F28" s="4" t="s">
        <v>60</v>
      </c>
      <c r="G28" s="4" t="s">
        <v>66</v>
      </c>
      <c r="H28" s="3" t="s">
        <v>92</v>
      </c>
      <c r="I28" s="3" t="s">
        <v>93</v>
      </c>
      <c r="J28" s="4" t="s">
        <v>32</v>
      </c>
      <c r="K28" s="4" t="s">
        <v>33</v>
      </c>
      <c r="L28" s="3" t="s">
        <v>34</v>
      </c>
      <c r="M28" s="5" t="s">
        <v>154</v>
      </c>
      <c r="N28" s="3" t="s">
        <v>36</v>
      </c>
      <c r="O28" s="16">
        <v>24.992899999999999</v>
      </c>
      <c r="P28" s="16">
        <v>121.49</v>
      </c>
      <c r="Q28" s="4" t="s">
        <v>37</v>
      </c>
      <c r="R28" s="3" t="s">
        <v>38</v>
      </c>
      <c r="S28" s="3" t="s">
        <v>39</v>
      </c>
      <c r="T28" s="5" t="s">
        <v>187</v>
      </c>
      <c r="U28" s="5" t="s">
        <v>188</v>
      </c>
      <c r="V28" s="3" t="s">
        <v>189</v>
      </c>
      <c r="W28" s="4" t="s">
        <v>43</v>
      </c>
    </row>
    <row r="29" spans="1:23" ht="70">
      <c r="A29" s="4">
        <v>27</v>
      </c>
      <c r="B29" s="4" t="s">
        <v>151</v>
      </c>
      <c r="C29" s="4" t="s">
        <v>190</v>
      </c>
      <c r="D29" s="3" t="s">
        <v>191</v>
      </c>
      <c r="E29" s="3" t="s">
        <v>91</v>
      </c>
      <c r="F29" s="4" t="s">
        <v>60</v>
      </c>
      <c r="G29" s="4" t="s">
        <v>66</v>
      </c>
      <c r="H29" s="3" t="s">
        <v>92</v>
      </c>
      <c r="I29" s="3" t="s">
        <v>93</v>
      </c>
      <c r="J29" s="4" t="s">
        <v>49</v>
      </c>
      <c r="K29" s="4" t="s">
        <v>33</v>
      </c>
      <c r="L29" s="3" t="s">
        <v>34</v>
      </c>
      <c r="M29" s="5" t="s">
        <v>154</v>
      </c>
      <c r="N29" s="3" t="s">
        <v>36</v>
      </c>
      <c r="O29" s="16">
        <v>25.041</v>
      </c>
      <c r="P29" s="16">
        <v>121.4496</v>
      </c>
      <c r="Q29" s="4" t="s">
        <v>37</v>
      </c>
      <c r="R29" s="3" t="s">
        <v>38</v>
      </c>
      <c r="S29" s="3" t="s">
        <v>39</v>
      </c>
      <c r="T29" s="5" t="s">
        <v>192</v>
      </c>
      <c r="U29" s="5" t="s">
        <v>193</v>
      </c>
      <c r="V29" s="3" t="s">
        <v>194</v>
      </c>
      <c r="W29" s="4" t="s">
        <v>43</v>
      </c>
    </row>
    <row r="30" spans="1:23" ht="70">
      <c r="A30" s="4">
        <v>28</v>
      </c>
      <c r="B30" s="4" t="s">
        <v>151</v>
      </c>
      <c r="C30" s="4" t="s">
        <v>195</v>
      </c>
      <c r="D30" s="3" t="s">
        <v>196</v>
      </c>
      <c r="E30" s="3" t="s">
        <v>91</v>
      </c>
      <c r="F30" s="4" t="s">
        <v>60</v>
      </c>
      <c r="G30" s="4" t="s">
        <v>66</v>
      </c>
      <c r="H30" s="3" t="s">
        <v>92</v>
      </c>
      <c r="I30" s="3" t="s">
        <v>93</v>
      </c>
      <c r="J30" s="4" t="s">
        <v>32</v>
      </c>
      <c r="K30" s="4" t="s">
        <v>33</v>
      </c>
      <c r="L30" s="3" t="s">
        <v>34</v>
      </c>
      <c r="M30" s="5" t="s">
        <v>154</v>
      </c>
      <c r="N30" s="3" t="s">
        <v>36</v>
      </c>
      <c r="O30" s="16">
        <v>25.073</v>
      </c>
      <c r="P30" s="16">
        <v>121.381</v>
      </c>
      <c r="Q30" s="4" t="s">
        <v>37</v>
      </c>
      <c r="R30" s="3" t="s">
        <v>38</v>
      </c>
      <c r="S30" s="3" t="s">
        <v>39</v>
      </c>
      <c r="T30" s="5" t="s">
        <v>197</v>
      </c>
      <c r="U30" s="5" t="s">
        <v>198</v>
      </c>
      <c r="V30" s="3" t="s">
        <v>199</v>
      </c>
      <c r="W30" s="4" t="s">
        <v>43</v>
      </c>
    </row>
    <row r="31" spans="1:23" ht="70">
      <c r="A31" s="4">
        <v>29</v>
      </c>
      <c r="B31" s="4" t="s">
        <v>151</v>
      </c>
      <c r="C31" s="4" t="s">
        <v>181</v>
      </c>
      <c r="D31" s="3" t="s">
        <v>200</v>
      </c>
      <c r="E31" s="3" t="s">
        <v>114</v>
      </c>
      <c r="F31" s="4" t="s">
        <v>60</v>
      </c>
      <c r="G31" s="4" t="s">
        <v>66</v>
      </c>
      <c r="H31" s="3" t="s">
        <v>115</v>
      </c>
      <c r="I31" s="3" t="s">
        <v>116</v>
      </c>
      <c r="J31" s="4" t="s">
        <v>32</v>
      </c>
      <c r="K31" s="4" t="s">
        <v>33</v>
      </c>
      <c r="L31" s="3" t="s">
        <v>34</v>
      </c>
      <c r="M31" s="5" t="s">
        <v>154</v>
      </c>
      <c r="N31" s="3" t="s">
        <v>36</v>
      </c>
      <c r="O31" s="16">
        <v>25.011500000000002</v>
      </c>
      <c r="P31" s="16">
        <v>121.5116</v>
      </c>
      <c r="Q31" s="4" t="s">
        <v>99</v>
      </c>
      <c r="R31" s="3" t="s">
        <v>38</v>
      </c>
      <c r="S31" s="3" t="s">
        <v>117</v>
      </c>
      <c r="T31" s="5" t="s">
        <v>201</v>
      </c>
      <c r="U31" s="5" t="s">
        <v>202</v>
      </c>
      <c r="V31" s="3" t="s">
        <v>203</v>
      </c>
      <c r="W31" s="4" t="s">
        <v>121</v>
      </c>
    </row>
    <row r="32" spans="1:23" ht="70">
      <c r="A32" s="4">
        <v>30</v>
      </c>
      <c r="B32" s="4" t="s">
        <v>151</v>
      </c>
      <c r="C32" s="4" t="s">
        <v>172</v>
      </c>
      <c r="D32" s="3" t="s">
        <v>204</v>
      </c>
      <c r="E32" s="3" t="s">
        <v>114</v>
      </c>
      <c r="F32" s="4" t="s">
        <v>205</v>
      </c>
      <c r="G32" s="4" t="s">
        <v>66</v>
      </c>
      <c r="H32" s="3" t="s">
        <v>115</v>
      </c>
      <c r="I32" s="3" t="s">
        <v>116</v>
      </c>
      <c r="J32" s="4" t="s">
        <v>49</v>
      </c>
      <c r="K32" s="4" t="s">
        <v>33</v>
      </c>
      <c r="L32" s="3" t="s">
        <v>34</v>
      </c>
      <c r="M32" s="5" t="s">
        <v>154</v>
      </c>
      <c r="N32" s="3" t="s">
        <v>36</v>
      </c>
      <c r="O32" s="16">
        <v>25.002500000000001</v>
      </c>
      <c r="P32" s="16">
        <v>121.44450000000001</v>
      </c>
      <c r="Q32" s="4" t="s">
        <v>99</v>
      </c>
      <c r="R32" s="3" t="s">
        <v>38</v>
      </c>
      <c r="S32" s="3" t="s">
        <v>117</v>
      </c>
      <c r="T32" s="5" t="s">
        <v>206</v>
      </c>
      <c r="U32" s="5" t="s">
        <v>207</v>
      </c>
      <c r="V32" s="3" t="s">
        <v>208</v>
      </c>
      <c r="W32" s="4" t="s">
        <v>121</v>
      </c>
    </row>
    <row r="33" spans="1:23" ht="70">
      <c r="A33" s="4">
        <v>31</v>
      </c>
      <c r="B33" s="4" t="s">
        <v>151</v>
      </c>
      <c r="C33" s="4" t="s">
        <v>209</v>
      </c>
      <c r="D33" s="3" t="s">
        <v>210</v>
      </c>
      <c r="E33" s="3" t="s">
        <v>114</v>
      </c>
      <c r="F33" s="4" t="s">
        <v>28</v>
      </c>
      <c r="G33" s="4" t="s">
        <v>29</v>
      </c>
      <c r="H33" s="3" t="s">
        <v>115</v>
      </c>
      <c r="I33" s="3" t="s">
        <v>116</v>
      </c>
      <c r="J33" s="4" t="s">
        <v>49</v>
      </c>
      <c r="K33" s="4" t="s">
        <v>33</v>
      </c>
      <c r="L33" s="3" t="s">
        <v>34</v>
      </c>
      <c r="M33" s="5" t="s">
        <v>154</v>
      </c>
      <c r="N33" s="3" t="s">
        <v>36</v>
      </c>
      <c r="O33" s="16">
        <v>25.158000000000001</v>
      </c>
      <c r="P33" s="16">
        <v>121.434</v>
      </c>
      <c r="Q33" s="4" t="s">
        <v>99</v>
      </c>
      <c r="R33" s="3" t="s">
        <v>38</v>
      </c>
      <c r="S33" s="3" t="s">
        <v>117</v>
      </c>
      <c r="T33" s="5" t="s">
        <v>211</v>
      </c>
      <c r="U33" s="5" t="s">
        <v>212</v>
      </c>
      <c r="V33" s="3" t="s">
        <v>213</v>
      </c>
      <c r="W33" s="4" t="s">
        <v>121</v>
      </c>
    </row>
    <row r="34" spans="1:23" ht="70">
      <c r="A34" s="4">
        <v>32</v>
      </c>
      <c r="B34" s="4" t="s">
        <v>151</v>
      </c>
      <c r="C34" s="4" t="s">
        <v>209</v>
      </c>
      <c r="D34" s="3" t="s">
        <v>214</v>
      </c>
      <c r="E34" s="3" t="s">
        <v>46</v>
      </c>
      <c r="F34" s="4" t="s">
        <v>60</v>
      </c>
      <c r="G34" s="4" t="s">
        <v>66</v>
      </c>
      <c r="H34" s="3" t="s">
        <v>47</v>
      </c>
      <c r="I34" s="3" t="s">
        <v>48</v>
      </c>
      <c r="J34" s="4" t="s">
        <v>49</v>
      </c>
      <c r="K34" s="4" t="s">
        <v>33</v>
      </c>
      <c r="L34" s="3" t="s">
        <v>34</v>
      </c>
      <c r="M34" s="5" t="s">
        <v>154</v>
      </c>
      <c r="N34" s="3" t="s">
        <v>36</v>
      </c>
      <c r="O34" s="16">
        <v>25.155999999999999</v>
      </c>
      <c r="P34" s="16">
        <v>121.4054</v>
      </c>
      <c r="Q34" s="4" t="s">
        <v>145</v>
      </c>
      <c r="R34" s="3" t="s">
        <v>38</v>
      </c>
      <c r="S34" s="3" t="s">
        <v>39</v>
      </c>
      <c r="T34" s="5" t="s">
        <v>215</v>
      </c>
      <c r="U34" s="5" t="s">
        <v>216</v>
      </c>
      <c r="V34" s="3" t="s">
        <v>217</v>
      </c>
      <c r="W34" s="4" t="s">
        <v>43</v>
      </c>
    </row>
    <row r="35" spans="1:23" ht="70">
      <c r="A35" s="4">
        <v>33</v>
      </c>
      <c r="B35" s="4" t="s">
        <v>151</v>
      </c>
      <c r="C35" s="4" t="s">
        <v>218</v>
      </c>
      <c r="D35" s="3" t="s">
        <v>219</v>
      </c>
      <c r="E35" s="3" t="s">
        <v>114</v>
      </c>
      <c r="F35" s="4" t="s">
        <v>60</v>
      </c>
      <c r="G35" s="4" t="s">
        <v>66</v>
      </c>
      <c r="H35" s="3" t="s">
        <v>115</v>
      </c>
      <c r="I35" s="3" t="s">
        <v>116</v>
      </c>
      <c r="J35" s="4" t="s">
        <v>32</v>
      </c>
      <c r="K35" s="4" t="s">
        <v>33</v>
      </c>
      <c r="L35" s="3" t="s">
        <v>34</v>
      </c>
      <c r="M35" s="5" t="s">
        <v>154</v>
      </c>
      <c r="N35" s="3" t="s">
        <v>36</v>
      </c>
      <c r="O35" s="16">
        <v>25.09</v>
      </c>
      <c r="P35" s="16">
        <v>121.456</v>
      </c>
      <c r="Q35" s="4" t="s">
        <v>37</v>
      </c>
      <c r="R35" s="3" t="s">
        <v>38</v>
      </c>
      <c r="S35" s="3" t="s">
        <v>39</v>
      </c>
      <c r="T35" s="5" t="s">
        <v>220</v>
      </c>
      <c r="U35" s="5" t="s">
        <v>221</v>
      </c>
      <c r="V35" s="3" t="s">
        <v>222</v>
      </c>
      <c r="W35" s="4" t="s">
        <v>43</v>
      </c>
    </row>
    <row r="36" spans="1:23" ht="70">
      <c r="A36" s="4">
        <v>34</v>
      </c>
      <c r="B36" s="4" t="s">
        <v>151</v>
      </c>
      <c r="C36" s="4" t="s">
        <v>223</v>
      </c>
      <c r="D36" s="3" t="s">
        <v>224</v>
      </c>
      <c r="E36" s="3" t="s">
        <v>114</v>
      </c>
      <c r="F36" s="4" t="s">
        <v>205</v>
      </c>
      <c r="G36" s="4" t="s">
        <v>225</v>
      </c>
      <c r="H36" s="3" t="s">
        <v>115</v>
      </c>
      <c r="I36" s="3" t="s">
        <v>116</v>
      </c>
      <c r="J36" s="4" t="s">
        <v>32</v>
      </c>
      <c r="K36" s="4" t="s">
        <v>33</v>
      </c>
      <c r="L36" s="3" t="s">
        <v>34</v>
      </c>
      <c r="M36" s="5" t="s">
        <v>154</v>
      </c>
      <c r="N36" s="3" t="s">
        <v>36</v>
      </c>
      <c r="O36" s="16">
        <v>24.937999999999999</v>
      </c>
      <c r="P36" s="16">
        <v>121.36799999999999</v>
      </c>
      <c r="Q36" s="4" t="s">
        <v>99</v>
      </c>
      <c r="R36" s="3" t="s">
        <v>38</v>
      </c>
      <c r="S36" s="3" t="s">
        <v>117</v>
      </c>
      <c r="T36" s="5" t="s">
        <v>226</v>
      </c>
      <c r="U36" s="5" t="s">
        <v>227</v>
      </c>
      <c r="V36" s="3" t="s">
        <v>228</v>
      </c>
      <c r="W36" s="4" t="s">
        <v>121</v>
      </c>
    </row>
    <row r="37" spans="1:23" ht="98">
      <c r="A37" s="4">
        <v>35</v>
      </c>
      <c r="B37" s="4" t="s">
        <v>151</v>
      </c>
      <c r="C37" s="4" t="s">
        <v>229</v>
      </c>
      <c r="D37" s="3" t="s">
        <v>230</v>
      </c>
      <c r="E37" s="3" t="s">
        <v>231</v>
      </c>
      <c r="F37" s="4" t="s">
        <v>60</v>
      </c>
      <c r="G37" s="4" t="s">
        <v>66</v>
      </c>
      <c r="H37" s="3" t="s">
        <v>232</v>
      </c>
      <c r="I37" s="3" t="s">
        <v>233</v>
      </c>
      <c r="J37" s="4" t="s">
        <v>49</v>
      </c>
      <c r="K37" s="4" t="s">
        <v>33</v>
      </c>
      <c r="L37" s="3" t="s">
        <v>34</v>
      </c>
      <c r="M37" s="5" t="s">
        <v>154</v>
      </c>
      <c r="N37" s="3" t="s">
        <v>36</v>
      </c>
      <c r="O37" s="16">
        <v>25.067799999999998</v>
      </c>
      <c r="P37" s="16">
        <v>121.65940000000001</v>
      </c>
      <c r="Q37" s="4" t="s">
        <v>99</v>
      </c>
      <c r="R37" s="3" t="s">
        <v>38</v>
      </c>
      <c r="S37" s="3" t="s">
        <v>100</v>
      </c>
      <c r="T37" s="5" t="s">
        <v>234</v>
      </c>
      <c r="U37" s="5" t="s">
        <v>235</v>
      </c>
      <c r="V37" s="3" t="s">
        <v>236</v>
      </c>
      <c r="W37" s="4" t="s">
        <v>104</v>
      </c>
    </row>
    <row r="38" spans="1:23" ht="56">
      <c r="A38" s="4">
        <v>36</v>
      </c>
      <c r="B38" s="4" t="s">
        <v>151</v>
      </c>
      <c r="C38" s="4" t="s">
        <v>167</v>
      </c>
      <c r="D38" s="3" t="s">
        <v>237</v>
      </c>
      <c r="E38" s="3" t="s">
        <v>231</v>
      </c>
      <c r="F38" s="4" t="s">
        <v>60</v>
      </c>
      <c r="G38" s="4" t="s">
        <v>66</v>
      </c>
      <c r="H38" s="3" t="s">
        <v>232</v>
      </c>
      <c r="I38" s="3" t="s">
        <v>233</v>
      </c>
      <c r="J38" s="4" t="s">
        <v>49</v>
      </c>
      <c r="K38" s="4" t="s">
        <v>33</v>
      </c>
      <c r="L38" s="3" t="s">
        <v>34</v>
      </c>
      <c r="M38" s="5" t="s">
        <v>154</v>
      </c>
      <c r="N38" s="3" t="s">
        <v>36</v>
      </c>
      <c r="O38" s="16">
        <v>25.001300000000001</v>
      </c>
      <c r="P38" s="16">
        <v>121.48</v>
      </c>
      <c r="Q38" s="4" t="s">
        <v>145</v>
      </c>
      <c r="R38" s="3" t="s">
        <v>38</v>
      </c>
      <c r="S38" s="3" t="s">
        <v>39</v>
      </c>
      <c r="T38" s="5" t="s">
        <v>238</v>
      </c>
      <c r="U38" s="5" t="s">
        <v>239</v>
      </c>
      <c r="V38" s="3" t="s">
        <v>240</v>
      </c>
      <c r="W38" s="4" t="s">
        <v>43</v>
      </c>
    </row>
    <row r="39" spans="1:23" ht="56">
      <c r="A39" s="4">
        <v>37</v>
      </c>
      <c r="B39" s="4" t="s">
        <v>241</v>
      </c>
      <c r="C39" s="4" t="s">
        <v>44</v>
      </c>
      <c r="D39" s="3" t="s">
        <v>242</v>
      </c>
      <c r="E39" s="3" t="s">
        <v>243</v>
      </c>
      <c r="F39" s="4" t="s">
        <v>28</v>
      </c>
      <c r="G39" s="4" t="s">
        <v>29</v>
      </c>
      <c r="H39" s="3" t="s">
        <v>244</v>
      </c>
      <c r="I39" s="3" t="s">
        <v>245</v>
      </c>
      <c r="J39" s="4" t="s">
        <v>32</v>
      </c>
      <c r="K39" s="4" t="s">
        <v>33</v>
      </c>
      <c r="L39" s="3" t="s">
        <v>34</v>
      </c>
      <c r="M39" s="5" t="s">
        <v>246</v>
      </c>
      <c r="N39" s="3" t="s">
        <v>36</v>
      </c>
      <c r="O39" s="16">
        <v>25.143000000000001</v>
      </c>
      <c r="P39" s="16">
        <v>121.8</v>
      </c>
      <c r="Q39" s="4" t="s">
        <v>37</v>
      </c>
      <c r="R39" s="3" t="s">
        <v>38</v>
      </c>
      <c r="S39" s="3" t="s">
        <v>39</v>
      </c>
      <c r="T39" s="5" t="s">
        <v>247</v>
      </c>
      <c r="U39" s="5" t="s">
        <v>248</v>
      </c>
      <c r="V39" s="3" t="s">
        <v>249</v>
      </c>
      <c r="W39" s="4" t="s">
        <v>43</v>
      </c>
    </row>
    <row r="40" spans="1:23" ht="56">
      <c r="A40" s="4">
        <v>38</v>
      </c>
      <c r="B40" s="4" t="s">
        <v>241</v>
      </c>
      <c r="C40" s="4" t="s">
        <v>44</v>
      </c>
      <c r="D40" s="3" t="s">
        <v>250</v>
      </c>
      <c r="E40" s="3" t="s">
        <v>65</v>
      </c>
      <c r="F40" s="4" t="s">
        <v>60</v>
      </c>
      <c r="G40" s="4" t="s">
        <v>29</v>
      </c>
      <c r="H40" s="3" t="s">
        <v>67</v>
      </c>
      <c r="I40" s="3" t="s">
        <v>68</v>
      </c>
      <c r="J40" s="4" t="s">
        <v>32</v>
      </c>
      <c r="K40" s="4" t="s">
        <v>33</v>
      </c>
      <c r="L40" s="3" t="s">
        <v>34</v>
      </c>
      <c r="M40" s="5" t="s">
        <v>246</v>
      </c>
      <c r="N40" s="3" t="s">
        <v>36</v>
      </c>
      <c r="O40" s="16">
        <v>25.134</v>
      </c>
      <c r="P40" s="16">
        <v>121.748</v>
      </c>
      <c r="Q40" s="4" t="s">
        <v>37</v>
      </c>
      <c r="R40" s="3" t="s">
        <v>38</v>
      </c>
      <c r="S40" s="3" t="s">
        <v>39</v>
      </c>
      <c r="T40" s="5" t="s">
        <v>251</v>
      </c>
      <c r="U40" s="5" t="s">
        <v>252</v>
      </c>
      <c r="V40" s="3" t="s">
        <v>253</v>
      </c>
      <c r="W40" s="4" t="s">
        <v>43</v>
      </c>
    </row>
    <row r="41" spans="1:23" ht="56">
      <c r="A41" s="4">
        <v>39</v>
      </c>
      <c r="B41" s="4" t="s">
        <v>241</v>
      </c>
      <c r="C41" s="4" t="s">
        <v>44</v>
      </c>
      <c r="D41" s="3" t="s">
        <v>254</v>
      </c>
      <c r="E41" s="3" t="s">
        <v>243</v>
      </c>
      <c r="F41" s="4" t="s">
        <v>28</v>
      </c>
      <c r="G41" s="4" t="s">
        <v>29</v>
      </c>
      <c r="H41" s="3" t="s">
        <v>244</v>
      </c>
      <c r="I41" s="3" t="s">
        <v>245</v>
      </c>
      <c r="J41" s="4" t="s">
        <v>49</v>
      </c>
      <c r="K41" s="4" t="s">
        <v>143</v>
      </c>
      <c r="L41" s="3" t="s">
        <v>144</v>
      </c>
      <c r="M41" s="5" t="s">
        <v>246</v>
      </c>
      <c r="N41" s="3" t="s">
        <v>36</v>
      </c>
      <c r="O41" s="16">
        <v>25.162800000000001</v>
      </c>
      <c r="P41" s="16">
        <v>121.76390000000001</v>
      </c>
      <c r="Q41" s="4" t="s">
        <v>145</v>
      </c>
      <c r="R41" s="3" t="s">
        <v>38</v>
      </c>
      <c r="S41" s="3" t="s">
        <v>146</v>
      </c>
      <c r="T41" s="5" t="s">
        <v>255</v>
      </c>
      <c r="U41" s="5" t="s">
        <v>256</v>
      </c>
      <c r="V41" s="3" t="s">
        <v>257</v>
      </c>
      <c r="W41" s="4" t="s">
        <v>150</v>
      </c>
    </row>
    <row r="42" spans="1:23" ht="70">
      <c r="A42" s="4">
        <v>40</v>
      </c>
      <c r="B42" s="4" t="s">
        <v>241</v>
      </c>
      <c r="C42" s="4" t="s">
        <v>258</v>
      </c>
      <c r="D42" s="3" t="s">
        <v>259</v>
      </c>
      <c r="E42" s="3" t="s">
        <v>91</v>
      </c>
      <c r="F42" s="4" t="s">
        <v>60</v>
      </c>
      <c r="G42" s="4" t="s">
        <v>66</v>
      </c>
      <c r="H42" s="3" t="s">
        <v>92</v>
      </c>
      <c r="I42" s="3" t="s">
        <v>93</v>
      </c>
      <c r="J42" s="4" t="s">
        <v>32</v>
      </c>
      <c r="K42" s="4" t="s">
        <v>33</v>
      </c>
      <c r="L42" s="3" t="s">
        <v>34</v>
      </c>
      <c r="M42" s="5" t="s">
        <v>246</v>
      </c>
      <c r="N42" s="3" t="s">
        <v>36</v>
      </c>
      <c r="O42" s="16">
        <v>25.100999999999999</v>
      </c>
      <c r="P42" s="16">
        <v>121.736</v>
      </c>
      <c r="Q42" s="4" t="s">
        <v>37</v>
      </c>
      <c r="R42" s="3" t="s">
        <v>38</v>
      </c>
      <c r="S42" s="3" t="s">
        <v>39</v>
      </c>
      <c r="T42" s="5" t="s">
        <v>260</v>
      </c>
      <c r="U42" s="5" t="s">
        <v>261</v>
      </c>
      <c r="V42" s="3" t="s">
        <v>262</v>
      </c>
      <c r="W42" s="4" t="s">
        <v>43</v>
      </c>
    </row>
    <row r="43" spans="1:23" ht="56">
      <c r="A43" s="4">
        <v>41</v>
      </c>
      <c r="B43" s="4" t="s">
        <v>241</v>
      </c>
      <c r="C43" s="4" t="s">
        <v>263</v>
      </c>
      <c r="D43" s="3" t="s">
        <v>264</v>
      </c>
      <c r="E43" s="3" t="s">
        <v>265</v>
      </c>
      <c r="F43" s="4" t="s">
        <v>60</v>
      </c>
      <c r="G43" s="4" t="s">
        <v>66</v>
      </c>
      <c r="H43" s="3" t="s">
        <v>266</v>
      </c>
      <c r="I43" s="3" t="s">
        <v>267</v>
      </c>
      <c r="J43" s="4" t="s">
        <v>49</v>
      </c>
      <c r="K43" s="4" t="s">
        <v>33</v>
      </c>
      <c r="L43" s="3" t="s">
        <v>34</v>
      </c>
      <c r="M43" s="5" t="s">
        <v>246</v>
      </c>
      <c r="N43" s="3" t="s">
        <v>36</v>
      </c>
      <c r="O43" s="16">
        <v>25.157800000000002</v>
      </c>
      <c r="P43" s="16">
        <v>121.70650000000001</v>
      </c>
      <c r="Q43" s="4" t="s">
        <v>145</v>
      </c>
      <c r="R43" s="3" t="s">
        <v>38</v>
      </c>
      <c r="S43" s="3" t="s">
        <v>39</v>
      </c>
      <c r="T43" s="5" t="s">
        <v>268</v>
      </c>
      <c r="U43" s="5" t="s">
        <v>269</v>
      </c>
      <c r="V43" s="3" t="s">
        <v>270</v>
      </c>
      <c r="W43" s="4" t="s">
        <v>43</v>
      </c>
    </row>
    <row r="44" spans="1:23" ht="84">
      <c r="A44" s="4">
        <v>42</v>
      </c>
      <c r="B44" s="4" t="s">
        <v>241</v>
      </c>
      <c r="C44" s="4" t="s">
        <v>263</v>
      </c>
      <c r="D44" s="3" t="s">
        <v>271</v>
      </c>
      <c r="E44" s="3" t="s">
        <v>231</v>
      </c>
      <c r="F44" s="4" t="s">
        <v>60</v>
      </c>
      <c r="G44" s="4" t="s">
        <v>66</v>
      </c>
      <c r="H44" s="3" t="s">
        <v>232</v>
      </c>
      <c r="I44" s="3" t="s">
        <v>233</v>
      </c>
      <c r="J44" s="4" t="s">
        <v>49</v>
      </c>
      <c r="K44" s="4" t="s">
        <v>33</v>
      </c>
      <c r="L44" s="3" t="s">
        <v>34</v>
      </c>
      <c r="M44" s="5" t="s">
        <v>246</v>
      </c>
      <c r="N44" s="3" t="s">
        <v>36</v>
      </c>
      <c r="O44" s="16">
        <v>25.128900000000002</v>
      </c>
      <c r="P44" s="16">
        <v>121.7105</v>
      </c>
      <c r="Q44" s="4" t="s">
        <v>99</v>
      </c>
      <c r="R44" s="3" t="s">
        <v>38</v>
      </c>
      <c r="S44" s="3" t="s">
        <v>100</v>
      </c>
      <c r="T44" s="5" t="s">
        <v>272</v>
      </c>
      <c r="U44" s="5" t="s">
        <v>273</v>
      </c>
      <c r="V44" s="3" t="s">
        <v>274</v>
      </c>
      <c r="W44" s="4" t="s">
        <v>104</v>
      </c>
    </row>
    <row r="45" spans="1:23" ht="70">
      <c r="A45" s="4">
        <v>43</v>
      </c>
      <c r="B45" s="4" t="s">
        <v>241</v>
      </c>
      <c r="C45" s="4" t="s">
        <v>275</v>
      </c>
      <c r="D45" s="3" t="s">
        <v>276</v>
      </c>
      <c r="E45" s="3" t="s">
        <v>231</v>
      </c>
      <c r="F45" s="4" t="s">
        <v>60</v>
      </c>
      <c r="G45" s="4" t="s">
        <v>66</v>
      </c>
      <c r="H45" s="3" t="s">
        <v>232</v>
      </c>
      <c r="I45" s="3" t="s">
        <v>233</v>
      </c>
      <c r="J45" s="4" t="s">
        <v>49</v>
      </c>
      <c r="K45" s="4" t="s">
        <v>33</v>
      </c>
      <c r="L45" s="3" t="s">
        <v>34</v>
      </c>
      <c r="M45" s="5" t="s">
        <v>246</v>
      </c>
      <c r="N45" s="3" t="s">
        <v>36</v>
      </c>
      <c r="O45" s="16">
        <v>25.127800000000001</v>
      </c>
      <c r="P45" s="16">
        <v>121.75700000000001</v>
      </c>
      <c r="Q45" s="4" t="s">
        <v>277</v>
      </c>
      <c r="R45" s="3" t="s">
        <v>38</v>
      </c>
      <c r="S45" s="3" t="s">
        <v>39</v>
      </c>
      <c r="T45" s="5" t="s">
        <v>278</v>
      </c>
      <c r="U45" s="5" t="s">
        <v>279</v>
      </c>
      <c r="V45" s="3" t="s">
        <v>280</v>
      </c>
      <c r="W45" s="4" t="s">
        <v>43</v>
      </c>
    </row>
    <row r="46" spans="1:23" ht="56">
      <c r="A46" s="4">
        <v>44</v>
      </c>
      <c r="B46" s="4" t="s">
        <v>281</v>
      </c>
      <c r="C46" s="4" t="s">
        <v>282</v>
      </c>
      <c r="D46" s="3" t="s">
        <v>283</v>
      </c>
      <c r="E46" s="3" t="s">
        <v>65</v>
      </c>
      <c r="F46" s="4" t="s">
        <v>28</v>
      </c>
      <c r="G46" s="4" t="s">
        <v>29</v>
      </c>
      <c r="H46" s="3" t="s">
        <v>67</v>
      </c>
      <c r="I46" s="3" t="s">
        <v>68</v>
      </c>
      <c r="J46" s="4" t="s">
        <v>32</v>
      </c>
      <c r="K46" s="4" t="s">
        <v>33</v>
      </c>
      <c r="L46" s="3" t="s">
        <v>34</v>
      </c>
      <c r="M46" s="5" t="s">
        <v>284</v>
      </c>
      <c r="N46" s="3" t="s">
        <v>36</v>
      </c>
      <c r="O46" s="16">
        <v>25.003</v>
      </c>
      <c r="P46" s="16">
        <v>121.32599999999999</v>
      </c>
      <c r="Q46" s="4" t="s">
        <v>37</v>
      </c>
      <c r="R46" s="3" t="s">
        <v>38</v>
      </c>
      <c r="S46" s="3" t="s">
        <v>39</v>
      </c>
      <c r="T46" s="5" t="s">
        <v>285</v>
      </c>
      <c r="U46" s="5" t="s">
        <v>286</v>
      </c>
      <c r="V46" s="3" t="s">
        <v>287</v>
      </c>
      <c r="W46" s="4" t="s">
        <v>43</v>
      </c>
    </row>
    <row r="47" spans="1:23" ht="56">
      <c r="A47" s="4">
        <v>45</v>
      </c>
      <c r="B47" s="4" t="s">
        <v>281</v>
      </c>
      <c r="C47" s="4" t="s">
        <v>288</v>
      </c>
      <c r="D47" s="3" t="s">
        <v>289</v>
      </c>
      <c r="E47" s="3" t="s">
        <v>265</v>
      </c>
      <c r="F47" s="4" t="s">
        <v>28</v>
      </c>
      <c r="G47" s="4" t="s">
        <v>29</v>
      </c>
      <c r="H47" s="3" t="s">
        <v>266</v>
      </c>
      <c r="I47" s="3" t="s">
        <v>267</v>
      </c>
      <c r="J47" s="4" t="s">
        <v>49</v>
      </c>
      <c r="K47" s="4" t="s">
        <v>33</v>
      </c>
      <c r="L47" s="3" t="s">
        <v>34</v>
      </c>
      <c r="M47" s="5" t="s">
        <v>284</v>
      </c>
      <c r="N47" s="3" t="s">
        <v>36</v>
      </c>
      <c r="O47" s="16">
        <v>25.012</v>
      </c>
      <c r="P47" s="16">
        <v>121.206</v>
      </c>
      <c r="Q47" s="4" t="s">
        <v>145</v>
      </c>
      <c r="R47" s="3" t="s">
        <v>38</v>
      </c>
      <c r="S47" s="3" t="s">
        <v>39</v>
      </c>
      <c r="T47" s="5" t="s">
        <v>290</v>
      </c>
      <c r="U47" s="5" t="s">
        <v>291</v>
      </c>
      <c r="V47" s="3" t="s">
        <v>292</v>
      </c>
      <c r="W47" s="4" t="s">
        <v>43</v>
      </c>
    </row>
    <row r="48" spans="1:23" ht="70">
      <c r="A48" s="4">
        <v>46</v>
      </c>
      <c r="B48" s="4" t="s">
        <v>281</v>
      </c>
      <c r="C48" s="4" t="s">
        <v>293</v>
      </c>
      <c r="D48" s="3" t="s">
        <v>294</v>
      </c>
      <c r="E48" s="3" t="s">
        <v>46</v>
      </c>
      <c r="F48" s="4" t="s">
        <v>28</v>
      </c>
      <c r="G48" s="4" t="s">
        <v>29</v>
      </c>
      <c r="H48" s="3" t="s">
        <v>47</v>
      </c>
      <c r="I48" s="3" t="s">
        <v>48</v>
      </c>
      <c r="J48" s="4" t="s">
        <v>49</v>
      </c>
      <c r="K48" s="4" t="s">
        <v>33</v>
      </c>
      <c r="L48" s="3" t="s">
        <v>34</v>
      </c>
      <c r="M48" s="5" t="s">
        <v>284</v>
      </c>
      <c r="N48" s="3" t="s">
        <v>36</v>
      </c>
      <c r="O48" s="16">
        <v>25.0153</v>
      </c>
      <c r="P48" s="16">
        <v>121.214</v>
      </c>
      <c r="Q48" s="4" t="s">
        <v>145</v>
      </c>
      <c r="R48" s="3" t="s">
        <v>38</v>
      </c>
      <c r="S48" s="3" t="s">
        <v>39</v>
      </c>
      <c r="T48" s="5" t="s">
        <v>295</v>
      </c>
      <c r="U48" s="5" t="s">
        <v>296</v>
      </c>
      <c r="V48" s="3" t="s">
        <v>297</v>
      </c>
      <c r="W48" s="4" t="s">
        <v>43</v>
      </c>
    </row>
    <row r="49" spans="1:23" ht="56">
      <c r="A49" s="4">
        <v>47</v>
      </c>
      <c r="B49" s="4" t="s">
        <v>281</v>
      </c>
      <c r="C49" s="4" t="s">
        <v>282</v>
      </c>
      <c r="D49" s="3" t="s">
        <v>298</v>
      </c>
      <c r="E49" s="3" t="s">
        <v>231</v>
      </c>
      <c r="F49" s="4" t="s">
        <v>60</v>
      </c>
      <c r="G49" s="4" t="s">
        <v>29</v>
      </c>
      <c r="H49" s="3" t="s">
        <v>232</v>
      </c>
      <c r="I49" s="3" t="s">
        <v>233</v>
      </c>
      <c r="J49" s="4" t="s">
        <v>49</v>
      </c>
      <c r="K49" s="4" t="s">
        <v>33</v>
      </c>
      <c r="L49" s="3" t="s">
        <v>34</v>
      </c>
      <c r="M49" s="5" t="s">
        <v>284</v>
      </c>
      <c r="N49" s="3" t="s">
        <v>36</v>
      </c>
      <c r="O49" s="16">
        <v>25.003399999999999</v>
      </c>
      <c r="P49" s="16">
        <v>121.2867</v>
      </c>
      <c r="Q49" s="4" t="s">
        <v>145</v>
      </c>
      <c r="R49" s="3" t="s">
        <v>38</v>
      </c>
      <c r="S49" s="3" t="s">
        <v>39</v>
      </c>
      <c r="T49" s="5" t="s">
        <v>299</v>
      </c>
      <c r="U49" s="5" t="s">
        <v>300</v>
      </c>
      <c r="V49" s="3" t="s">
        <v>301</v>
      </c>
      <c r="W49" s="4" t="s">
        <v>43</v>
      </c>
    </row>
    <row r="50" spans="1:23" ht="70">
      <c r="A50" s="4">
        <v>48</v>
      </c>
      <c r="B50" s="4" t="s">
        <v>281</v>
      </c>
      <c r="C50" s="4" t="s">
        <v>282</v>
      </c>
      <c r="D50" s="3" t="s">
        <v>302</v>
      </c>
      <c r="E50" s="3" t="s">
        <v>91</v>
      </c>
      <c r="F50" s="4" t="s">
        <v>60</v>
      </c>
      <c r="G50" s="4" t="s">
        <v>66</v>
      </c>
      <c r="H50" s="3" t="s">
        <v>92</v>
      </c>
      <c r="I50" s="3" t="s">
        <v>93</v>
      </c>
      <c r="J50" s="4" t="s">
        <v>49</v>
      </c>
      <c r="K50" s="4" t="s">
        <v>33</v>
      </c>
      <c r="L50" s="3" t="s">
        <v>34</v>
      </c>
      <c r="M50" s="5" t="s">
        <v>284</v>
      </c>
      <c r="N50" s="3" t="s">
        <v>36</v>
      </c>
      <c r="O50" s="16">
        <v>24.9803</v>
      </c>
      <c r="P50" s="16">
        <v>121.31059999999999</v>
      </c>
      <c r="Q50" s="4" t="s">
        <v>145</v>
      </c>
      <c r="R50" s="3" t="s">
        <v>38</v>
      </c>
      <c r="S50" s="3" t="s">
        <v>39</v>
      </c>
      <c r="T50" s="5" t="s">
        <v>303</v>
      </c>
      <c r="U50" s="5" t="s">
        <v>304</v>
      </c>
      <c r="V50" s="3" t="s">
        <v>305</v>
      </c>
      <c r="W50" s="4" t="s">
        <v>43</v>
      </c>
    </row>
    <row r="51" spans="1:23" ht="70">
      <c r="A51" s="4">
        <v>49</v>
      </c>
      <c r="B51" s="4" t="s">
        <v>281</v>
      </c>
      <c r="C51" s="4" t="s">
        <v>282</v>
      </c>
      <c r="D51" s="3" t="s">
        <v>306</v>
      </c>
      <c r="E51" s="3" t="s">
        <v>91</v>
      </c>
      <c r="F51" s="4" t="s">
        <v>60</v>
      </c>
      <c r="G51" s="4" t="s">
        <v>66</v>
      </c>
      <c r="H51" s="3" t="s">
        <v>92</v>
      </c>
      <c r="I51" s="3" t="s">
        <v>93</v>
      </c>
      <c r="J51" s="4" t="s">
        <v>49</v>
      </c>
      <c r="K51" s="4" t="s">
        <v>33</v>
      </c>
      <c r="L51" s="3" t="s">
        <v>34</v>
      </c>
      <c r="M51" s="5" t="s">
        <v>284</v>
      </c>
      <c r="N51" s="3" t="s">
        <v>36</v>
      </c>
      <c r="O51" s="16">
        <v>25.003399999999999</v>
      </c>
      <c r="P51" s="16">
        <v>121.319</v>
      </c>
      <c r="Q51" s="4" t="s">
        <v>145</v>
      </c>
      <c r="R51" s="3" t="s">
        <v>38</v>
      </c>
      <c r="S51" s="3" t="s">
        <v>39</v>
      </c>
      <c r="T51" s="5" t="s">
        <v>307</v>
      </c>
      <c r="U51" s="5" t="s">
        <v>308</v>
      </c>
      <c r="V51" s="3" t="s">
        <v>309</v>
      </c>
      <c r="W51" s="4" t="s">
        <v>43</v>
      </c>
    </row>
    <row r="52" spans="1:23" ht="70">
      <c r="A52" s="4">
        <v>50</v>
      </c>
      <c r="B52" s="4" t="s">
        <v>281</v>
      </c>
      <c r="C52" s="4" t="s">
        <v>288</v>
      </c>
      <c r="D52" s="3" t="s">
        <v>310</v>
      </c>
      <c r="E52" s="3" t="s">
        <v>91</v>
      </c>
      <c r="F52" s="4" t="s">
        <v>60</v>
      </c>
      <c r="G52" s="4" t="s">
        <v>29</v>
      </c>
      <c r="H52" s="3" t="s">
        <v>92</v>
      </c>
      <c r="I52" s="3" t="s">
        <v>93</v>
      </c>
      <c r="J52" s="4" t="s">
        <v>32</v>
      </c>
      <c r="K52" s="4" t="s">
        <v>33</v>
      </c>
      <c r="L52" s="3" t="s">
        <v>34</v>
      </c>
      <c r="M52" s="5" t="s">
        <v>284</v>
      </c>
      <c r="N52" s="3" t="s">
        <v>36</v>
      </c>
      <c r="O52" s="16">
        <v>24.963999999999999</v>
      </c>
      <c r="P52" s="16">
        <v>121.22</v>
      </c>
      <c r="Q52" s="4" t="s">
        <v>37</v>
      </c>
      <c r="R52" s="3" t="s">
        <v>38</v>
      </c>
      <c r="S52" s="3" t="s">
        <v>39</v>
      </c>
      <c r="T52" s="5" t="s">
        <v>311</v>
      </c>
      <c r="U52" s="5" t="s">
        <v>312</v>
      </c>
      <c r="V52" s="3" t="s">
        <v>313</v>
      </c>
      <c r="W52" s="4" t="s">
        <v>43</v>
      </c>
    </row>
    <row r="53" spans="1:23" ht="56">
      <c r="A53" s="4">
        <v>51</v>
      </c>
      <c r="B53" s="4" t="s">
        <v>281</v>
      </c>
      <c r="C53" s="4" t="s">
        <v>288</v>
      </c>
      <c r="D53" s="3" t="s">
        <v>314</v>
      </c>
      <c r="E53" s="3" t="s">
        <v>74</v>
      </c>
      <c r="F53" s="4" t="s">
        <v>60</v>
      </c>
      <c r="G53" s="4" t="s">
        <v>66</v>
      </c>
      <c r="H53" s="3" t="s">
        <v>75</v>
      </c>
      <c r="I53" s="3" t="s">
        <v>76</v>
      </c>
      <c r="J53" s="4" t="s">
        <v>49</v>
      </c>
      <c r="K53" s="4" t="s">
        <v>33</v>
      </c>
      <c r="L53" s="3" t="s">
        <v>34</v>
      </c>
      <c r="M53" s="5" t="s">
        <v>284</v>
      </c>
      <c r="N53" s="3" t="s">
        <v>36</v>
      </c>
      <c r="O53" s="16">
        <v>24.959</v>
      </c>
      <c r="P53" s="16">
        <v>121.214</v>
      </c>
      <c r="Q53" s="4" t="s">
        <v>145</v>
      </c>
      <c r="R53" s="3" t="s">
        <v>38</v>
      </c>
      <c r="S53" s="3" t="s">
        <v>39</v>
      </c>
      <c r="T53" s="5" t="s">
        <v>315</v>
      </c>
      <c r="U53" s="5" t="s">
        <v>316</v>
      </c>
      <c r="V53" s="3" t="s">
        <v>317</v>
      </c>
      <c r="W53" s="4" t="s">
        <v>43</v>
      </c>
    </row>
    <row r="54" spans="1:23" ht="70">
      <c r="A54" s="4">
        <v>52</v>
      </c>
      <c r="B54" s="4" t="s">
        <v>281</v>
      </c>
      <c r="C54" s="4" t="s">
        <v>288</v>
      </c>
      <c r="D54" s="3" t="s">
        <v>318</v>
      </c>
      <c r="E54" s="3" t="s">
        <v>91</v>
      </c>
      <c r="F54" s="4" t="s">
        <v>60</v>
      </c>
      <c r="G54" s="4" t="s">
        <v>66</v>
      </c>
      <c r="H54" s="3" t="s">
        <v>92</v>
      </c>
      <c r="I54" s="3" t="s">
        <v>93</v>
      </c>
      <c r="J54" s="4" t="s">
        <v>32</v>
      </c>
      <c r="K54" s="4" t="s">
        <v>33</v>
      </c>
      <c r="L54" s="3" t="s">
        <v>34</v>
      </c>
      <c r="M54" s="5" t="s">
        <v>284</v>
      </c>
      <c r="N54" s="3" t="s">
        <v>36</v>
      </c>
      <c r="O54" s="16">
        <v>25</v>
      </c>
      <c r="P54" s="16">
        <v>121.212</v>
      </c>
      <c r="Q54" s="4" t="s">
        <v>37</v>
      </c>
      <c r="R54" s="3" t="s">
        <v>38</v>
      </c>
      <c r="S54" s="3" t="s">
        <v>39</v>
      </c>
      <c r="T54" s="5" t="s">
        <v>319</v>
      </c>
      <c r="U54" s="5" t="s">
        <v>320</v>
      </c>
      <c r="V54" s="3" t="s">
        <v>321</v>
      </c>
      <c r="W54" s="4" t="s">
        <v>43</v>
      </c>
    </row>
    <row r="55" spans="1:23" ht="56">
      <c r="A55" s="4">
        <v>53</v>
      </c>
      <c r="B55" s="4" t="s">
        <v>281</v>
      </c>
      <c r="C55" s="4" t="s">
        <v>322</v>
      </c>
      <c r="D55" s="3" t="s">
        <v>323</v>
      </c>
      <c r="E55" s="3" t="s">
        <v>231</v>
      </c>
      <c r="F55" s="4" t="s">
        <v>60</v>
      </c>
      <c r="G55" s="4" t="s">
        <v>66</v>
      </c>
      <c r="H55" s="3" t="s">
        <v>232</v>
      </c>
      <c r="I55" s="3" t="s">
        <v>233</v>
      </c>
      <c r="J55" s="4" t="s">
        <v>49</v>
      </c>
      <c r="K55" s="4" t="s">
        <v>33</v>
      </c>
      <c r="L55" s="3" t="s">
        <v>34</v>
      </c>
      <c r="M55" s="5" t="s">
        <v>284</v>
      </c>
      <c r="N55" s="3" t="s">
        <v>36</v>
      </c>
      <c r="O55" s="16">
        <v>24.947500000000002</v>
      </c>
      <c r="P55" s="16">
        <v>121.215</v>
      </c>
      <c r="Q55" s="4" t="s">
        <v>145</v>
      </c>
      <c r="R55" s="3" t="s">
        <v>38</v>
      </c>
      <c r="S55" s="3" t="s">
        <v>39</v>
      </c>
      <c r="T55" s="5" t="s">
        <v>324</v>
      </c>
      <c r="U55" s="5" t="s">
        <v>325</v>
      </c>
      <c r="V55" s="3" t="s">
        <v>326</v>
      </c>
      <c r="W55" s="4" t="s">
        <v>43</v>
      </c>
    </row>
    <row r="56" spans="1:23" ht="70">
      <c r="A56" s="4">
        <v>54</v>
      </c>
      <c r="B56" s="4" t="s">
        <v>281</v>
      </c>
      <c r="C56" s="4" t="s">
        <v>322</v>
      </c>
      <c r="D56" s="3" t="s">
        <v>327</v>
      </c>
      <c r="E56" s="3" t="s">
        <v>91</v>
      </c>
      <c r="F56" s="4" t="s">
        <v>205</v>
      </c>
      <c r="G56" s="4" t="s">
        <v>225</v>
      </c>
      <c r="H56" s="3" t="s">
        <v>92</v>
      </c>
      <c r="I56" s="3" t="s">
        <v>93</v>
      </c>
      <c r="J56" s="4" t="s">
        <v>32</v>
      </c>
      <c r="K56" s="4" t="s">
        <v>33</v>
      </c>
      <c r="L56" s="3" t="s">
        <v>34</v>
      </c>
      <c r="M56" s="5" t="s">
        <v>284</v>
      </c>
      <c r="N56" s="3" t="s">
        <v>36</v>
      </c>
      <c r="O56" s="16">
        <v>24.908000000000001</v>
      </c>
      <c r="P56" s="16">
        <v>121.214</v>
      </c>
      <c r="Q56" s="4" t="s">
        <v>37</v>
      </c>
      <c r="R56" s="3" t="s">
        <v>38</v>
      </c>
      <c r="S56" s="3" t="s">
        <v>39</v>
      </c>
      <c r="T56" s="5" t="s">
        <v>328</v>
      </c>
      <c r="U56" s="5" t="s">
        <v>329</v>
      </c>
      <c r="V56" s="3" t="s">
        <v>330</v>
      </c>
      <c r="W56" s="4" t="s">
        <v>43</v>
      </c>
    </row>
    <row r="57" spans="1:23" ht="70">
      <c r="A57" s="4">
        <v>55</v>
      </c>
      <c r="B57" s="4" t="s">
        <v>281</v>
      </c>
      <c r="C57" s="4" t="s">
        <v>331</v>
      </c>
      <c r="D57" s="3" t="s">
        <v>332</v>
      </c>
      <c r="E57" s="3" t="s">
        <v>91</v>
      </c>
      <c r="F57" s="4" t="s">
        <v>205</v>
      </c>
      <c r="G57" s="4" t="s">
        <v>225</v>
      </c>
      <c r="H57" s="3" t="s">
        <v>92</v>
      </c>
      <c r="I57" s="3" t="s">
        <v>93</v>
      </c>
      <c r="J57" s="4" t="s">
        <v>32</v>
      </c>
      <c r="K57" s="4" t="s">
        <v>33</v>
      </c>
      <c r="L57" s="3" t="s">
        <v>34</v>
      </c>
      <c r="M57" s="5" t="s">
        <v>284</v>
      </c>
      <c r="N57" s="3" t="s">
        <v>36</v>
      </c>
      <c r="O57" s="16">
        <v>24.864000000000001</v>
      </c>
      <c r="P57" s="16">
        <v>121.21599999999999</v>
      </c>
      <c r="Q57" s="4" t="s">
        <v>37</v>
      </c>
      <c r="R57" s="3" t="s">
        <v>38</v>
      </c>
      <c r="S57" s="3" t="s">
        <v>39</v>
      </c>
      <c r="T57" s="5" t="s">
        <v>333</v>
      </c>
      <c r="U57" s="5" t="s">
        <v>334</v>
      </c>
      <c r="V57" s="3" t="s">
        <v>335</v>
      </c>
      <c r="W57" s="4" t="s">
        <v>43</v>
      </c>
    </row>
    <row r="58" spans="1:23" ht="84">
      <c r="A58" s="4">
        <v>56</v>
      </c>
      <c r="B58" s="4" t="s">
        <v>281</v>
      </c>
      <c r="C58" s="4" t="s">
        <v>336</v>
      </c>
      <c r="D58" s="3" t="s">
        <v>337</v>
      </c>
      <c r="E58" s="3" t="s">
        <v>265</v>
      </c>
      <c r="F58" s="4" t="s">
        <v>60</v>
      </c>
      <c r="G58" s="4" t="s">
        <v>66</v>
      </c>
      <c r="H58" s="3" t="s">
        <v>266</v>
      </c>
      <c r="I58" s="3" t="s">
        <v>267</v>
      </c>
      <c r="J58" s="4" t="s">
        <v>32</v>
      </c>
      <c r="K58" s="4" t="s">
        <v>33</v>
      </c>
      <c r="L58" s="3" t="s">
        <v>34</v>
      </c>
      <c r="M58" s="5" t="s">
        <v>284</v>
      </c>
      <c r="N58" s="3" t="s">
        <v>36</v>
      </c>
      <c r="O58" s="16">
        <v>24.933</v>
      </c>
      <c r="P58" s="16">
        <v>121.28</v>
      </c>
      <c r="Q58" s="4" t="s">
        <v>37</v>
      </c>
      <c r="R58" s="3" t="s">
        <v>38</v>
      </c>
      <c r="S58" s="3" t="s">
        <v>39</v>
      </c>
      <c r="T58" s="5" t="s">
        <v>338</v>
      </c>
      <c r="U58" s="5" t="s">
        <v>339</v>
      </c>
      <c r="V58" s="3" t="s">
        <v>340</v>
      </c>
      <c r="W58" s="4" t="s">
        <v>43</v>
      </c>
    </row>
    <row r="59" spans="1:23" ht="70">
      <c r="A59" s="4">
        <v>57</v>
      </c>
      <c r="B59" s="4" t="s">
        <v>281</v>
      </c>
      <c r="C59" s="4" t="s">
        <v>282</v>
      </c>
      <c r="D59" s="3" t="s">
        <v>341</v>
      </c>
      <c r="E59" s="3" t="s">
        <v>265</v>
      </c>
      <c r="F59" s="4" t="s">
        <v>60</v>
      </c>
      <c r="G59" s="4" t="s">
        <v>66</v>
      </c>
      <c r="H59" s="3" t="s">
        <v>266</v>
      </c>
      <c r="I59" s="3" t="s">
        <v>267</v>
      </c>
      <c r="J59" s="4" t="s">
        <v>49</v>
      </c>
      <c r="K59" s="4" t="s">
        <v>33</v>
      </c>
      <c r="L59" s="3" t="s">
        <v>34</v>
      </c>
      <c r="M59" s="5" t="s">
        <v>284</v>
      </c>
      <c r="N59" s="3" t="s">
        <v>36</v>
      </c>
      <c r="O59" s="16">
        <v>25.013999999999999</v>
      </c>
      <c r="P59" s="16">
        <v>121.3167</v>
      </c>
      <c r="Q59" s="4" t="s">
        <v>145</v>
      </c>
      <c r="R59" s="3" t="s">
        <v>38</v>
      </c>
      <c r="S59" s="3" t="s">
        <v>39</v>
      </c>
      <c r="T59" s="5" t="s">
        <v>342</v>
      </c>
      <c r="U59" s="5" t="s">
        <v>343</v>
      </c>
      <c r="V59" s="3" t="s">
        <v>344</v>
      </c>
      <c r="W59" s="4" t="s">
        <v>43</v>
      </c>
    </row>
    <row r="60" spans="1:23" ht="56">
      <c r="A60" s="4">
        <v>58</v>
      </c>
      <c r="B60" s="4" t="s">
        <v>281</v>
      </c>
      <c r="C60" s="4" t="s">
        <v>345</v>
      </c>
      <c r="D60" s="3" t="s">
        <v>346</v>
      </c>
      <c r="E60" s="3" t="s">
        <v>46</v>
      </c>
      <c r="F60" s="4" t="s">
        <v>60</v>
      </c>
      <c r="G60" s="4" t="s">
        <v>66</v>
      </c>
      <c r="H60" s="3" t="s">
        <v>47</v>
      </c>
      <c r="I60" s="3" t="s">
        <v>48</v>
      </c>
      <c r="J60" s="4" t="s">
        <v>49</v>
      </c>
      <c r="K60" s="4" t="s">
        <v>33</v>
      </c>
      <c r="L60" s="3" t="s">
        <v>34</v>
      </c>
      <c r="M60" s="5" t="s">
        <v>284</v>
      </c>
      <c r="N60" s="3" t="s">
        <v>36</v>
      </c>
      <c r="O60" s="16">
        <v>24.8172</v>
      </c>
      <c r="P60" s="16">
        <v>121.3505</v>
      </c>
      <c r="Q60" s="4" t="s">
        <v>145</v>
      </c>
      <c r="R60" s="3" t="s">
        <v>38</v>
      </c>
      <c r="S60" s="3" t="s">
        <v>39</v>
      </c>
      <c r="T60" s="5" t="s">
        <v>347</v>
      </c>
      <c r="U60" s="5" t="s">
        <v>348</v>
      </c>
      <c r="V60" s="3" t="s">
        <v>349</v>
      </c>
      <c r="W60" s="4" t="s">
        <v>43</v>
      </c>
    </row>
    <row r="61" spans="1:23" ht="70">
      <c r="A61" s="4">
        <v>59</v>
      </c>
      <c r="B61" s="4" t="s">
        <v>281</v>
      </c>
      <c r="C61" s="4" t="s">
        <v>350</v>
      </c>
      <c r="D61" s="3" t="s">
        <v>351</v>
      </c>
      <c r="E61" s="3" t="s">
        <v>231</v>
      </c>
      <c r="F61" s="4" t="s">
        <v>60</v>
      </c>
      <c r="G61" s="4" t="s">
        <v>66</v>
      </c>
      <c r="H61" s="3" t="s">
        <v>232</v>
      </c>
      <c r="I61" s="3" t="s">
        <v>233</v>
      </c>
      <c r="J61" s="4" t="s">
        <v>49</v>
      </c>
      <c r="K61" s="4" t="s">
        <v>33</v>
      </c>
      <c r="L61" s="3" t="s">
        <v>34</v>
      </c>
      <c r="M61" s="5" t="s">
        <v>284</v>
      </c>
      <c r="N61" s="3" t="s">
        <v>36</v>
      </c>
      <c r="O61" s="16">
        <v>24.912299999999998</v>
      </c>
      <c r="P61" s="16">
        <v>121.1476</v>
      </c>
      <c r="Q61" s="4" t="s">
        <v>277</v>
      </c>
      <c r="R61" s="3" t="s">
        <v>38</v>
      </c>
      <c r="S61" s="3" t="s">
        <v>39</v>
      </c>
      <c r="T61" s="5" t="s">
        <v>352</v>
      </c>
      <c r="U61" s="5" t="s">
        <v>353</v>
      </c>
      <c r="V61" s="3" t="s">
        <v>354</v>
      </c>
      <c r="W61" s="4" t="s">
        <v>43</v>
      </c>
    </row>
    <row r="62" spans="1:23" ht="56">
      <c r="A62" s="4">
        <v>60</v>
      </c>
      <c r="B62" s="4" t="s">
        <v>355</v>
      </c>
      <c r="C62" s="4" t="s">
        <v>356</v>
      </c>
      <c r="D62" s="3" t="s">
        <v>357</v>
      </c>
      <c r="E62" s="3" t="s">
        <v>46</v>
      </c>
      <c r="F62" s="4" t="s">
        <v>28</v>
      </c>
      <c r="G62" s="4" t="s">
        <v>29</v>
      </c>
      <c r="H62" s="3" t="s">
        <v>47</v>
      </c>
      <c r="I62" s="3" t="s">
        <v>48</v>
      </c>
      <c r="J62" s="4" t="s">
        <v>49</v>
      </c>
      <c r="K62" s="4" t="s">
        <v>33</v>
      </c>
      <c r="L62" s="3" t="s">
        <v>34</v>
      </c>
      <c r="M62" s="5" t="s">
        <v>358</v>
      </c>
      <c r="N62" s="3" t="s">
        <v>36</v>
      </c>
      <c r="O62" s="16">
        <v>24.8004</v>
      </c>
      <c r="P62" s="16">
        <v>120.97839999999999</v>
      </c>
      <c r="Q62" s="4" t="s">
        <v>145</v>
      </c>
      <c r="R62" s="3" t="s">
        <v>38</v>
      </c>
      <c r="S62" s="3" t="s">
        <v>39</v>
      </c>
      <c r="T62" s="5" t="s">
        <v>359</v>
      </c>
      <c r="U62" s="5" t="s">
        <v>360</v>
      </c>
      <c r="V62" s="3" t="s">
        <v>361</v>
      </c>
      <c r="W62" s="4" t="s">
        <v>43</v>
      </c>
    </row>
    <row r="63" spans="1:23" ht="56">
      <c r="A63" s="4">
        <v>61</v>
      </c>
      <c r="B63" s="4" t="s">
        <v>355</v>
      </c>
      <c r="C63" s="4" t="s">
        <v>356</v>
      </c>
      <c r="D63" s="3" t="s">
        <v>362</v>
      </c>
      <c r="E63" s="3" t="s">
        <v>65</v>
      </c>
      <c r="F63" s="4" t="s">
        <v>28</v>
      </c>
      <c r="G63" s="4" t="s">
        <v>29</v>
      </c>
      <c r="H63" s="3" t="s">
        <v>67</v>
      </c>
      <c r="I63" s="3" t="s">
        <v>68</v>
      </c>
      <c r="J63" s="4" t="s">
        <v>32</v>
      </c>
      <c r="K63" s="4" t="s">
        <v>33</v>
      </c>
      <c r="L63" s="3" t="s">
        <v>34</v>
      </c>
      <c r="M63" s="5" t="s">
        <v>358</v>
      </c>
      <c r="N63" s="3" t="s">
        <v>36</v>
      </c>
      <c r="O63" s="16">
        <v>24.792999999999999</v>
      </c>
      <c r="P63" s="16">
        <v>120.989</v>
      </c>
      <c r="Q63" s="4" t="s">
        <v>37</v>
      </c>
      <c r="R63" s="3" t="s">
        <v>38</v>
      </c>
      <c r="S63" s="3" t="s">
        <v>39</v>
      </c>
      <c r="T63" s="5" t="s">
        <v>363</v>
      </c>
      <c r="U63" s="5" t="s">
        <v>364</v>
      </c>
      <c r="V63" s="3" t="s">
        <v>365</v>
      </c>
      <c r="W63" s="4" t="s">
        <v>43</v>
      </c>
    </row>
    <row r="64" spans="1:23" ht="70">
      <c r="A64" s="4">
        <v>62</v>
      </c>
      <c r="B64" s="4" t="s">
        <v>355</v>
      </c>
      <c r="C64" s="4" t="s">
        <v>366</v>
      </c>
      <c r="D64" s="3" t="s">
        <v>367</v>
      </c>
      <c r="E64" s="3" t="s">
        <v>114</v>
      </c>
      <c r="F64" s="4" t="s">
        <v>60</v>
      </c>
      <c r="G64" s="4" t="s">
        <v>29</v>
      </c>
      <c r="H64" s="3" t="s">
        <v>115</v>
      </c>
      <c r="I64" s="3" t="s">
        <v>116</v>
      </c>
      <c r="J64" s="4" t="s">
        <v>49</v>
      </c>
      <c r="K64" s="4" t="s">
        <v>33</v>
      </c>
      <c r="L64" s="3" t="s">
        <v>34</v>
      </c>
      <c r="M64" s="5" t="s">
        <v>358</v>
      </c>
      <c r="N64" s="3" t="s">
        <v>36</v>
      </c>
      <c r="O64" s="16">
        <v>24.815000000000001</v>
      </c>
      <c r="P64" s="16">
        <v>120.967</v>
      </c>
      <c r="Q64" s="4" t="s">
        <v>99</v>
      </c>
      <c r="R64" s="3" t="s">
        <v>38</v>
      </c>
      <c r="S64" s="3" t="s">
        <v>117</v>
      </c>
      <c r="T64" s="5" t="s">
        <v>368</v>
      </c>
      <c r="U64" s="5" t="s">
        <v>369</v>
      </c>
      <c r="V64" s="3" t="s">
        <v>370</v>
      </c>
      <c r="W64" s="4" t="s">
        <v>121</v>
      </c>
    </row>
    <row r="65" spans="1:23" ht="56">
      <c r="A65" s="4">
        <v>63</v>
      </c>
      <c r="B65" s="4" t="s">
        <v>355</v>
      </c>
      <c r="C65" s="4" t="s">
        <v>371</v>
      </c>
      <c r="D65" s="3" t="s">
        <v>372</v>
      </c>
      <c r="E65" s="3" t="s">
        <v>65</v>
      </c>
      <c r="F65" s="4" t="s">
        <v>28</v>
      </c>
      <c r="G65" s="4" t="s">
        <v>29</v>
      </c>
      <c r="H65" s="3" t="s">
        <v>67</v>
      </c>
      <c r="I65" s="3" t="s">
        <v>68</v>
      </c>
      <c r="J65" s="4" t="s">
        <v>49</v>
      </c>
      <c r="K65" s="4" t="s">
        <v>143</v>
      </c>
      <c r="L65" s="3" t="s">
        <v>144</v>
      </c>
      <c r="M65" s="5" t="s">
        <v>358</v>
      </c>
      <c r="N65" s="3" t="s">
        <v>36</v>
      </c>
      <c r="O65" s="16">
        <v>24.7317</v>
      </c>
      <c r="P65" s="16">
        <v>120.923</v>
      </c>
      <c r="Q65" s="4" t="s">
        <v>145</v>
      </c>
      <c r="R65" s="3" t="s">
        <v>38</v>
      </c>
      <c r="S65" s="3" t="s">
        <v>146</v>
      </c>
      <c r="T65" s="5" t="s">
        <v>373</v>
      </c>
      <c r="U65" s="5" t="s">
        <v>374</v>
      </c>
      <c r="V65" s="3" t="s">
        <v>375</v>
      </c>
      <c r="W65" s="4" t="s">
        <v>150</v>
      </c>
    </row>
    <row r="66" spans="1:23" ht="56">
      <c r="A66" s="4">
        <v>64</v>
      </c>
      <c r="B66" s="4" t="s">
        <v>355</v>
      </c>
      <c r="C66" s="4" t="s">
        <v>366</v>
      </c>
      <c r="D66" s="3" t="s">
        <v>376</v>
      </c>
      <c r="E66" s="3" t="s">
        <v>91</v>
      </c>
      <c r="F66" s="4" t="s">
        <v>60</v>
      </c>
      <c r="G66" s="4" t="s">
        <v>66</v>
      </c>
      <c r="H66" s="3" t="s">
        <v>92</v>
      </c>
      <c r="I66" s="3" t="s">
        <v>93</v>
      </c>
      <c r="J66" s="4" t="s">
        <v>49</v>
      </c>
      <c r="K66" s="4" t="s">
        <v>33</v>
      </c>
      <c r="L66" s="3" t="s">
        <v>34</v>
      </c>
      <c r="M66" s="5" t="s">
        <v>358</v>
      </c>
      <c r="N66" s="3" t="s">
        <v>36</v>
      </c>
      <c r="O66" s="16">
        <v>24.846299999999999</v>
      </c>
      <c r="P66" s="16">
        <v>120.93049999999999</v>
      </c>
      <c r="Q66" s="4" t="s">
        <v>145</v>
      </c>
      <c r="R66" s="3" t="s">
        <v>38</v>
      </c>
      <c r="S66" s="3" t="s">
        <v>39</v>
      </c>
      <c r="T66" s="5" t="s">
        <v>377</v>
      </c>
      <c r="U66" s="5" t="s">
        <v>378</v>
      </c>
      <c r="V66" s="3" t="s">
        <v>379</v>
      </c>
      <c r="W66" s="4" t="s">
        <v>43</v>
      </c>
    </row>
    <row r="67" spans="1:23" ht="56">
      <c r="A67" s="4">
        <v>65</v>
      </c>
      <c r="B67" s="4" t="s">
        <v>355</v>
      </c>
      <c r="C67" s="4" t="s">
        <v>356</v>
      </c>
      <c r="D67" s="3" t="s">
        <v>380</v>
      </c>
      <c r="E67" s="3" t="s">
        <v>74</v>
      </c>
      <c r="F67" s="4" t="s">
        <v>60</v>
      </c>
      <c r="G67" s="4" t="s">
        <v>66</v>
      </c>
      <c r="H67" s="3" t="s">
        <v>75</v>
      </c>
      <c r="I67" s="3" t="s">
        <v>76</v>
      </c>
      <c r="J67" s="4" t="s">
        <v>49</v>
      </c>
      <c r="K67" s="4" t="s">
        <v>33</v>
      </c>
      <c r="L67" s="3" t="s">
        <v>34</v>
      </c>
      <c r="M67" s="5" t="s">
        <v>358</v>
      </c>
      <c r="N67" s="3" t="s">
        <v>36</v>
      </c>
      <c r="O67" s="16">
        <v>24.807500000000001</v>
      </c>
      <c r="P67" s="16">
        <v>120.9682</v>
      </c>
      <c r="Q67" s="4" t="s">
        <v>145</v>
      </c>
      <c r="R67" s="3" t="s">
        <v>38</v>
      </c>
      <c r="S67" s="3" t="s">
        <v>39</v>
      </c>
      <c r="T67" s="5" t="s">
        <v>381</v>
      </c>
      <c r="U67" s="5" t="s">
        <v>382</v>
      </c>
      <c r="V67" s="3" t="s">
        <v>383</v>
      </c>
      <c r="W67" s="4" t="s">
        <v>43</v>
      </c>
    </row>
    <row r="68" spans="1:23" ht="56">
      <c r="A68" s="4">
        <v>66</v>
      </c>
      <c r="B68" s="4" t="s">
        <v>355</v>
      </c>
      <c r="C68" s="4" t="s">
        <v>356</v>
      </c>
      <c r="D68" s="3" t="s">
        <v>384</v>
      </c>
      <c r="E68" s="3" t="s">
        <v>74</v>
      </c>
      <c r="F68" s="4" t="s">
        <v>60</v>
      </c>
      <c r="G68" s="4" t="s">
        <v>66</v>
      </c>
      <c r="H68" s="3" t="s">
        <v>75</v>
      </c>
      <c r="I68" s="3" t="s">
        <v>76</v>
      </c>
      <c r="J68" s="4" t="s">
        <v>49</v>
      </c>
      <c r="K68" s="4" t="s">
        <v>33</v>
      </c>
      <c r="L68" s="3" t="s">
        <v>34</v>
      </c>
      <c r="M68" s="5" t="s">
        <v>358</v>
      </c>
      <c r="N68" s="3" t="s">
        <v>36</v>
      </c>
      <c r="O68" s="16">
        <v>24.786799999999999</v>
      </c>
      <c r="P68" s="16">
        <v>121.01819999999999</v>
      </c>
      <c r="Q68" s="4" t="s">
        <v>145</v>
      </c>
      <c r="R68" s="3" t="s">
        <v>38</v>
      </c>
      <c r="S68" s="3" t="s">
        <v>39</v>
      </c>
      <c r="T68" s="5" t="s">
        <v>385</v>
      </c>
      <c r="U68" s="5" t="s">
        <v>386</v>
      </c>
      <c r="V68" s="3" t="s">
        <v>387</v>
      </c>
      <c r="W68" s="4" t="s">
        <v>43</v>
      </c>
    </row>
    <row r="69" spans="1:23" ht="56">
      <c r="A69" s="4">
        <v>67</v>
      </c>
      <c r="B69" s="4" t="s">
        <v>355</v>
      </c>
      <c r="C69" s="4" t="s">
        <v>366</v>
      </c>
      <c r="D69" s="3" t="s">
        <v>388</v>
      </c>
      <c r="E69" s="3" t="s">
        <v>231</v>
      </c>
      <c r="F69" s="4" t="s">
        <v>60</v>
      </c>
      <c r="G69" s="4" t="s">
        <v>66</v>
      </c>
      <c r="H69" s="3" t="s">
        <v>232</v>
      </c>
      <c r="I69" s="3" t="s">
        <v>233</v>
      </c>
      <c r="J69" s="4" t="s">
        <v>49</v>
      </c>
      <c r="K69" s="4" t="s">
        <v>33</v>
      </c>
      <c r="L69" s="3" t="s">
        <v>34</v>
      </c>
      <c r="M69" s="5" t="s">
        <v>358</v>
      </c>
      <c r="N69" s="3" t="s">
        <v>36</v>
      </c>
      <c r="O69" s="16">
        <v>24.823699999999999</v>
      </c>
      <c r="P69" s="16">
        <v>120.9601</v>
      </c>
      <c r="Q69" s="4" t="s">
        <v>145</v>
      </c>
      <c r="R69" s="3" t="s">
        <v>38</v>
      </c>
      <c r="S69" s="3" t="s">
        <v>39</v>
      </c>
      <c r="T69" s="5" t="s">
        <v>389</v>
      </c>
      <c r="U69" s="5" t="s">
        <v>390</v>
      </c>
      <c r="V69" s="3" t="s">
        <v>391</v>
      </c>
      <c r="W69" s="4" t="s">
        <v>43</v>
      </c>
    </row>
    <row r="70" spans="1:23" ht="56">
      <c r="A70" s="4">
        <v>68</v>
      </c>
      <c r="B70" s="4" t="s">
        <v>355</v>
      </c>
      <c r="C70" s="4" t="s">
        <v>366</v>
      </c>
      <c r="D70" s="3" t="s">
        <v>392</v>
      </c>
      <c r="E70" s="3" t="s">
        <v>231</v>
      </c>
      <c r="F70" s="4" t="s">
        <v>205</v>
      </c>
      <c r="G70" s="4" t="s">
        <v>225</v>
      </c>
      <c r="H70" s="3" t="s">
        <v>232</v>
      </c>
      <c r="I70" s="3" t="s">
        <v>233</v>
      </c>
      <c r="J70" s="4" t="s">
        <v>49</v>
      </c>
      <c r="K70" s="4" t="s">
        <v>33</v>
      </c>
      <c r="L70" s="3" t="s">
        <v>34</v>
      </c>
      <c r="M70" s="5" t="s">
        <v>358</v>
      </c>
      <c r="N70" s="3" t="s">
        <v>36</v>
      </c>
      <c r="O70" s="16">
        <v>24.819700000000001</v>
      </c>
      <c r="P70" s="16">
        <v>120.96599999999999</v>
      </c>
      <c r="Q70" s="4" t="s">
        <v>145</v>
      </c>
      <c r="R70" s="3" t="s">
        <v>38</v>
      </c>
      <c r="S70" s="3" t="s">
        <v>39</v>
      </c>
      <c r="T70" s="5" t="s">
        <v>393</v>
      </c>
      <c r="U70" s="5" t="s">
        <v>394</v>
      </c>
      <c r="V70" s="3" t="s">
        <v>395</v>
      </c>
      <c r="W70" s="4" t="s">
        <v>43</v>
      </c>
    </row>
    <row r="71" spans="1:23" ht="70">
      <c r="A71" s="4">
        <v>69</v>
      </c>
      <c r="B71" s="4" t="s">
        <v>355</v>
      </c>
      <c r="C71" s="4" t="s">
        <v>371</v>
      </c>
      <c r="D71" s="3" t="s">
        <v>396</v>
      </c>
      <c r="E71" s="3" t="s">
        <v>114</v>
      </c>
      <c r="F71" s="4" t="s">
        <v>205</v>
      </c>
      <c r="G71" s="4" t="s">
        <v>225</v>
      </c>
      <c r="H71" s="3" t="s">
        <v>115</v>
      </c>
      <c r="I71" s="3" t="s">
        <v>116</v>
      </c>
      <c r="J71" s="4" t="s">
        <v>49</v>
      </c>
      <c r="K71" s="4" t="s">
        <v>33</v>
      </c>
      <c r="L71" s="3" t="s">
        <v>34</v>
      </c>
      <c r="M71" s="5" t="s">
        <v>358</v>
      </c>
      <c r="N71" s="3" t="s">
        <v>36</v>
      </c>
      <c r="O71" s="16">
        <v>24.819400000000002</v>
      </c>
      <c r="P71" s="16">
        <v>120.91889999999999</v>
      </c>
      <c r="Q71" s="4" t="s">
        <v>277</v>
      </c>
      <c r="R71" s="3" t="s">
        <v>38</v>
      </c>
      <c r="S71" s="3" t="s">
        <v>39</v>
      </c>
      <c r="T71" s="5" t="s">
        <v>397</v>
      </c>
      <c r="U71" s="5" t="s">
        <v>398</v>
      </c>
      <c r="V71" s="3" t="s">
        <v>399</v>
      </c>
      <c r="W71" s="4" t="s">
        <v>43</v>
      </c>
    </row>
    <row r="72" spans="1:23" ht="70">
      <c r="A72" s="4">
        <v>70</v>
      </c>
      <c r="B72" s="4" t="s">
        <v>400</v>
      </c>
      <c r="C72" s="4" t="s">
        <v>401</v>
      </c>
      <c r="D72" s="3" t="s">
        <v>402</v>
      </c>
      <c r="E72" s="3" t="s">
        <v>91</v>
      </c>
      <c r="F72" s="4" t="s">
        <v>60</v>
      </c>
      <c r="G72" s="4" t="s">
        <v>29</v>
      </c>
      <c r="H72" s="3" t="s">
        <v>92</v>
      </c>
      <c r="I72" s="3" t="s">
        <v>93</v>
      </c>
      <c r="J72" s="4" t="s">
        <v>32</v>
      </c>
      <c r="K72" s="4" t="s">
        <v>33</v>
      </c>
      <c r="L72" s="3" t="s">
        <v>34</v>
      </c>
      <c r="M72" s="5" t="s">
        <v>403</v>
      </c>
      <c r="N72" s="3" t="s">
        <v>36</v>
      </c>
      <c r="O72" s="16">
        <v>24.829000000000001</v>
      </c>
      <c r="P72" s="16">
        <v>121.017</v>
      </c>
      <c r="Q72" s="4" t="s">
        <v>37</v>
      </c>
      <c r="R72" s="3" t="s">
        <v>38</v>
      </c>
      <c r="S72" s="3" t="s">
        <v>39</v>
      </c>
      <c r="T72" s="5" t="s">
        <v>404</v>
      </c>
      <c r="U72" s="5" t="s">
        <v>405</v>
      </c>
      <c r="V72" s="3" t="s">
        <v>406</v>
      </c>
      <c r="W72" s="4" t="s">
        <v>43</v>
      </c>
    </row>
    <row r="73" spans="1:23" ht="56">
      <c r="A73" s="4">
        <v>71</v>
      </c>
      <c r="B73" s="4" t="s">
        <v>400</v>
      </c>
      <c r="C73" s="4" t="s">
        <v>401</v>
      </c>
      <c r="D73" s="3" t="s">
        <v>407</v>
      </c>
      <c r="E73" s="3" t="s">
        <v>74</v>
      </c>
      <c r="F73" s="4" t="s">
        <v>60</v>
      </c>
      <c r="G73" s="4" t="s">
        <v>66</v>
      </c>
      <c r="H73" s="3" t="s">
        <v>75</v>
      </c>
      <c r="I73" s="3" t="s">
        <v>76</v>
      </c>
      <c r="J73" s="4" t="s">
        <v>49</v>
      </c>
      <c r="K73" s="4" t="s">
        <v>33</v>
      </c>
      <c r="L73" s="3" t="s">
        <v>34</v>
      </c>
      <c r="M73" s="5" t="s">
        <v>403</v>
      </c>
      <c r="N73" s="3" t="s">
        <v>36</v>
      </c>
      <c r="O73" s="16">
        <v>24.831</v>
      </c>
      <c r="P73" s="16">
        <v>121.01300000000001</v>
      </c>
      <c r="Q73" s="4" t="s">
        <v>277</v>
      </c>
      <c r="R73" s="3" t="s">
        <v>38</v>
      </c>
      <c r="S73" s="3" t="s">
        <v>39</v>
      </c>
      <c r="T73" s="5" t="s">
        <v>408</v>
      </c>
      <c r="U73" s="5" t="s">
        <v>409</v>
      </c>
      <c r="V73" s="3" t="s">
        <v>410</v>
      </c>
      <c r="W73" s="4" t="s">
        <v>43</v>
      </c>
    </row>
    <row r="74" spans="1:23" ht="70">
      <c r="A74" s="4">
        <v>72</v>
      </c>
      <c r="B74" s="4" t="s">
        <v>400</v>
      </c>
      <c r="C74" s="4" t="s">
        <v>401</v>
      </c>
      <c r="D74" s="3" t="s">
        <v>411</v>
      </c>
      <c r="E74" s="3" t="s">
        <v>114</v>
      </c>
      <c r="F74" s="4" t="s">
        <v>60</v>
      </c>
      <c r="G74" s="4" t="s">
        <v>29</v>
      </c>
      <c r="H74" s="3" t="s">
        <v>115</v>
      </c>
      <c r="I74" s="3" t="s">
        <v>116</v>
      </c>
      <c r="J74" s="4" t="s">
        <v>32</v>
      </c>
      <c r="K74" s="4" t="s">
        <v>33</v>
      </c>
      <c r="L74" s="3" t="s">
        <v>34</v>
      </c>
      <c r="M74" s="5" t="s">
        <v>403</v>
      </c>
      <c r="N74" s="3" t="s">
        <v>36</v>
      </c>
      <c r="O74" s="16">
        <v>24.814</v>
      </c>
      <c r="P74" s="16">
        <v>120.999</v>
      </c>
      <c r="Q74" s="4" t="s">
        <v>99</v>
      </c>
      <c r="R74" s="3" t="s">
        <v>38</v>
      </c>
      <c r="S74" s="3" t="s">
        <v>117</v>
      </c>
      <c r="T74" s="5" t="s">
        <v>412</v>
      </c>
      <c r="U74" s="5" t="s">
        <v>413</v>
      </c>
      <c r="V74" s="3" t="s">
        <v>414</v>
      </c>
      <c r="W74" s="4" t="s">
        <v>121</v>
      </c>
    </row>
    <row r="75" spans="1:23" ht="70">
      <c r="A75" s="4">
        <v>73</v>
      </c>
      <c r="B75" s="4" t="s">
        <v>400</v>
      </c>
      <c r="C75" s="4" t="s">
        <v>401</v>
      </c>
      <c r="D75" s="3" t="s">
        <v>415</v>
      </c>
      <c r="E75" s="3" t="s">
        <v>231</v>
      </c>
      <c r="F75" s="4" t="s">
        <v>60</v>
      </c>
      <c r="G75" s="4" t="s">
        <v>66</v>
      </c>
      <c r="H75" s="3" t="s">
        <v>232</v>
      </c>
      <c r="I75" s="3" t="s">
        <v>233</v>
      </c>
      <c r="J75" s="4" t="s">
        <v>49</v>
      </c>
      <c r="K75" s="4" t="s">
        <v>33</v>
      </c>
      <c r="L75" s="3" t="s">
        <v>34</v>
      </c>
      <c r="M75" s="5" t="s">
        <v>403</v>
      </c>
      <c r="N75" s="3" t="s">
        <v>36</v>
      </c>
      <c r="O75" s="16">
        <v>24.838999999999999</v>
      </c>
      <c r="P75" s="16">
        <v>121.02419999999999</v>
      </c>
      <c r="Q75" s="4" t="s">
        <v>277</v>
      </c>
      <c r="R75" s="3" t="s">
        <v>38</v>
      </c>
      <c r="S75" s="3" t="s">
        <v>146</v>
      </c>
      <c r="T75" s="5" t="s">
        <v>416</v>
      </c>
      <c r="U75" s="5" t="s">
        <v>417</v>
      </c>
      <c r="V75" s="3" t="s">
        <v>418</v>
      </c>
      <c r="W75" s="4" t="s">
        <v>150</v>
      </c>
    </row>
    <row r="76" spans="1:23" ht="70">
      <c r="A76" s="4">
        <v>74</v>
      </c>
      <c r="B76" s="4" t="s">
        <v>400</v>
      </c>
      <c r="C76" s="4" t="s">
        <v>401</v>
      </c>
      <c r="D76" s="3" t="s">
        <v>419</v>
      </c>
      <c r="E76" s="3" t="s">
        <v>231</v>
      </c>
      <c r="F76" s="4" t="s">
        <v>60</v>
      </c>
      <c r="G76" s="4" t="s">
        <v>66</v>
      </c>
      <c r="H76" s="3" t="s">
        <v>232</v>
      </c>
      <c r="I76" s="3" t="s">
        <v>233</v>
      </c>
      <c r="J76" s="4" t="s">
        <v>49</v>
      </c>
      <c r="K76" s="4" t="s">
        <v>33</v>
      </c>
      <c r="L76" s="3" t="s">
        <v>34</v>
      </c>
      <c r="M76" s="5" t="s">
        <v>403</v>
      </c>
      <c r="N76" s="3" t="s">
        <v>36</v>
      </c>
      <c r="O76" s="16">
        <v>24.816500000000001</v>
      </c>
      <c r="P76" s="16">
        <v>121.0175</v>
      </c>
      <c r="Q76" s="4" t="s">
        <v>99</v>
      </c>
      <c r="R76" s="3" t="s">
        <v>38</v>
      </c>
      <c r="S76" s="3" t="s">
        <v>100</v>
      </c>
      <c r="T76" s="5" t="s">
        <v>420</v>
      </c>
      <c r="U76" s="5" t="s">
        <v>421</v>
      </c>
      <c r="V76" s="3" t="s">
        <v>422</v>
      </c>
      <c r="W76" s="4" t="s">
        <v>104</v>
      </c>
    </row>
    <row r="77" spans="1:23" ht="70">
      <c r="A77" s="4">
        <v>75</v>
      </c>
      <c r="B77" s="4" t="s">
        <v>400</v>
      </c>
      <c r="C77" s="4" t="s">
        <v>401</v>
      </c>
      <c r="D77" s="3" t="s">
        <v>423</v>
      </c>
      <c r="E77" s="3" t="s">
        <v>265</v>
      </c>
      <c r="F77" s="4" t="s">
        <v>60</v>
      </c>
      <c r="G77" s="4" t="s">
        <v>66</v>
      </c>
      <c r="H77" s="3" t="s">
        <v>266</v>
      </c>
      <c r="I77" s="3" t="s">
        <v>267</v>
      </c>
      <c r="J77" s="4" t="s">
        <v>49</v>
      </c>
      <c r="K77" s="4" t="s">
        <v>33</v>
      </c>
      <c r="L77" s="3" t="s">
        <v>34</v>
      </c>
      <c r="M77" s="5" t="s">
        <v>403</v>
      </c>
      <c r="N77" s="3" t="s">
        <v>36</v>
      </c>
      <c r="O77" s="16">
        <v>24.8383</v>
      </c>
      <c r="P77" s="16">
        <v>121.0087</v>
      </c>
      <c r="Q77" s="4" t="s">
        <v>277</v>
      </c>
      <c r="R77" s="3" t="s">
        <v>38</v>
      </c>
      <c r="S77" s="3" t="s">
        <v>39</v>
      </c>
      <c r="T77" s="5" t="s">
        <v>424</v>
      </c>
      <c r="U77" s="5" t="s">
        <v>425</v>
      </c>
      <c r="V77" s="3" t="s">
        <v>426</v>
      </c>
      <c r="W77" s="4" t="s">
        <v>43</v>
      </c>
    </row>
    <row r="78" spans="1:23" ht="70">
      <c r="A78" s="4">
        <v>76</v>
      </c>
      <c r="B78" s="4" t="s">
        <v>400</v>
      </c>
      <c r="C78" s="4" t="s">
        <v>401</v>
      </c>
      <c r="D78" s="3" t="s">
        <v>427</v>
      </c>
      <c r="E78" s="3" t="s">
        <v>46</v>
      </c>
      <c r="F78" s="4" t="s">
        <v>205</v>
      </c>
      <c r="G78" s="4" t="s">
        <v>225</v>
      </c>
      <c r="H78" s="3" t="s">
        <v>47</v>
      </c>
      <c r="I78" s="3" t="s">
        <v>48</v>
      </c>
      <c r="J78" s="4" t="s">
        <v>49</v>
      </c>
      <c r="K78" s="4" t="s">
        <v>33</v>
      </c>
      <c r="L78" s="3" t="s">
        <v>34</v>
      </c>
      <c r="M78" s="5" t="s">
        <v>403</v>
      </c>
      <c r="N78" s="3" t="s">
        <v>36</v>
      </c>
      <c r="O78" s="16">
        <v>24.809200000000001</v>
      </c>
      <c r="P78" s="16">
        <v>121.03919999999999</v>
      </c>
      <c r="Q78" s="4" t="s">
        <v>277</v>
      </c>
      <c r="R78" s="3" t="s">
        <v>38</v>
      </c>
      <c r="S78" s="3" t="s">
        <v>39</v>
      </c>
      <c r="T78" s="5" t="s">
        <v>428</v>
      </c>
      <c r="U78" s="5" t="s">
        <v>429</v>
      </c>
      <c r="V78" s="3" t="s">
        <v>430</v>
      </c>
      <c r="W78" s="4" t="s">
        <v>43</v>
      </c>
    </row>
    <row r="79" spans="1:23" ht="70">
      <c r="A79" s="4">
        <v>77</v>
      </c>
      <c r="B79" s="4" t="s">
        <v>400</v>
      </c>
      <c r="C79" s="4" t="s">
        <v>431</v>
      </c>
      <c r="D79" s="3" t="s">
        <v>432</v>
      </c>
      <c r="E79" s="3" t="s">
        <v>91</v>
      </c>
      <c r="F79" s="4" t="s">
        <v>205</v>
      </c>
      <c r="G79" s="4" t="s">
        <v>225</v>
      </c>
      <c r="H79" s="3" t="s">
        <v>92</v>
      </c>
      <c r="I79" s="3" t="s">
        <v>93</v>
      </c>
      <c r="J79" s="4" t="s">
        <v>32</v>
      </c>
      <c r="K79" s="4" t="s">
        <v>33</v>
      </c>
      <c r="L79" s="3" t="s">
        <v>34</v>
      </c>
      <c r="M79" s="5" t="s">
        <v>403</v>
      </c>
      <c r="N79" s="3" t="s">
        <v>36</v>
      </c>
      <c r="O79" s="16">
        <v>24.872</v>
      </c>
      <c r="P79" s="16">
        <v>121.03700000000001</v>
      </c>
      <c r="Q79" s="4" t="s">
        <v>37</v>
      </c>
      <c r="R79" s="3" t="s">
        <v>38</v>
      </c>
      <c r="S79" s="3" t="s">
        <v>39</v>
      </c>
      <c r="T79" s="5" t="s">
        <v>433</v>
      </c>
      <c r="U79" s="5" t="s">
        <v>434</v>
      </c>
      <c r="V79" s="3" t="s">
        <v>435</v>
      </c>
      <c r="W79" s="4" t="s">
        <v>43</v>
      </c>
    </row>
    <row r="80" spans="1:23" ht="70">
      <c r="A80" s="4">
        <v>78</v>
      </c>
      <c r="B80" s="4" t="s">
        <v>436</v>
      </c>
      <c r="C80" s="4" t="s">
        <v>437</v>
      </c>
      <c r="D80" s="3" t="s">
        <v>438</v>
      </c>
      <c r="E80" s="3" t="s">
        <v>231</v>
      </c>
      <c r="F80" s="4" t="s">
        <v>60</v>
      </c>
      <c r="G80" s="4" t="s">
        <v>29</v>
      </c>
      <c r="H80" s="3" t="s">
        <v>232</v>
      </c>
      <c r="I80" s="3" t="s">
        <v>233</v>
      </c>
      <c r="J80" s="4" t="s">
        <v>49</v>
      </c>
      <c r="K80" s="4" t="s">
        <v>33</v>
      </c>
      <c r="L80" s="3" t="s">
        <v>34</v>
      </c>
      <c r="M80" s="5" t="s">
        <v>439</v>
      </c>
      <c r="N80" s="3" t="s">
        <v>36</v>
      </c>
      <c r="O80" s="16">
        <v>24.5654</v>
      </c>
      <c r="P80" s="16">
        <v>120.81480000000001</v>
      </c>
      <c r="Q80" s="4" t="s">
        <v>277</v>
      </c>
      <c r="R80" s="3" t="s">
        <v>38</v>
      </c>
      <c r="S80" s="3" t="s">
        <v>39</v>
      </c>
      <c r="T80" s="5" t="s">
        <v>440</v>
      </c>
      <c r="U80" s="5" t="s">
        <v>441</v>
      </c>
      <c r="V80" s="3" t="s">
        <v>442</v>
      </c>
      <c r="W80" s="4" t="s">
        <v>43</v>
      </c>
    </row>
    <row r="81" spans="1:23" ht="56">
      <c r="A81" s="4">
        <v>79</v>
      </c>
      <c r="B81" s="4" t="s">
        <v>436</v>
      </c>
      <c r="C81" s="4" t="s">
        <v>437</v>
      </c>
      <c r="D81" s="3" t="s">
        <v>443</v>
      </c>
      <c r="E81" s="3" t="s">
        <v>65</v>
      </c>
      <c r="F81" s="4" t="s">
        <v>60</v>
      </c>
      <c r="G81" s="4" t="s">
        <v>66</v>
      </c>
      <c r="H81" s="3" t="s">
        <v>67</v>
      </c>
      <c r="I81" s="3" t="s">
        <v>68</v>
      </c>
      <c r="J81" s="4" t="s">
        <v>49</v>
      </c>
      <c r="K81" s="4" t="s">
        <v>33</v>
      </c>
      <c r="L81" s="3" t="s">
        <v>34</v>
      </c>
      <c r="M81" s="5" t="s">
        <v>439</v>
      </c>
      <c r="N81" s="3" t="s">
        <v>36</v>
      </c>
      <c r="O81" s="16">
        <v>24.5595</v>
      </c>
      <c r="P81" s="16">
        <v>120.8095</v>
      </c>
      <c r="Q81" s="4" t="s">
        <v>145</v>
      </c>
      <c r="R81" s="3" t="s">
        <v>38</v>
      </c>
      <c r="S81" s="3" t="s">
        <v>39</v>
      </c>
      <c r="T81" s="5" t="s">
        <v>444</v>
      </c>
      <c r="U81" s="5" t="s">
        <v>445</v>
      </c>
      <c r="V81" s="3" t="s">
        <v>446</v>
      </c>
      <c r="W81" s="4" t="s">
        <v>43</v>
      </c>
    </row>
    <row r="82" spans="1:23" ht="70">
      <c r="A82" s="4">
        <v>80</v>
      </c>
      <c r="B82" s="4" t="s">
        <v>436</v>
      </c>
      <c r="C82" s="4" t="s">
        <v>447</v>
      </c>
      <c r="D82" s="3" t="s">
        <v>448</v>
      </c>
      <c r="E82" s="3" t="s">
        <v>91</v>
      </c>
      <c r="F82" s="4" t="s">
        <v>60</v>
      </c>
      <c r="G82" s="4" t="s">
        <v>29</v>
      </c>
      <c r="H82" s="3" t="s">
        <v>92</v>
      </c>
      <c r="I82" s="3" t="s">
        <v>93</v>
      </c>
      <c r="J82" s="4" t="s">
        <v>32</v>
      </c>
      <c r="K82" s="4" t="s">
        <v>33</v>
      </c>
      <c r="L82" s="3" t="s">
        <v>34</v>
      </c>
      <c r="M82" s="5" t="s">
        <v>439</v>
      </c>
      <c r="N82" s="3" t="s">
        <v>36</v>
      </c>
      <c r="O82" s="16">
        <v>24.696000000000002</v>
      </c>
      <c r="P82" s="16">
        <v>120.88200000000001</v>
      </c>
      <c r="Q82" s="4" t="s">
        <v>37</v>
      </c>
      <c r="R82" s="3" t="s">
        <v>38</v>
      </c>
      <c r="S82" s="3" t="s">
        <v>39</v>
      </c>
      <c r="T82" s="5" t="s">
        <v>449</v>
      </c>
      <c r="U82" s="5" t="s">
        <v>450</v>
      </c>
      <c r="V82" s="3" t="s">
        <v>451</v>
      </c>
      <c r="W82" s="4" t="s">
        <v>43</v>
      </c>
    </row>
    <row r="83" spans="1:23" ht="70">
      <c r="A83" s="4">
        <v>81</v>
      </c>
      <c r="B83" s="4" t="s">
        <v>436</v>
      </c>
      <c r="C83" s="4" t="s">
        <v>447</v>
      </c>
      <c r="D83" s="3" t="s">
        <v>452</v>
      </c>
      <c r="E83" s="3" t="s">
        <v>231</v>
      </c>
      <c r="F83" s="4" t="s">
        <v>60</v>
      </c>
      <c r="G83" s="4" t="s">
        <v>66</v>
      </c>
      <c r="H83" s="3" t="s">
        <v>232</v>
      </c>
      <c r="I83" s="3" t="s">
        <v>233</v>
      </c>
      <c r="J83" s="4" t="s">
        <v>49</v>
      </c>
      <c r="K83" s="4" t="s">
        <v>33</v>
      </c>
      <c r="L83" s="3" t="s">
        <v>34</v>
      </c>
      <c r="M83" s="5" t="s">
        <v>439</v>
      </c>
      <c r="N83" s="3" t="s">
        <v>36</v>
      </c>
      <c r="O83" s="16">
        <v>24.692</v>
      </c>
      <c r="P83" s="16">
        <v>120.872</v>
      </c>
      <c r="Q83" s="4" t="s">
        <v>277</v>
      </c>
      <c r="R83" s="3" t="s">
        <v>38</v>
      </c>
      <c r="S83" s="3" t="s">
        <v>39</v>
      </c>
      <c r="T83" s="5" t="s">
        <v>453</v>
      </c>
      <c r="U83" s="5" t="s">
        <v>454</v>
      </c>
      <c r="V83" s="3" t="s">
        <v>455</v>
      </c>
      <c r="W83" s="4" t="s">
        <v>43</v>
      </c>
    </row>
    <row r="84" spans="1:23" ht="70">
      <c r="A84" s="4">
        <v>82</v>
      </c>
      <c r="B84" s="4" t="s">
        <v>436</v>
      </c>
      <c r="C84" s="4" t="s">
        <v>456</v>
      </c>
      <c r="D84" s="3" t="s">
        <v>457</v>
      </c>
      <c r="E84" s="3" t="s">
        <v>91</v>
      </c>
      <c r="F84" s="4" t="s">
        <v>60</v>
      </c>
      <c r="G84" s="4" t="s">
        <v>66</v>
      </c>
      <c r="H84" s="3" t="s">
        <v>92</v>
      </c>
      <c r="I84" s="3" t="s">
        <v>93</v>
      </c>
      <c r="J84" s="4" t="s">
        <v>32</v>
      </c>
      <c r="K84" s="4" t="s">
        <v>33</v>
      </c>
      <c r="L84" s="3" t="s">
        <v>34</v>
      </c>
      <c r="M84" s="5" t="s">
        <v>439</v>
      </c>
      <c r="N84" s="3" t="s">
        <v>36</v>
      </c>
      <c r="O84" s="16">
        <v>24.683</v>
      </c>
      <c r="P84" s="16">
        <v>120.91</v>
      </c>
      <c r="Q84" s="4" t="s">
        <v>37</v>
      </c>
      <c r="R84" s="3" t="s">
        <v>38</v>
      </c>
      <c r="S84" s="3" t="s">
        <v>39</v>
      </c>
      <c r="T84" s="5" t="s">
        <v>458</v>
      </c>
      <c r="U84" s="5" t="s">
        <v>459</v>
      </c>
      <c r="V84" s="3" t="s">
        <v>460</v>
      </c>
      <c r="W84" s="4" t="s">
        <v>43</v>
      </c>
    </row>
    <row r="85" spans="1:23" ht="56">
      <c r="A85" s="4">
        <v>83</v>
      </c>
      <c r="B85" s="4" t="s">
        <v>436</v>
      </c>
      <c r="C85" s="4" t="s">
        <v>456</v>
      </c>
      <c r="D85" s="3" t="s">
        <v>461</v>
      </c>
      <c r="E85" s="3" t="s">
        <v>231</v>
      </c>
      <c r="F85" s="4" t="s">
        <v>60</v>
      </c>
      <c r="G85" s="4" t="s">
        <v>66</v>
      </c>
      <c r="H85" s="3" t="s">
        <v>232</v>
      </c>
      <c r="I85" s="3" t="s">
        <v>233</v>
      </c>
      <c r="J85" s="4" t="s">
        <v>49</v>
      </c>
      <c r="K85" s="4" t="s">
        <v>33</v>
      </c>
      <c r="L85" s="3" t="s">
        <v>34</v>
      </c>
      <c r="M85" s="5" t="s">
        <v>439</v>
      </c>
      <c r="N85" s="3" t="s">
        <v>36</v>
      </c>
      <c r="O85" s="16">
        <v>24.6875</v>
      </c>
      <c r="P85" s="16">
        <v>120.907</v>
      </c>
      <c r="Q85" s="4" t="s">
        <v>277</v>
      </c>
      <c r="R85" s="3" t="s">
        <v>38</v>
      </c>
      <c r="S85" s="3" t="s">
        <v>39</v>
      </c>
      <c r="T85" s="5" t="s">
        <v>462</v>
      </c>
      <c r="U85" s="5" t="s">
        <v>463</v>
      </c>
      <c r="V85" s="3" t="s">
        <v>464</v>
      </c>
      <c r="W85" s="4" t="s">
        <v>43</v>
      </c>
    </row>
    <row r="86" spans="1:23" ht="70">
      <c r="A86" s="4">
        <v>84</v>
      </c>
      <c r="B86" s="4" t="s">
        <v>436</v>
      </c>
      <c r="C86" s="4" t="s">
        <v>465</v>
      </c>
      <c r="D86" s="3" t="s">
        <v>466</v>
      </c>
      <c r="E86" s="3" t="s">
        <v>114</v>
      </c>
      <c r="F86" s="4" t="s">
        <v>205</v>
      </c>
      <c r="G86" s="4" t="s">
        <v>225</v>
      </c>
      <c r="H86" s="3" t="s">
        <v>115</v>
      </c>
      <c r="I86" s="3" t="s">
        <v>116</v>
      </c>
      <c r="J86" s="4" t="s">
        <v>32</v>
      </c>
      <c r="K86" s="4" t="s">
        <v>33</v>
      </c>
      <c r="L86" s="3" t="s">
        <v>34</v>
      </c>
      <c r="M86" s="5" t="s">
        <v>439</v>
      </c>
      <c r="N86" s="3" t="s">
        <v>36</v>
      </c>
      <c r="O86" s="16">
        <v>24.61</v>
      </c>
      <c r="P86" s="16">
        <v>120.79</v>
      </c>
      <c r="Q86" s="4" t="s">
        <v>99</v>
      </c>
      <c r="R86" s="3" t="s">
        <v>38</v>
      </c>
      <c r="S86" s="3" t="s">
        <v>117</v>
      </c>
      <c r="T86" s="5" t="s">
        <v>467</v>
      </c>
      <c r="U86" s="5" t="s">
        <v>468</v>
      </c>
      <c r="V86" s="3" t="s">
        <v>469</v>
      </c>
      <c r="W86" s="4" t="s">
        <v>121</v>
      </c>
    </row>
    <row r="87" spans="1:23" ht="70">
      <c r="A87" s="4">
        <v>85</v>
      </c>
      <c r="B87" s="4" t="s">
        <v>436</v>
      </c>
      <c r="C87" s="4" t="s">
        <v>470</v>
      </c>
      <c r="D87" s="3" t="s">
        <v>471</v>
      </c>
      <c r="E87" s="3" t="s">
        <v>231</v>
      </c>
      <c r="F87" s="4" t="s">
        <v>60</v>
      </c>
      <c r="G87" s="4" t="s">
        <v>66</v>
      </c>
      <c r="H87" s="3" t="s">
        <v>232</v>
      </c>
      <c r="I87" s="3" t="s">
        <v>233</v>
      </c>
      <c r="J87" s="4" t="s">
        <v>49</v>
      </c>
      <c r="K87" s="4" t="s">
        <v>33</v>
      </c>
      <c r="L87" s="3" t="s">
        <v>34</v>
      </c>
      <c r="M87" s="5" t="s">
        <v>439</v>
      </c>
      <c r="N87" s="3" t="s">
        <v>36</v>
      </c>
      <c r="O87" s="16">
        <v>24.441800000000001</v>
      </c>
      <c r="P87" s="16">
        <v>120.6557</v>
      </c>
      <c r="Q87" s="4" t="s">
        <v>277</v>
      </c>
      <c r="R87" s="3" t="s">
        <v>38</v>
      </c>
      <c r="S87" s="3" t="s">
        <v>39</v>
      </c>
      <c r="T87" s="5" t="s">
        <v>472</v>
      </c>
      <c r="U87" s="5" t="s">
        <v>473</v>
      </c>
      <c r="V87" s="3" t="s">
        <v>474</v>
      </c>
      <c r="W87" s="4" t="s">
        <v>43</v>
      </c>
    </row>
    <row r="88" spans="1:23" ht="56">
      <c r="A88" s="4">
        <v>86</v>
      </c>
      <c r="B88" s="4" t="s">
        <v>436</v>
      </c>
      <c r="C88" s="4" t="s">
        <v>475</v>
      </c>
      <c r="D88" s="3" t="s">
        <v>476</v>
      </c>
      <c r="E88" s="3" t="s">
        <v>65</v>
      </c>
      <c r="F88" s="4" t="s">
        <v>60</v>
      </c>
      <c r="G88" s="4" t="s">
        <v>66</v>
      </c>
      <c r="H88" s="3" t="s">
        <v>67</v>
      </c>
      <c r="I88" s="3" t="s">
        <v>68</v>
      </c>
      <c r="J88" s="4" t="s">
        <v>32</v>
      </c>
      <c r="K88" s="4" t="s">
        <v>33</v>
      </c>
      <c r="L88" s="3" t="s">
        <v>34</v>
      </c>
      <c r="M88" s="5" t="s">
        <v>439</v>
      </c>
      <c r="N88" s="3" t="s">
        <v>36</v>
      </c>
      <c r="O88" s="16">
        <v>24.486000000000001</v>
      </c>
      <c r="P88" s="16">
        <v>120.779</v>
      </c>
      <c r="Q88" s="4" t="s">
        <v>37</v>
      </c>
      <c r="R88" s="3" t="s">
        <v>38</v>
      </c>
      <c r="S88" s="3" t="s">
        <v>39</v>
      </c>
      <c r="T88" s="5" t="s">
        <v>477</v>
      </c>
      <c r="U88" s="5" t="s">
        <v>478</v>
      </c>
      <c r="V88" s="3" t="s">
        <v>479</v>
      </c>
      <c r="W88" s="4" t="s">
        <v>43</v>
      </c>
    </row>
    <row r="89" spans="1:23" ht="70">
      <c r="A89" s="4">
        <v>87</v>
      </c>
      <c r="B89" s="4" t="s">
        <v>480</v>
      </c>
      <c r="C89" s="4" t="s">
        <v>481</v>
      </c>
      <c r="D89" s="3" t="s">
        <v>482</v>
      </c>
      <c r="E89" s="3" t="s">
        <v>27</v>
      </c>
      <c r="F89" s="4" t="s">
        <v>28</v>
      </c>
      <c r="G89" s="4" t="s">
        <v>29</v>
      </c>
      <c r="H89" s="3" t="s">
        <v>30</v>
      </c>
      <c r="I89" s="3" t="s">
        <v>31</v>
      </c>
      <c r="J89" s="4" t="s">
        <v>32</v>
      </c>
      <c r="K89" s="4" t="s">
        <v>33</v>
      </c>
      <c r="L89" s="3" t="s">
        <v>34</v>
      </c>
      <c r="M89" s="5" t="s">
        <v>483</v>
      </c>
      <c r="N89" s="3" t="s">
        <v>36</v>
      </c>
      <c r="O89" s="16">
        <v>24.189</v>
      </c>
      <c r="P89" s="16">
        <v>120.65300000000001</v>
      </c>
      <c r="Q89" s="4" t="s">
        <v>37</v>
      </c>
      <c r="R89" s="3" t="s">
        <v>38</v>
      </c>
      <c r="S89" s="3" t="s">
        <v>39</v>
      </c>
      <c r="T89" s="5" t="s">
        <v>484</v>
      </c>
      <c r="U89" s="5" t="s">
        <v>485</v>
      </c>
      <c r="V89" s="3" t="s">
        <v>486</v>
      </c>
      <c r="W89" s="4" t="s">
        <v>43</v>
      </c>
    </row>
    <row r="90" spans="1:23" ht="70">
      <c r="A90" s="4">
        <v>88</v>
      </c>
      <c r="B90" s="4" t="s">
        <v>480</v>
      </c>
      <c r="C90" s="4" t="s">
        <v>481</v>
      </c>
      <c r="D90" s="3" t="s">
        <v>487</v>
      </c>
      <c r="E90" s="3" t="s">
        <v>27</v>
      </c>
      <c r="F90" s="4" t="s">
        <v>28</v>
      </c>
      <c r="G90" s="4" t="s">
        <v>29</v>
      </c>
      <c r="H90" s="3" t="s">
        <v>30</v>
      </c>
      <c r="I90" s="3" t="s">
        <v>31</v>
      </c>
      <c r="J90" s="4" t="s">
        <v>32</v>
      </c>
      <c r="K90" s="4" t="s">
        <v>33</v>
      </c>
      <c r="L90" s="3" t="s">
        <v>34</v>
      </c>
      <c r="M90" s="5" t="s">
        <v>483</v>
      </c>
      <c r="N90" s="3" t="s">
        <v>36</v>
      </c>
      <c r="O90" s="16">
        <v>24.207000000000001</v>
      </c>
      <c r="P90" s="16">
        <v>120.598</v>
      </c>
      <c r="Q90" s="4" t="s">
        <v>37</v>
      </c>
      <c r="R90" s="3" t="s">
        <v>38</v>
      </c>
      <c r="S90" s="3" t="s">
        <v>39</v>
      </c>
      <c r="T90" s="5" t="s">
        <v>488</v>
      </c>
      <c r="U90" s="5" t="s">
        <v>489</v>
      </c>
      <c r="V90" s="3" t="s">
        <v>490</v>
      </c>
      <c r="W90" s="4" t="s">
        <v>43</v>
      </c>
    </row>
    <row r="91" spans="1:23" ht="56">
      <c r="A91" s="4">
        <v>89</v>
      </c>
      <c r="B91" s="4" t="s">
        <v>480</v>
      </c>
      <c r="C91" s="4" t="s">
        <v>491</v>
      </c>
      <c r="D91" s="3" t="s">
        <v>492</v>
      </c>
      <c r="E91" s="3" t="s">
        <v>46</v>
      </c>
      <c r="F91" s="4" t="s">
        <v>28</v>
      </c>
      <c r="G91" s="4" t="s">
        <v>29</v>
      </c>
      <c r="H91" s="3" t="s">
        <v>47</v>
      </c>
      <c r="I91" s="3" t="s">
        <v>48</v>
      </c>
      <c r="J91" s="4" t="s">
        <v>49</v>
      </c>
      <c r="K91" s="4" t="s">
        <v>33</v>
      </c>
      <c r="L91" s="3" t="s">
        <v>34</v>
      </c>
      <c r="M91" s="5" t="s">
        <v>483</v>
      </c>
      <c r="N91" s="3" t="s">
        <v>36</v>
      </c>
      <c r="O91" s="16">
        <v>24.1448</v>
      </c>
      <c r="P91" s="16">
        <v>120.6836</v>
      </c>
      <c r="Q91" s="4" t="s">
        <v>145</v>
      </c>
      <c r="R91" s="3" t="s">
        <v>38</v>
      </c>
      <c r="S91" s="3" t="s">
        <v>39</v>
      </c>
      <c r="T91" s="5" t="s">
        <v>493</v>
      </c>
      <c r="U91" s="5" t="s">
        <v>494</v>
      </c>
      <c r="V91" s="3" t="s">
        <v>495</v>
      </c>
      <c r="W91" s="4" t="s">
        <v>43</v>
      </c>
    </row>
    <row r="92" spans="1:23" ht="70">
      <c r="A92" s="4">
        <v>90</v>
      </c>
      <c r="B92" s="4" t="s">
        <v>480</v>
      </c>
      <c r="C92" s="4" t="s">
        <v>496</v>
      </c>
      <c r="D92" s="3" t="s">
        <v>497</v>
      </c>
      <c r="E92" s="3" t="s">
        <v>27</v>
      </c>
      <c r="F92" s="4" t="s">
        <v>28</v>
      </c>
      <c r="G92" s="4" t="s">
        <v>29</v>
      </c>
      <c r="H92" s="3" t="s">
        <v>30</v>
      </c>
      <c r="I92" s="3" t="s">
        <v>31</v>
      </c>
      <c r="J92" s="4" t="s">
        <v>32</v>
      </c>
      <c r="K92" s="4" t="s">
        <v>33</v>
      </c>
      <c r="L92" s="3" t="s">
        <v>34</v>
      </c>
      <c r="M92" s="5" t="s">
        <v>483</v>
      </c>
      <c r="N92" s="3" t="s">
        <v>36</v>
      </c>
      <c r="O92" s="16">
        <v>24.141999999999999</v>
      </c>
      <c r="P92" s="16">
        <v>120.64700000000001</v>
      </c>
      <c r="Q92" s="4" t="s">
        <v>37</v>
      </c>
      <c r="R92" s="3" t="s">
        <v>38</v>
      </c>
      <c r="S92" s="3" t="s">
        <v>39</v>
      </c>
      <c r="T92" s="5" t="s">
        <v>498</v>
      </c>
      <c r="U92" s="5" t="s">
        <v>499</v>
      </c>
      <c r="V92" s="3" t="s">
        <v>500</v>
      </c>
      <c r="W92" s="4" t="s">
        <v>43</v>
      </c>
    </row>
    <row r="93" spans="1:23" ht="70">
      <c r="A93" s="4">
        <v>91</v>
      </c>
      <c r="B93" s="4" t="s">
        <v>480</v>
      </c>
      <c r="C93" s="4" t="s">
        <v>481</v>
      </c>
      <c r="D93" s="3" t="s">
        <v>501</v>
      </c>
      <c r="E93" s="3" t="s">
        <v>265</v>
      </c>
      <c r="F93" s="4" t="s">
        <v>28</v>
      </c>
      <c r="G93" s="4" t="s">
        <v>29</v>
      </c>
      <c r="H93" s="3" t="s">
        <v>266</v>
      </c>
      <c r="I93" s="3" t="s">
        <v>267</v>
      </c>
      <c r="J93" s="4" t="s">
        <v>49</v>
      </c>
      <c r="K93" s="4" t="s">
        <v>33</v>
      </c>
      <c r="L93" s="3" t="s">
        <v>34</v>
      </c>
      <c r="M93" s="5" t="s">
        <v>483</v>
      </c>
      <c r="N93" s="3" t="s">
        <v>36</v>
      </c>
      <c r="O93" s="16">
        <v>24.1676</v>
      </c>
      <c r="P93" s="16">
        <v>120.6382</v>
      </c>
      <c r="Q93" s="4" t="s">
        <v>145</v>
      </c>
      <c r="R93" s="3" t="s">
        <v>38</v>
      </c>
      <c r="S93" s="3" t="s">
        <v>39</v>
      </c>
      <c r="T93" s="5" t="s">
        <v>502</v>
      </c>
      <c r="U93" s="5" t="s">
        <v>503</v>
      </c>
      <c r="V93" s="3" t="s">
        <v>504</v>
      </c>
      <c r="W93" s="4" t="s">
        <v>43</v>
      </c>
    </row>
    <row r="94" spans="1:23" ht="70">
      <c r="A94" s="4">
        <v>92</v>
      </c>
      <c r="B94" s="4" t="s">
        <v>480</v>
      </c>
      <c r="C94" s="4" t="s">
        <v>505</v>
      </c>
      <c r="D94" s="3" t="s">
        <v>506</v>
      </c>
      <c r="E94" s="3" t="s">
        <v>65</v>
      </c>
      <c r="F94" s="4" t="s">
        <v>60</v>
      </c>
      <c r="G94" s="4" t="s">
        <v>66</v>
      </c>
      <c r="H94" s="3" t="s">
        <v>67</v>
      </c>
      <c r="I94" s="3" t="s">
        <v>68</v>
      </c>
      <c r="J94" s="4" t="s">
        <v>32</v>
      </c>
      <c r="K94" s="4" t="s">
        <v>33</v>
      </c>
      <c r="L94" s="3" t="s">
        <v>34</v>
      </c>
      <c r="M94" s="5" t="s">
        <v>483</v>
      </c>
      <c r="N94" s="3" t="s">
        <v>36</v>
      </c>
      <c r="O94" s="16">
        <v>24.152000000000001</v>
      </c>
      <c r="P94" s="16">
        <v>120.724</v>
      </c>
      <c r="Q94" s="4" t="s">
        <v>37</v>
      </c>
      <c r="R94" s="3" t="s">
        <v>38</v>
      </c>
      <c r="S94" s="3" t="s">
        <v>39</v>
      </c>
      <c r="T94" s="5" t="s">
        <v>507</v>
      </c>
      <c r="U94" s="5" t="s">
        <v>508</v>
      </c>
      <c r="V94" s="3" t="s">
        <v>509</v>
      </c>
      <c r="W94" s="4" t="s">
        <v>43</v>
      </c>
    </row>
    <row r="95" spans="1:23" ht="56">
      <c r="A95" s="4">
        <v>93</v>
      </c>
      <c r="B95" s="4" t="s">
        <v>480</v>
      </c>
      <c r="C95" s="4" t="s">
        <v>505</v>
      </c>
      <c r="D95" s="3" t="s">
        <v>510</v>
      </c>
      <c r="E95" s="3" t="s">
        <v>231</v>
      </c>
      <c r="F95" s="4" t="s">
        <v>60</v>
      </c>
      <c r="G95" s="4" t="s">
        <v>66</v>
      </c>
      <c r="H95" s="3" t="s">
        <v>232</v>
      </c>
      <c r="I95" s="3" t="s">
        <v>233</v>
      </c>
      <c r="J95" s="4" t="s">
        <v>49</v>
      </c>
      <c r="K95" s="4" t="s">
        <v>33</v>
      </c>
      <c r="L95" s="3" t="s">
        <v>34</v>
      </c>
      <c r="M95" s="5" t="s">
        <v>483</v>
      </c>
      <c r="N95" s="3" t="s">
        <v>36</v>
      </c>
      <c r="O95" s="16">
        <v>24.131799999999998</v>
      </c>
      <c r="P95" s="16">
        <v>120.7146</v>
      </c>
      <c r="Q95" s="4" t="s">
        <v>277</v>
      </c>
      <c r="R95" s="3" t="s">
        <v>38</v>
      </c>
      <c r="S95" s="3" t="s">
        <v>39</v>
      </c>
      <c r="T95" s="5" t="s">
        <v>511</v>
      </c>
      <c r="U95" s="5" t="s">
        <v>512</v>
      </c>
      <c r="V95" s="3" t="s">
        <v>513</v>
      </c>
      <c r="W95" s="4" t="s">
        <v>43</v>
      </c>
    </row>
    <row r="96" spans="1:23" ht="56">
      <c r="A96" s="4">
        <v>94</v>
      </c>
      <c r="B96" s="4" t="s">
        <v>480</v>
      </c>
      <c r="C96" s="4" t="s">
        <v>514</v>
      </c>
      <c r="D96" s="3" t="s">
        <v>515</v>
      </c>
      <c r="E96" s="3" t="s">
        <v>74</v>
      </c>
      <c r="F96" s="4" t="s">
        <v>60</v>
      </c>
      <c r="G96" s="4" t="s">
        <v>66</v>
      </c>
      <c r="H96" s="3" t="s">
        <v>75</v>
      </c>
      <c r="I96" s="3" t="s">
        <v>76</v>
      </c>
      <c r="J96" s="4" t="s">
        <v>32</v>
      </c>
      <c r="K96" s="4" t="s">
        <v>33</v>
      </c>
      <c r="L96" s="3" t="s">
        <v>34</v>
      </c>
      <c r="M96" s="5" t="s">
        <v>483</v>
      </c>
      <c r="N96" s="3" t="s">
        <v>36</v>
      </c>
      <c r="O96" s="16">
        <v>24.257000000000001</v>
      </c>
      <c r="P96" s="16">
        <v>120.724</v>
      </c>
      <c r="Q96" s="4" t="s">
        <v>37</v>
      </c>
      <c r="R96" s="3" t="s">
        <v>38</v>
      </c>
      <c r="S96" s="3" t="s">
        <v>39</v>
      </c>
      <c r="T96" s="5" t="s">
        <v>516</v>
      </c>
      <c r="U96" s="5" t="s">
        <v>517</v>
      </c>
      <c r="V96" s="3" t="s">
        <v>518</v>
      </c>
      <c r="W96" s="4" t="s">
        <v>43</v>
      </c>
    </row>
    <row r="97" spans="1:23" ht="70">
      <c r="A97" s="4">
        <v>95</v>
      </c>
      <c r="B97" s="4" t="s">
        <v>480</v>
      </c>
      <c r="C97" s="4" t="s">
        <v>496</v>
      </c>
      <c r="D97" s="3" t="s">
        <v>519</v>
      </c>
      <c r="E97" s="3" t="s">
        <v>46</v>
      </c>
      <c r="F97" s="4" t="s">
        <v>60</v>
      </c>
      <c r="G97" s="4" t="s">
        <v>66</v>
      </c>
      <c r="H97" s="3" t="s">
        <v>47</v>
      </c>
      <c r="I97" s="3" t="s">
        <v>48</v>
      </c>
      <c r="J97" s="4" t="s">
        <v>49</v>
      </c>
      <c r="K97" s="4" t="s">
        <v>33</v>
      </c>
      <c r="L97" s="3" t="s">
        <v>34</v>
      </c>
      <c r="M97" s="5" t="s">
        <v>483</v>
      </c>
      <c r="N97" s="3" t="s">
        <v>36</v>
      </c>
      <c r="O97" s="16">
        <v>24.131900000000002</v>
      </c>
      <c r="P97" s="16">
        <v>120.6414</v>
      </c>
      <c r="Q97" s="4" t="s">
        <v>145</v>
      </c>
      <c r="R97" s="3" t="s">
        <v>38</v>
      </c>
      <c r="S97" s="3" t="s">
        <v>39</v>
      </c>
      <c r="T97" s="5" t="s">
        <v>520</v>
      </c>
      <c r="U97" s="5" t="s">
        <v>521</v>
      </c>
      <c r="V97" s="3" t="s">
        <v>522</v>
      </c>
      <c r="W97" s="4" t="s">
        <v>43</v>
      </c>
    </row>
    <row r="98" spans="1:23" ht="56">
      <c r="A98" s="4">
        <v>96</v>
      </c>
      <c r="B98" s="4" t="s">
        <v>480</v>
      </c>
      <c r="C98" s="4" t="s">
        <v>523</v>
      </c>
      <c r="D98" s="3" t="s">
        <v>524</v>
      </c>
      <c r="E98" s="3" t="s">
        <v>74</v>
      </c>
      <c r="F98" s="4" t="s">
        <v>60</v>
      </c>
      <c r="G98" s="4" t="s">
        <v>66</v>
      </c>
      <c r="H98" s="3" t="s">
        <v>75</v>
      </c>
      <c r="I98" s="3" t="s">
        <v>76</v>
      </c>
      <c r="J98" s="4" t="s">
        <v>49</v>
      </c>
      <c r="K98" s="4" t="s">
        <v>143</v>
      </c>
      <c r="L98" s="3" t="s">
        <v>144</v>
      </c>
      <c r="M98" s="5" t="s">
        <v>483</v>
      </c>
      <c r="N98" s="3" t="s">
        <v>36</v>
      </c>
      <c r="O98" s="16">
        <v>24.151800000000001</v>
      </c>
      <c r="P98" s="16">
        <v>120.6636</v>
      </c>
      <c r="Q98" s="4" t="s">
        <v>145</v>
      </c>
      <c r="R98" s="3" t="s">
        <v>38</v>
      </c>
      <c r="S98" s="3" t="s">
        <v>146</v>
      </c>
      <c r="T98" s="5" t="s">
        <v>525</v>
      </c>
      <c r="U98" s="5" t="s">
        <v>526</v>
      </c>
      <c r="V98" s="3" t="s">
        <v>527</v>
      </c>
      <c r="W98" s="4" t="s">
        <v>150</v>
      </c>
    </row>
    <row r="99" spans="1:23" ht="56">
      <c r="A99" s="4">
        <v>97</v>
      </c>
      <c r="B99" s="4" t="s">
        <v>480</v>
      </c>
      <c r="C99" s="4" t="s">
        <v>523</v>
      </c>
      <c r="D99" s="3" t="s">
        <v>528</v>
      </c>
      <c r="E99" s="3" t="s">
        <v>529</v>
      </c>
      <c r="F99" s="4" t="s">
        <v>28</v>
      </c>
      <c r="G99" s="4" t="s">
        <v>29</v>
      </c>
      <c r="H99" s="3" t="s">
        <v>530</v>
      </c>
      <c r="I99" s="3" t="s">
        <v>531</v>
      </c>
      <c r="J99" s="4" t="s">
        <v>49</v>
      </c>
      <c r="K99" s="4" t="s">
        <v>143</v>
      </c>
      <c r="L99" s="3" t="s">
        <v>144</v>
      </c>
      <c r="M99" s="5" t="s">
        <v>483</v>
      </c>
      <c r="N99" s="3" t="s">
        <v>36</v>
      </c>
      <c r="O99" s="16">
        <v>24.1508</v>
      </c>
      <c r="P99" s="16">
        <v>120.6647</v>
      </c>
      <c r="Q99" s="4" t="s">
        <v>99</v>
      </c>
      <c r="R99" s="3" t="s">
        <v>38</v>
      </c>
      <c r="S99" s="3" t="s">
        <v>117</v>
      </c>
      <c r="T99" s="5" t="s">
        <v>532</v>
      </c>
      <c r="U99" s="5" t="s">
        <v>533</v>
      </c>
      <c r="V99" s="3" t="s">
        <v>534</v>
      </c>
      <c r="W99" s="4" t="s">
        <v>121</v>
      </c>
    </row>
    <row r="100" spans="1:23" ht="70">
      <c r="A100" s="4">
        <v>98</v>
      </c>
      <c r="B100" s="4" t="s">
        <v>480</v>
      </c>
      <c r="C100" s="4" t="s">
        <v>535</v>
      </c>
      <c r="D100" s="3" t="s">
        <v>536</v>
      </c>
      <c r="E100" s="3" t="s">
        <v>65</v>
      </c>
      <c r="F100" s="4" t="s">
        <v>60</v>
      </c>
      <c r="G100" s="4" t="s">
        <v>66</v>
      </c>
      <c r="H100" s="3" t="s">
        <v>67</v>
      </c>
      <c r="I100" s="3" t="s">
        <v>68</v>
      </c>
      <c r="J100" s="4" t="s">
        <v>49</v>
      </c>
      <c r="K100" s="4" t="s">
        <v>33</v>
      </c>
      <c r="L100" s="3" t="s">
        <v>34</v>
      </c>
      <c r="M100" s="5" t="s">
        <v>483</v>
      </c>
      <c r="N100" s="3" t="s">
        <v>36</v>
      </c>
      <c r="O100" s="16">
        <v>24.269500000000001</v>
      </c>
      <c r="P100" s="16">
        <v>120.5765</v>
      </c>
      <c r="Q100" s="4" t="s">
        <v>277</v>
      </c>
      <c r="R100" s="3" t="s">
        <v>38</v>
      </c>
      <c r="S100" s="3" t="s">
        <v>39</v>
      </c>
      <c r="T100" s="5" t="s">
        <v>537</v>
      </c>
      <c r="U100" s="5" t="s">
        <v>538</v>
      </c>
      <c r="V100" s="3" t="s">
        <v>539</v>
      </c>
      <c r="W100" s="4" t="s">
        <v>43</v>
      </c>
    </row>
    <row r="101" spans="1:23" ht="70">
      <c r="A101" s="4">
        <v>99</v>
      </c>
      <c r="B101" s="4" t="s">
        <v>480</v>
      </c>
      <c r="C101" s="4" t="s">
        <v>540</v>
      </c>
      <c r="D101" s="3" t="s">
        <v>541</v>
      </c>
      <c r="E101" s="3" t="s">
        <v>91</v>
      </c>
      <c r="F101" s="4" t="s">
        <v>60</v>
      </c>
      <c r="G101" s="4" t="s">
        <v>66</v>
      </c>
      <c r="H101" s="3" t="s">
        <v>92</v>
      </c>
      <c r="I101" s="3" t="s">
        <v>93</v>
      </c>
      <c r="J101" s="4" t="s">
        <v>49</v>
      </c>
      <c r="K101" s="4" t="s">
        <v>33</v>
      </c>
      <c r="L101" s="3" t="s">
        <v>34</v>
      </c>
      <c r="M101" s="5" t="s">
        <v>483</v>
      </c>
      <c r="N101" s="3" t="s">
        <v>36</v>
      </c>
      <c r="O101" s="16">
        <v>24.104900000000001</v>
      </c>
      <c r="P101" s="16">
        <v>120.6819</v>
      </c>
      <c r="Q101" s="4" t="s">
        <v>145</v>
      </c>
      <c r="R101" s="3" t="s">
        <v>38</v>
      </c>
      <c r="S101" s="3" t="s">
        <v>39</v>
      </c>
      <c r="T101" s="5" t="s">
        <v>542</v>
      </c>
      <c r="U101" s="5" t="s">
        <v>543</v>
      </c>
      <c r="V101" s="3" t="s">
        <v>544</v>
      </c>
      <c r="W101" s="4" t="s">
        <v>43</v>
      </c>
    </row>
    <row r="102" spans="1:23" ht="70">
      <c r="A102" s="4">
        <v>100</v>
      </c>
      <c r="B102" s="4" t="s">
        <v>480</v>
      </c>
      <c r="C102" s="4" t="s">
        <v>505</v>
      </c>
      <c r="D102" s="3" t="s">
        <v>545</v>
      </c>
      <c r="E102" s="3" t="s">
        <v>91</v>
      </c>
      <c r="F102" s="4" t="s">
        <v>205</v>
      </c>
      <c r="G102" s="4" t="s">
        <v>225</v>
      </c>
      <c r="H102" s="3" t="s">
        <v>92</v>
      </c>
      <c r="I102" s="3" t="s">
        <v>93</v>
      </c>
      <c r="J102" s="4" t="s">
        <v>49</v>
      </c>
      <c r="K102" s="4" t="s">
        <v>33</v>
      </c>
      <c r="L102" s="3" t="s">
        <v>34</v>
      </c>
      <c r="M102" s="5" t="s">
        <v>483</v>
      </c>
      <c r="N102" s="3" t="s">
        <v>36</v>
      </c>
      <c r="O102" s="16">
        <v>24.1356</v>
      </c>
      <c r="P102" s="16">
        <v>120.7217</v>
      </c>
      <c r="Q102" s="4" t="s">
        <v>277</v>
      </c>
      <c r="R102" s="3" t="s">
        <v>38</v>
      </c>
      <c r="S102" s="3" t="s">
        <v>39</v>
      </c>
      <c r="T102" s="5" t="s">
        <v>546</v>
      </c>
      <c r="U102" s="5" t="s">
        <v>547</v>
      </c>
      <c r="V102" s="3" t="s">
        <v>548</v>
      </c>
      <c r="W102" s="4" t="s">
        <v>43</v>
      </c>
    </row>
    <row r="103" spans="1:23" ht="56">
      <c r="A103" s="4">
        <v>101</v>
      </c>
      <c r="B103" s="4" t="s">
        <v>480</v>
      </c>
      <c r="C103" s="4" t="s">
        <v>549</v>
      </c>
      <c r="D103" s="3" t="s">
        <v>550</v>
      </c>
      <c r="E103" s="3" t="s">
        <v>74</v>
      </c>
      <c r="F103" s="4" t="s">
        <v>60</v>
      </c>
      <c r="G103" s="4" t="s">
        <v>66</v>
      </c>
      <c r="H103" s="3" t="s">
        <v>75</v>
      </c>
      <c r="I103" s="3" t="s">
        <v>76</v>
      </c>
      <c r="J103" s="4" t="s">
        <v>49</v>
      </c>
      <c r="K103" s="4" t="s">
        <v>33</v>
      </c>
      <c r="L103" s="3" t="s">
        <v>34</v>
      </c>
      <c r="M103" s="5" t="s">
        <v>483</v>
      </c>
      <c r="N103" s="3" t="s">
        <v>36</v>
      </c>
      <c r="O103" s="16">
        <v>24.120799999999999</v>
      </c>
      <c r="P103" s="16">
        <v>120.6635</v>
      </c>
      <c r="Q103" s="4" t="s">
        <v>145</v>
      </c>
      <c r="R103" s="3" t="s">
        <v>38</v>
      </c>
      <c r="S103" s="3" t="s">
        <v>39</v>
      </c>
      <c r="T103" s="5" t="s">
        <v>551</v>
      </c>
      <c r="U103" s="5" t="s">
        <v>552</v>
      </c>
      <c r="V103" s="3" t="s">
        <v>553</v>
      </c>
      <c r="W103" s="4" t="s">
        <v>43</v>
      </c>
    </row>
    <row r="104" spans="1:23" ht="70">
      <c r="A104" s="4">
        <v>102</v>
      </c>
      <c r="B104" s="4" t="s">
        <v>480</v>
      </c>
      <c r="C104" s="4" t="s">
        <v>554</v>
      </c>
      <c r="D104" s="3" t="s">
        <v>555</v>
      </c>
      <c r="E104" s="3" t="s">
        <v>231</v>
      </c>
      <c r="F104" s="4" t="s">
        <v>60</v>
      </c>
      <c r="G104" s="4" t="s">
        <v>66</v>
      </c>
      <c r="H104" s="3" t="s">
        <v>232</v>
      </c>
      <c r="I104" s="3" t="s">
        <v>233</v>
      </c>
      <c r="J104" s="4" t="s">
        <v>49</v>
      </c>
      <c r="K104" s="4" t="s">
        <v>33</v>
      </c>
      <c r="L104" s="3" t="s">
        <v>34</v>
      </c>
      <c r="M104" s="5" t="s">
        <v>483</v>
      </c>
      <c r="N104" s="3" t="s">
        <v>36</v>
      </c>
      <c r="O104" s="16">
        <v>24.1721</v>
      </c>
      <c r="P104" s="16">
        <v>120.6925</v>
      </c>
      <c r="Q104" s="4" t="s">
        <v>277</v>
      </c>
      <c r="R104" s="3" t="s">
        <v>38</v>
      </c>
      <c r="S104" s="3" t="s">
        <v>39</v>
      </c>
      <c r="T104" s="5" t="s">
        <v>556</v>
      </c>
      <c r="U104" s="5" t="s">
        <v>557</v>
      </c>
      <c r="V104" s="3" t="s">
        <v>558</v>
      </c>
      <c r="W104" s="4" t="s">
        <v>43</v>
      </c>
    </row>
    <row r="105" spans="1:23" ht="56">
      <c r="A105" s="4">
        <v>103</v>
      </c>
      <c r="B105" s="4" t="s">
        <v>559</v>
      </c>
      <c r="C105" s="4" t="s">
        <v>560</v>
      </c>
      <c r="D105" s="3" t="s">
        <v>561</v>
      </c>
      <c r="E105" s="3" t="s">
        <v>46</v>
      </c>
      <c r="F105" s="4" t="s">
        <v>28</v>
      </c>
      <c r="G105" s="4" t="s">
        <v>29</v>
      </c>
      <c r="H105" s="3" t="s">
        <v>47</v>
      </c>
      <c r="I105" s="3" t="s">
        <v>48</v>
      </c>
      <c r="J105" s="4" t="s">
        <v>49</v>
      </c>
      <c r="K105" s="4" t="s">
        <v>33</v>
      </c>
      <c r="L105" s="3" t="s">
        <v>34</v>
      </c>
      <c r="M105" s="5" t="s">
        <v>562</v>
      </c>
      <c r="N105" s="3" t="s">
        <v>36</v>
      </c>
      <c r="O105" s="16">
        <v>24.078099999999999</v>
      </c>
      <c r="P105" s="16">
        <v>120.5506</v>
      </c>
      <c r="Q105" s="4" t="s">
        <v>145</v>
      </c>
      <c r="R105" s="3" t="s">
        <v>38</v>
      </c>
      <c r="S105" s="3" t="s">
        <v>39</v>
      </c>
      <c r="T105" s="5" t="s">
        <v>563</v>
      </c>
      <c r="U105" s="5" t="s">
        <v>564</v>
      </c>
      <c r="V105" s="3" t="s">
        <v>565</v>
      </c>
      <c r="W105" s="4" t="s">
        <v>43</v>
      </c>
    </row>
    <row r="106" spans="1:23" ht="56">
      <c r="A106" s="4">
        <v>104</v>
      </c>
      <c r="B106" s="4" t="s">
        <v>559</v>
      </c>
      <c r="C106" s="4" t="s">
        <v>560</v>
      </c>
      <c r="D106" s="3" t="s">
        <v>566</v>
      </c>
      <c r="E106" s="3" t="s">
        <v>231</v>
      </c>
      <c r="F106" s="4" t="s">
        <v>60</v>
      </c>
      <c r="G106" s="4" t="s">
        <v>29</v>
      </c>
      <c r="H106" s="3" t="s">
        <v>232</v>
      </c>
      <c r="I106" s="3" t="s">
        <v>233</v>
      </c>
      <c r="J106" s="4" t="s">
        <v>49</v>
      </c>
      <c r="K106" s="4" t="s">
        <v>33</v>
      </c>
      <c r="L106" s="3" t="s">
        <v>34</v>
      </c>
      <c r="M106" s="5" t="s">
        <v>562</v>
      </c>
      <c r="N106" s="3" t="s">
        <v>36</v>
      </c>
      <c r="O106" s="16">
        <v>24.073499999999999</v>
      </c>
      <c r="P106" s="16">
        <v>120.5595</v>
      </c>
      <c r="Q106" s="4" t="s">
        <v>145</v>
      </c>
      <c r="R106" s="3" t="s">
        <v>38</v>
      </c>
      <c r="S106" s="3" t="s">
        <v>39</v>
      </c>
      <c r="T106" s="5" t="s">
        <v>567</v>
      </c>
      <c r="U106" s="5" t="s">
        <v>568</v>
      </c>
      <c r="V106" s="3" t="s">
        <v>569</v>
      </c>
      <c r="W106" s="4" t="s">
        <v>43</v>
      </c>
    </row>
    <row r="107" spans="1:23" ht="56">
      <c r="A107" s="4">
        <v>105</v>
      </c>
      <c r="B107" s="4" t="s">
        <v>559</v>
      </c>
      <c r="C107" s="4" t="s">
        <v>570</v>
      </c>
      <c r="D107" s="3" t="s">
        <v>571</v>
      </c>
      <c r="E107" s="3" t="s">
        <v>27</v>
      </c>
      <c r="F107" s="4" t="s">
        <v>28</v>
      </c>
      <c r="G107" s="4" t="s">
        <v>29</v>
      </c>
      <c r="H107" s="3" t="s">
        <v>30</v>
      </c>
      <c r="I107" s="3" t="s">
        <v>31</v>
      </c>
      <c r="J107" s="4" t="s">
        <v>49</v>
      </c>
      <c r="K107" s="4" t="s">
        <v>33</v>
      </c>
      <c r="L107" s="3" t="s">
        <v>34</v>
      </c>
      <c r="M107" s="5" t="s">
        <v>562</v>
      </c>
      <c r="N107" s="3" t="s">
        <v>36</v>
      </c>
      <c r="O107" s="16">
        <v>23.851900000000001</v>
      </c>
      <c r="P107" s="16">
        <v>120.4897</v>
      </c>
      <c r="Q107" s="4" t="s">
        <v>145</v>
      </c>
      <c r="R107" s="3" t="s">
        <v>38</v>
      </c>
      <c r="S107" s="3" t="s">
        <v>39</v>
      </c>
      <c r="T107" s="5" t="s">
        <v>572</v>
      </c>
      <c r="U107" s="5" t="s">
        <v>573</v>
      </c>
      <c r="V107" s="3" t="s">
        <v>574</v>
      </c>
      <c r="W107" s="4" t="s">
        <v>43</v>
      </c>
    </row>
    <row r="108" spans="1:23" ht="56">
      <c r="A108" s="4">
        <v>106</v>
      </c>
      <c r="B108" s="4" t="s">
        <v>559</v>
      </c>
      <c r="C108" s="4" t="s">
        <v>575</v>
      </c>
      <c r="D108" s="3" t="s">
        <v>576</v>
      </c>
      <c r="E108" s="3" t="s">
        <v>74</v>
      </c>
      <c r="F108" s="4" t="s">
        <v>60</v>
      </c>
      <c r="G108" s="4" t="s">
        <v>66</v>
      </c>
      <c r="H108" s="3" t="s">
        <v>75</v>
      </c>
      <c r="I108" s="3" t="s">
        <v>76</v>
      </c>
      <c r="J108" s="4" t="s">
        <v>49</v>
      </c>
      <c r="K108" s="4" t="s">
        <v>33</v>
      </c>
      <c r="L108" s="3" t="s">
        <v>34</v>
      </c>
      <c r="M108" s="5" t="s">
        <v>562</v>
      </c>
      <c r="N108" s="3" t="s">
        <v>36</v>
      </c>
      <c r="O108" s="16">
        <v>23.956499999999998</v>
      </c>
      <c r="P108" s="16">
        <v>120.57599999999999</v>
      </c>
      <c r="Q108" s="4" t="s">
        <v>145</v>
      </c>
      <c r="R108" s="3" t="s">
        <v>38</v>
      </c>
      <c r="S108" s="3" t="s">
        <v>39</v>
      </c>
      <c r="T108" s="5" t="s">
        <v>577</v>
      </c>
      <c r="U108" s="5" t="s">
        <v>578</v>
      </c>
      <c r="V108" s="3" t="s">
        <v>579</v>
      </c>
      <c r="W108" s="4" t="s">
        <v>43</v>
      </c>
    </row>
    <row r="109" spans="1:23" ht="70">
      <c r="A109" s="4">
        <v>107</v>
      </c>
      <c r="B109" s="4" t="s">
        <v>559</v>
      </c>
      <c r="C109" s="4" t="s">
        <v>575</v>
      </c>
      <c r="D109" s="3" t="s">
        <v>580</v>
      </c>
      <c r="E109" s="3" t="s">
        <v>231</v>
      </c>
      <c r="F109" s="4" t="s">
        <v>60</v>
      </c>
      <c r="G109" s="4" t="s">
        <v>66</v>
      </c>
      <c r="H109" s="3" t="s">
        <v>232</v>
      </c>
      <c r="I109" s="3" t="s">
        <v>233</v>
      </c>
      <c r="J109" s="4" t="s">
        <v>49</v>
      </c>
      <c r="K109" s="4" t="s">
        <v>143</v>
      </c>
      <c r="L109" s="3" t="s">
        <v>144</v>
      </c>
      <c r="M109" s="5" t="s">
        <v>562</v>
      </c>
      <c r="N109" s="3" t="s">
        <v>36</v>
      </c>
      <c r="O109" s="16">
        <v>23.957799999999999</v>
      </c>
      <c r="P109" s="16">
        <v>120.602</v>
      </c>
      <c r="Q109" s="4" t="s">
        <v>145</v>
      </c>
      <c r="R109" s="3" t="s">
        <v>38</v>
      </c>
      <c r="S109" s="3" t="s">
        <v>146</v>
      </c>
      <c r="T109" s="5" t="s">
        <v>581</v>
      </c>
      <c r="U109" s="5" t="s">
        <v>582</v>
      </c>
      <c r="V109" s="3" t="s">
        <v>583</v>
      </c>
      <c r="W109" s="4" t="s">
        <v>150</v>
      </c>
    </row>
    <row r="110" spans="1:23" ht="56">
      <c r="A110" s="4">
        <v>108</v>
      </c>
      <c r="B110" s="4" t="s">
        <v>559</v>
      </c>
      <c r="C110" s="4" t="s">
        <v>575</v>
      </c>
      <c r="D110" s="3" t="s">
        <v>584</v>
      </c>
      <c r="E110" s="3" t="s">
        <v>231</v>
      </c>
      <c r="F110" s="4" t="s">
        <v>60</v>
      </c>
      <c r="G110" s="4" t="s">
        <v>66</v>
      </c>
      <c r="H110" s="3" t="s">
        <v>232</v>
      </c>
      <c r="I110" s="3" t="s">
        <v>233</v>
      </c>
      <c r="J110" s="4" t="s">
        <v>49</v>
      </c>
      <c r="K110" s="4" t="s">
        <v>33</v>
      </c>
      <c r="L110" s="3" t="s">
        <v>34</v>
      </c>
      <c r="M110" s="5" t="s">
        <v>562</v>
      </c>
      <c r="N110" s="3" t="s">
        <v>36</v>
      </c>
      <c r="O110" s="16">
        <v>23.955500000000001</v>
      </c>
      <c r="P110" s="16">
        <v>120.59399999999999</v>
      </c>
      <c r="Q110" s="4" t="s">
        <v>277</v>
      </c>
      <c r="R110" s="3" t="s">
        <v>38</v>
      </c>
      <c r="S110" s="3" t="s">
        <v>39</v>
      </c>
      <c r="T110" s="5" t="s">
        <v>585</v>
      </c>
      <c r="U110" s="5" t="s">
        <v>586</v>
      </c>
      <c r="V110" s="3" t="s">
        <v>587</v>
      </c>
      <c r="W110" s="4" t="s">
        <v>43</v>
      </c>
    </row>
    <row r="111" spans="1:23" ht="70">
      <c r="A111" s="4">
        <v>109</v>
      </c>
      <c r="B111" s="4" t="s">
        <v>559</v>
      </c>
      <c r="C111" s="4" t="s">
        <v>588</v>
      </c>
      <c r="D111" s="3" t="s">
        <v>589</v>
      </c>
      <c r="E111" s="3" t="s">
        <v>91</v>
      </c>
      <c r="F111" s="4" t="s">
        <v>60</v>
      </c>
      <c r="G111" s="4" t="s">
        <v>66</v>
      </c>
      <c r="H111" s="3" t="s">
        <v>92</v>
      </c>
      <c r="I111" s="3" t="s">
        <v>93</v>
      </c>
      <c r="J111" s="4" t="s">
        <v>49</v>
      </c>
      <c r="K111" s="4" t="s">
        <v>33</v>
      </c>
      <c r="L111" s="3" t="s">
        <v>34</v>
      </c>
      <c r="M111" s="5" t="s">
        <v>562</v>
      </c>
      <c r="N111" s="3" t="s">
        <v>36</v>
      </c>
      <c r="O111" s="16">
        <v>24.0595</v>
      </c>
      <c r="P111" s="16">
        <v>120.4385</v>
      </c>
      <c r="Q111" s="4" t="s">
        <v>145</v>
      </c>
      <c r="R111" s="3" t="s">
        <v>38</v>
      </c>
      <c r="S111" s="3" t="s">
        <v>39</v>
      </c>
      <c r="T111" s="5" t="s">
        <v>590</v>
      </c>
      <c r="U111" s="5" t="s">
        <v>591</v>
      </c>
      <c r="V111" s="3" t="s">
        <v>592</v>
      </c>
      <c r="W111" s="4" t="s">
        <v>43</v>
      </c>
    </row>
    <row r="112" spans="1:23" ht="70">
      <c r="A112" s="4">
        <v>110</v>
      </c>
      <c r="B112" s="4" t="s">
        <v>559</v>
      </c>
      <c r="C112" s="4" t="s">
        <v>593</v>
      </c>
      <c r="D112" s="3" t="s">
        <v>594</v>
      </c>
      <c r="E112" s="3" t="s">
        <v>231</v>
      </c>
      <c r="F112" s="4" t="s">
        <v>60</v>
      </c>
      <c r="G112" s="4" t="s">
        <v>66</v>
      </c>
      <c r="H112" s="3" t="s">
        <v>232</v>
      </c>
      <c r="I112" s="3" t="s">
        <v>233</v>
      </c>
      <c r="J112" s="4" t="s">
        <v>49</v>
      </c>
      <c r="K112" s="4" t="s">
        <v>33</v>
      </c>
      <c r="L112" s="3" t="s">
        <v>34</v>
      </c>
      <c r="M112" s="5" t="s">
        <v>562</v>
      </c>
      <c r="N112" s="3" t="s">
        <v>36</v>
      </c>
      <c r="O112" s="16">
        <v>24.166699999999999</v>
      </c>
      <c r="P112" s="16">
        <v>120.485</v>
      </c>
      <c r="Q112" s="4" t="s">
        <v>277</v>
      </c>
      <c r="R112" s="3" t="s">
        <v>38</v>
      </c>
      <c r="S112" s="3" t="s">
        <v>39</v>
      </c>
      <c r="T112" s="5" t="s">
        <v>595</v>
      </c>
      <c r="U112" s="5" t="s">
        <v>596</v>
      </c>
      <c r="V112" s="3" t="s">
        <v>597</v>
      </c>
      <c r="W112" s="4" t="s">
        <v>43</v>
      </c>
    </row>
    <row r="113" spans="1:23" ht="70">
      <c r="A113" s="4">
        <v>111</v>
      </c>
      <c r="B113" s="4" t="s">
        <v>559</v>
      </c>
      <c r="C113" s="4" t="s">
        <v>598</v>
      </c>
      <c r="D113" s="3" t="s">
        <v>599</v>
      </c>
      <c r="E113" s="3" t="s">
        <v>114</v>
      </c>
      <c r="F113" s="4" t="s">
        <v>205</v>
      </c>
      <c r="G113" s="4" t="s">
        <v>225</v>
      </c>
      <c r="H113" s="3" t="s">
        <v>115</v>
      </c>
      <c r="I113" s="3" t="s">
        <v>116</v>
      </c>
      <c r="J113" s="4" t="s">
        <v>49</v>
      </c>
      <c r="K113" s="4" t="s">
        <v>33</v>
      </c>
      <c r="L113" s="3" t="s">
        <v>34</v>
      </c>
      <c r="M113" s="5" t="s">
        <v>562</v>
      </c>
      <c r="N113" s="3" t="s">
        <v>36</v>
      </c>
      <c r="O113" s="16">
        <v>23.874300000000002</v>
      </c>
      <c r="P113" s="16">
        <v>120.518</v>
      </c>
      <c r="Q113" s="4" t="s">
        <v>99</v>
      </c>
      <c r="R113" s="3" t="s">
        <v>38</v>
      </c>
      <c r="S113" s="3" t="s">
        <v>117</v>
      </c>
      <c r="T113" s="5" t="s">
        <v>600</v>
      </c>
      <c r="U113" s="5" t="s">
        <v>601</v>
      </c>
      <c r="V113" s="3" t="s">
        <v>602</v>
      </c>
      <c r="W113" s="4" t="s">
        <v>121</v>
      </c>
    </row>
    <row r="114" spans="1:23" ht="70">
      <c r="A114" s="4">
        <v>112</v>
      </c>
      <c r="B114" s="4" t="s">
        <v>603</v>
      </c>
      <c r="C114" s="4" t="s">
        <v>604</v>
      </c>
      <c r="D114" s="3" t="s">
        <v>605</v>
      </c>
      <c r="E114" s="3" t="s">
        <v>231</v>
      </c>
      <c r="F114" s="4" t="s">
        <v>60</v>
      </c>
      <c r="G114" s="4" t="s">
        <v>29</v>
      </c>
      <c r="H114" s="3" t="s">
        <v>232</v>
      </c>
      <c r="I114" s="3" t="s">
        <v>233</v>
      </c>
      <c r="J114" s="4" t="s">
        <v>49</v>
      </c>
      <c r="K114" s="4" t="s">
        <v>33</v>
      </c>
      <c r="L114" s="3" t="s">
        <v>34</v>
      </c>
      <c r="M114" s="5" t="s">
        <v>606</v>
      </c>
      <c r="N114" s="3" t="s">
        <v>36</v>
      </c>
      <c r="O114" s="16">
        <v>23.9848</v>
      </c>
      <c r="P114" s="16">
        <v>120.68</v>
      </c>
      <c r="Q114" s="4" t="s">
        <v>277</v>
      </c>
      <c r="R114" s="3" t="s">
        <v>38</v>
      </c>
      <c r="S114" s="3" t="s">
        <v>39</v>
      </c>
      <c r="T114" s="5" t="s">
        <v>607</v>
      </c>
      <c r="U114" s="5" t="s">
        <v>608</v>
      </c>
      <c r="V114" s="3" t="s">
        <v>609</v>
      </c>
      <c r="W114" s="4" t="s">
        <v>43</v>
      </c>
    </row>
    <row r="115" spans="1:23" ht="70">
      <c r="A115" s="4">
        <v>113</v>
      </c>
      <c r="B115" s="4" t="s">
        <v>603</v>
      </c>
      <c r="C115" s="4" t="s">
        <v>610</v>
      </c>
      <c r="D115" s="3" t="s">
        <v>611</v>
      </c>
      <c r="E115" s="3" t="s">
        <v>231</v>
      </c>
      <c r="F115" s="4" t="s">
        <v>60</v>
      </c>
      <c r="G115" s="4" t="s">
        <v>66</v>
      </c>
      <c r="H115" s="3" t="s">
        <v>232</v>
      </c>
      <c r="I115" s="3" t="s">
        <v>233</v>
      </c>
      <c r="J115" s="4" t="s">
        <v>49</v>
      </c>
      <c r="K115" s="4" t="s">
        <v>33</v>
      </c>
      <c r="L115" s="3" t="s">
        <v>34</v>
      </c>
      <c r="M115" s="5" t="s">
        <v>606</v>
      </c>
      <c r="N115" s="3" t="s">
        <v>36</v>
      </c>
      <c r="O115" s="16">
        <v>24.003699999999998</v>
      </c>
      <c r="P115" s="16">
        <v>120.9465</v>
      </c>
      <c r="Q115" s="4" t="s">
        <v>277</v>
      </c>
      <c r="R115" s="3" t="s">
        <v>38</v>
      </c>
      <c r="S115" s="3" t="s">
        <v>39</v>
      </c>
      <c r="T115" s="5" t="s">
        <v>612</v>
      </c>
      <c r="U115" s="5" t="s">
        <v>613</v>
      </c>
      <c r="V115" s="3" t="s">
        <v>614</v>
      </c>
      <c r="W115" s="4" t="s">
        <v>43</v>
      </c>
    </row>
    <row r="116" spans="1:23" ht="70">
      <c r="A116" s="4">
        <v>114</v>
      </c>
      <c r="B116" s="4" t="s">
        <v>603</v>
      </c>
      <c r="C116" s="4" t="s">
        <v>615</v>
      </c>
      <c r="D116" s="3" t="s">
        <v>616</v>
      </c>
      <c r="E116" s="3" t="s">
        <v>265</v>
      </c>
      <c r="F116" s="4" t="s">
        <v>60</v>
      </c>
      <c r="G116" s="4" t="s">
        <v>66</v>
      </c>
      <c r="H116" s="3" t="s">
        <v>266</v>
      </c>
      <c r="I116" s="3" t="s">
        <v>267</v>
      </c>
      <c r="J116" s="4" t="s">
        <v>49</v>
      </c>
      <c r="K116" s="4" t="s">
        <v>143</v>
      </c>
      <c r="L116" s="3" t="s">
        <v>144</v>
      </c>
      <c r="M116" s="5" t="s">
        <v>606</v>
      </c>
      <c r="N116" s="3" t="s">
        <v>36</v>
      </c>
      <c r="O116" s="16">
        <v>23.8385</v>
      </c>
      <c r="P116" s="16">
        <v>120.70050000000001</v>
      </c>
      <c r="Q116" s="4" t="s">
        <v>277</v>
      </c>
      <c r="R116" s="3" t="s">
        <v>38</v>
      </c>
      <c r="S116" s="3" t="s">
        <v>146</v>
      </c>
      <c r="T116" s="5" t="s">
        <v>617</v>
      </c>
      <c r="U116" s="5" t="s">
        <v>618</v>
      </c>
      <c r="V116" s="3" t="s">
        <v>619</v>
      </c>
      <c r="W116" s="4" t="s">
        <v>150</v>
      </c>
    </row>
    <row r="117" spans="1:23" ht="70">
      <c r="A117" s="4">
        <v>115</v>
      </c>
      <c r="B117" s="4" t="s">
        <v>603</v>
      </c>
      <c r="C117" s="4" t="s">
        <v>620</v>
      </c>
      <c r="D117" s="3" t="s">
        <v>621</v>
      </c>
      <c r="E117" s="3" t="s">
        <v>46</v>
      </c>
      <c r="F117" s="4" t="s">
        <v>60</v>
      </c>
      <c r="G117" s="4" t="s">
        <v>66</v>
      </c>
      <c r="H117" s="3" t="s">
        <v>47</v>
      </c>
      <c r="I117" s="3" t="s">
        <v>48</v>
      </c>
      <c r="J117" s="4" t="s">
        <v>49</v>
      </c>
      <c r="K117" s="4" t="s">
        <v>33</v>
      </c>
      <c r="L117" s="3" t="s">
        <v>34</v>
      </c>
      <c r="M117" s="5" t="s">
        <v>606</v>
      </c>
      <c r="N117" s="3" t="s">
        <v>36</v>
      </c>
      <c r="O117" s="16">
        <v>23.955200000000001</v>
      </c>
      <c r="P117" s="16">
        <v>120.6875</v>
      </c>
      <c r="Q117" s="4" t="s">
        <v>145</v>
      </c>
      <c r="R117" s="3" t="s">
        <v>38</v>
      </c>
      <c r="S117" s="3" t="s">
        <v>39</v>
      </c>
      <c r="T117" s="5" t="s">
        <v>622</v>
      </c>
      <c r="U117" s="5" t="s">
        <v>623</v>
      </c>
      <c r="V117" s="3" t="s">
        <v>624</v>
      </c>
      <c r="W117" s="4" t="s">
        <v>43</v>
      </c>
    </row>
    <row r="118" spans="1:23" ht="70">
      <c r="A118" s="4">
        <v>116</v>
      </c>
      <c r="B118" s="4" t="s">
        <v>603</v>
      </c>
      <c r="C118" s="4" t="s">
        <v>604</v>
      </c>
      <c r="D118" s="3" t="s">
        <v>625</v>
      </c>
      <c r="E118" s="3" t="s">
        <v>265</v>
      </c>
      <c r="F118" s="4" t="s">
        <v>205</v>
      </c>
      <c r="G118" s="4" t="s">
        <v>225</v>
      </c>
      <c r="H118" s="3" t="s">
        <v>266</v>
      </c>
      <c r="I118" s="3" t="s">
        <v>267</v>
      </c>
      <c r="J118" s="4" t="s">
        <v>49</v>
      </c>
      <c r="K118" s="4" t="s">
        <v>33</v>
      </c>
      <c r="L118" s="3" t="s">
        <v>34</v>
      </c>
      <c r="M118" s="5" t="s">
        <v>606</v>
      </c>
      <c r="N118" s="3" t="s">
        <v>36</v>
      </c>
      <c r="O118" s="16">
        <v>23.976500000000001</v>
      </c>
      <c r="P118" s="16">
        <v>120.679</v>
      </c>
      <c r="Q118" s="4" t="s">
        <v>277</v>
      </c>
      <c r="R118" s="3" t="s">
        <v>38</v>
      </c>
      <c r="S118" s="3" t="s">
        <v>39</v>
      </c>
      <c r="T118" s="5" t="s">
        <v>626</v>
      </c>
      <c r="U118" s="5" t="s">
        <v>627</v>
      </c>
      <c r="V118" s="3" t="s">
        <v>628</v>
      </c>
      <c r="W118" s="4" t="s">
        <v>43</v>
      </c>
    </row>
    <row r="119" spans="1:23" ht="70">
      <c r="A119" s="4">
        <v>117</v>
      </c>
      <c r="B119" s="4" t="s">
        <v>603</v>
      </c>
      <c r="C119" s="4" t="s">
        <v>604</v>
      </c>
      <c r="D119" s="3" t="s">
        <v>629</v>
      </c>
      <c r="E119" s="3" t="s">
        <v>231</v>
      </c>
      <c r="F119" s="4" t="s">
        <v>205</v>
      </c>
      <c r="G119" s="4" t="s">
        <v>225</v>
      </c>
      <c r="H119" s="3" t="s">
        <v>232</v>
      </c>
      <c r="I119" s="3" t="s">
        <v>233</v>
      </c>
      <c r="J119" s="4" t="s">
        <v>49</v>
      </c>
      <c r="K119" s="4" t="s">
        <v>33</v>
      </c>
      <c r="L119" s="3" t="s">
        <v>34</v>
      </c>
      <c r="M119" s="5" t="s">
        <v>606</v>
      </c>
      <c r="N119" s="3" t="s">
        <v>36</v>
      </c>
      <c r="O119" s="16">
        <v>23.983000000000001</v>
      </c>
      <c r="P119" s="16">
        <v>120.68300000000001</v>
      </c>
      <c r="Q119" s="4" t="s">
        <v>277</v>
      </c>
      <c r="R119" s="3" t="s">
        <v>38</v>
      </c>
      <c r="S119" s="3" t="s">
        <v>39</v>
      </c>
      <c r="T119" s="5" t="s">
        <v>630</v>
      </c>
      <c r="U119" s="5" t="s">
        <v>631</v>
      </c>
      <c r="V119" s="3" t="s">
        <v>632</v>
      </c>
      <c r="W119" s="4" t="s">
        <v>43</v>
      </c>
    </row>
    <row r="120" spans="1:23" ht="70">
      <c r="A120" s="4">
        <v>118</v>
      </c>
      <c r="B120" s="4" t="s">
        <v>603</v>
      </c>
      <c r="C120" s="4" t="s">
        <v>633</v>
      </c>
      <c r="D120" s="3" t="s">
        <v>634</v>
      </c>
      <c r="E120" s="3" t="s">
        <v>114</v>
      </c>
      <c r="F120" s="4" t="s">
        <v>60</v>
      </c>
      <c r="G120" s="4" t="s">
        <v>66</v>
      </c>
      <c r="H120" s="3" t="s">
        <v>115</v>
      </c>
      <c r="I120" s="3" t="s">
        <v>116</v>
      </c>
      <c r="J120" s="4" t="s">
        <v>49</v>
      </c>
      <c r="K120" s="4" t="s">
        <v>33</v>
      </c>
      <c r="L120" s="3" t="s">
        <v>34</v>
      </c>
      <c r="M120" s="5" t="s">
        <v>606</v>
      </c>
      <c r="N120" s="3" t="s">
        <v>36</v>
      </c>
      <c r="O120" s="16">
        <v>23.813500000000001</v>
      </c>
      <c r="P120" s="16">
        <v>120.8535</v>
      </c>
      <c r="Q120" s="4" t="s">
        <v>145</v>
      </c>
      <c r="R120" s="3" t="s">
        <v>38</v>
      </c>
      <c r="S120" s="3" t="s">
        <v>39</v>
      </c>
      <c r="T120" s="5" t="s">
        <v>635</v>
      </c>
      <c r="U120" s="5" t="s">
        <v>636</v>
      </c>
      <c r="V120" s="3" t="s">
        <v>637</v>
      </c>
      <c r="W120" s="4" t="s">
        <v>43</v>
      </c>
    </row>
    <row r="121" spans="1:23" ht="70">
      <c r="A121" s="4">
        <v>119</v>
      </c>
      <c r="B121" s="4" t="s">
        <v>603</v>
      </c>
      <c r="C121" s="4" t="s">
        <v>638</v>
      </c>
      <c r="D121" s="3" t="s">
        <v>639</v>
      </c>
      <c r="E121" s="3" t="s">
        <v>46</v>
      </c>
      <c r="F121" s="4" t="s">
        <v>60</v>
      </c>
      <c r="G121" s="4" t="s">
        <v>66</v>
      </c>
      <c r="H121" s="3" t="s">
        <v>47</v>
      </c>
      <c r="I121" s="3" t="s">
        <v>48</v>
      </c>
      <c r="J121" s="4" t="s">
        <v>49</v>
      </c>
      <c r="K121" s="4" t="s">
        <v>33</v>
      </c>
      <c r="L121" s="3" t="s">
        <v>34</v>
      </c>
      <c r="M121" s="5" t="s">
        <v>606</v>
      </c>
      <c r="N121" s="3" t="s">
        <v>36</v>
      </c>
      <c r="O121" s="16">
        <v>23.826000000000001</v>
      </c>
      <c r="P121" s="16">
        <v>120.78449999999999</v>
      </c>
      <c r="Q121" s="4" t="s">
        <v>145</v>
      </c>
      <c r="R121" s="3" t="s">
        <v>38</v>
      </c>
      <c r="S121" s="3" t="s">
        <v>39</v>
      </c>
      <c r="T121" s="5" t="s">
        <v>640</v>
      </c>
      <c r="U121" s="5" t="s">
        <v>641</v>
      </c>
      <c r="V121" s="3" t="s">
        <v>642</v>
      </c>
      <c r="W121" s="4" t="s">
        <v>43</v>
      </c>
    </row>
    <row r="122" spans="1:23" ht="70">
      <c r="A122" s="4">
        <v>120</v>
      </c>
      <c r="B122" s="4" t="s">
        <v>643</v>
      </c>
      <c r="C122" s="4" t="s">
        <v>644</v>
      </c>
      <c r="D122" s="3" t="s">
        <v>645</v>
      </c>
      <c r="E122" s="3" t="s">
        <v>231</v>
      </c>
      <c r="F122" s="4" t="s">
        <v>28</v>
      </c>
      <c r="G122" s="4" t="s">
        <v>29</v>
      </c>
      <c r="H122" s="3" t="s">
        <v>232</v>
      </c>
      <c r="I122" s="3" t="s">
        <v>233</v>
      </c>
      <c r="J122" s="4" t="s">
        <v>49</v>
      </c>
      <c r="K122" s="4" t="s">
        <v>33</v>
      </c>
      <c r="L122" s="3" t="s">
        <v>34</v>
      </c>
      <c r="M122" s="5" t="s">
        <v>646</v>
      </c>
      <c r="N122" s="3" t="s">
        <v>36</v>
      </c>
      <c r="O122" s="16">
        <v>23.702200000000001</v>
      </c>
      <c r="P122" s="16">
        <v>120.5321</v>
      </c>
      <c r="Q122" s="4" t="s">
        <v>145</v>
      </c>
      <c r="R122" s="3" t="s">
        <v>38</v>
      </c>
      <c r="S122" s="3" t="s">
        <v>39</v>
      </c>
      <c r="T122" s="5" t="s">
        <v>647</v>
      </c>
      <c r="U122" s="5" t="s">
        <v>648</v>
      </c>
      <c r="V122" s="3" t="s">
        <v>649</v>
      </c>
      <c r="W122" s="4" t="s">
        <v>43</v>
      </c>
    </row>
    <row r="123" spans="1:23" ht="70">
      <c r="A123" s="4">
        <v>121</v>
      </c>
      <c r="B123" s="4" t="s">
        <v>643</v>
      </c>
      <c r="C123" s="4" t="s">
        <v>644</v>
      </c>
      <c r="D123" s="3" t="s">
        <v>650</v>
      </c>
      <c r="E123" s="3" t="s">
        <v>114</v>
      </c>
      <c r="F123" s="4" t="s">
        <v>60</v>
      </c>
      <c r="G123" s="4" t="s">
        <v>29</v>
      </c>
      <c r="H123" s="3" t="s">
        <v>115</v>
      </c>
      <c r="I123" s="3" t="s">
        <v>116</v>
      </c>
      <c r="J123" s="4" t="s">
        <v>49</v>
      </c>
      <c r="K123" s="4" t="s">
        <v>143</v>
      </c>
      <c r="L123" s="3" t="s">
        <v>144</v>
      </c>
      <c r="M123" s="5" t="s">
        <v>646</v>
      </c>
      <c r="N123" s="3" t="s">
        <v>36</v>
      </c>
      <c r="O123" s="16">
        <v>23.707999999999998</v>
      </c>
      <c r="P123" s="16">
        <v>120.52800000000001</v>
      </c>
      <c r="Q123" s="4" t="s">
        <v>99</v>
      </c>
      <c r="R123" s="3" t="s">
        <v>38</v>
      </c>
      <c r="S123" s="3" t="s">
        <v>117</v>
      </c>
      <c r="T123" s="5" t="s">
        <v>651</v>
      </c>
      <c r="U123" s="5" t="s">
        <v>652</v>
      </c>
      <c r="V123" s="3" t="s">
        <v>653</v>
      </c>
      <c r="W123" s="4" t="s">
        <v>121</v>
      </c>
    </row>
    <row r="124" spans="1:23" ht="70">
      <c r="A124" s="4">
        <v>122</v>
      </c>
      <c r="B124" s="4" t="s">
        <v>643</v>
      </c>
      <c r="C124" s="4" t="s">
        <v>644</v>
      </c>
      <c r="D124" s="3" t="s">
        <v>654</v>
      </c>
      <c r="E124" s="3" t="s">
        <v>114</v>
      </c>
      <c r="F124" s="4" t="s">
        <v>60</v>
      </c>
      <c r="G124" s="4" t="s">
        <v>66</v>
      </c>
      <c r="H124" s="3" t="s">
        <v>115</v>
      </c>
      <c r="I124" s="3" t="s">
        <v>116</v>
      </c>
      <c r="J124" s="4" t="s">
        <v>49</v>
      </c>
      <c r="K124" s="4" t="s">
        <v>33</v>
      </c>
      <c r="L124" s="3" t="s">
        <v>34</v>
      </c>
      <c r="M124" s="5" t="s">
        <v>646</v>
      </c>
      <c r="N124" s="3" t="s">
        <v>36</v>
      </c>
      <c r="O124" s="16">
        <v>23.71</v>
      </c>
      <c r="P124" s="16">
        <v>120.53100000000001</v>
      </c>
      <c r="Q124" s="4" t="s">
        <v>277</v>
      </c>
      <c r="R124" s="3" t="s">
        <v>38</v>
      </c>
      <c r="S124" s="3" t="s">
        <v>39</v>
      </c>
      <c r="T124" s="5" t="s">
        <v>655</v>
      </c>
      <c r="U124" s="5" t="s">
        <v>656</v>
      </c>
      <c r="V124" s="3" t="s">
        <v>657</v>
      </c>
      <c r="W124" s="4" t="s">
        <v>43</v>
      </c>
    </row>
    <row r="125" spans="1:23" ht="70">
      <c r="A125" s="4">
        <v>123</v>
      </c>
      <c r="B125" s="4" t="s">
        <v>643</v>
      </c>
      <c r="C125" s="4" t="s">
        <v>658</v>
      </c>
      <c r="D125" s="3" t="s">
        <v>659</v>
      </c>
      <c r="E125" s="3" t="s">
        <v>231</v>
      </c>
      <c r="F125" s="4" t="s">
        <v>60</v>
      </c>
      <c r="G125" s="4" t="s">
        <v>66</v>
      </c>
      <c r="H125" s="3" t="s">
        <v>232</v>
      </c>
      <c r="I125" s="3" t="s">
        <v>233</v>
      </c>
      <c r="J125" s="4" t="s">
        <v>49</v>
      </c>
      <c r="K125" s="4" t="s">
        <v>33</v>
      </c>
      <c r="L125" s="3" t="s">
        <v>34</v>
      </c>
      <c r="M125" s="5" t="s">
        <v>646</v>
      </c>
      <c r="N125" s="3" t="s">
        <v>36</v>
      </c>
      <c r="O125" s="16">
        <v>23.7315</v>
      </c>
      <c r="P125" s="16">
        <v>120.40349999999999</v>
      </c>
      <c r="Q125" s="4" t="s">
        <v>145</v>
      </c>
      <c r="R125" s="3" t="s">
        <v>38</v>
      </c>
      <c r="S125" s="3" t="s">
        <v>39</v>
      </c>
      <c r="T125" s="5" t="s">
        <v>660</v>
      </c>
      <c r="U125" s="5" t="s">
        <v>661</v>
      </c>
      <c r="V125" s="3" t="s">
        <v>662</v>
      </c>
      <c r="W125" s="4" t="s">
        <v>43</v>
      </c>
    </row>
    <row r="126" spans="1:23" ht="56">
      <c r="A126" s="4">
        <v>124</v>
      </c>
      <c r="B126" s="4" t="s">
        <v>643</v>
      </c>
      <c r="C126" s="4" t="s">
        <v>658</v>
      </c>
      <c r="D126" s="3" t="s">
        <v>663</v>
      </c>
      <c r="E126" s="3" t="s">
        <v>231</v>
      </c>
      <c r="F126" s="4" t="s">
        <v>60</v>
      </c>
      <c r="G126" s="4" t="s">
        <v>66</v>
      </c>
      <c r="H126" s="3" t="s">
        <v>232</v>
      </c>
      <c r="I126" s="3" t="s">
        <v>233</v>
      </c>
      <c r="J126" s="4" t="s">
        <v>49</v>
      </c>
      <c r="K126" s="4" t="s">
        <v>33</v>
      </c>
      <c r="L126" s="3" t="s">
        <v>34</v>
      </c>
      <c r="M126" s="5" t="s">
        <v>646</v>
      </c>
      <c r="N126" s="3" t="s">
        <v>36</v>
      </c>
      <c r="O126" s="16">
        <v>23.713000000000001</v>
      </c>
      <c r="P126" s="16">
        <v>120.431</v>
      </c>
      <c r="Q126" s="4" t="s">
        <v>277</v>
      </c>
      <c r="R126" s="3" t="s">
        <v>38</v>
      </c>
      <c r="S126" s="3" t="s">
        <v>39</v>
      </c>
      <c r="T126" s="5" t="s">
        <v>664</v>
      </c>
      <c r="U126" s="5" t="s">
        <v>665</v>
      </c>
      <c r="V126" s="3" t="s">
        <v>666</v>
      </c>
      <c r="W126" s="4" t="s">
        <v>43</v>
      </c>
    </row>
    <row r="127" spans="1:23" ht="70">
      <c r="A127" s="4">
        <v>125</v>
      </c>
      <c r="B127" s="4" t="s">
        <v>643</v>
      </c>
      <c r="C127" s="4" t="s">
        <v>658</v>
      </c>
      <c r="D127" s="3" t="s">
        <v>667</v>
      </c>
      <c r="E127" s="3" t="s">
        <v>46</v>
      </c>
      <c r="F127" s="4" t="s">
        <v>60</v>
      </c>
      <c r="G127" s="4" t="s">
        <v>66</v>
      </c>
      <c r="H127" s="3" t="s">
        <v>47</v>
      </c>
      <c r="I127" s="3" t="s">
        <v>48</v>
      </c>
      <c r="J127" s="4" t="s">
        <v>49</v>
      </c>
      <c r="K127" s="4" t="s">
        <v>33</v>
      </c>
      <c r="L127" s="3" t="s">
        <v>34</v>
      </c>
      <c r="M127" s="5" t="s">
        <v>646</v>
      </c>
      <c r="N127" s="3" t="s">
        <v>36</v>
      </c>
      <c r="O127" s="16">
        <v>23.709800000000001</v>
      </c>
      <c r="P127" s="16">
        <v>120.435</v>
      </c>
      <c r="Q127" s="4" t="s">
        <v>145</v>
      </c>
      <c r="R127" s="3" t="s">
        <v>38</v>
      </c>
      <c r="S127" s="3" t="s">
        <v>39</v>
      </c>
      <c r="T127" s="5" t="s">
        <v>668</v>
      </c>
      <c r="U127" s="5" t="s">
        <v>669</v>
      </c>
      <c r="V127" s="3" t="s">
        <v>670</v>
      </c>
      <c r="W127" s="4" t="s">
        <v>43</v>
      </c>
    </row>
    <row r="128" spans="1:23" ht="70">
      <c r="A128" s="4">
        <v>126</v>
      </c>
      <c r="B128" s="4" t="s">
        <v>643</v>
      </c>
      <c r="C128" s="4" t="s">
        <v>671</v>
      </c>
      <c r="D128" s="3" t="s">
        <v>672</v>
      </c>
      <c r="E128" s="3" t="s">
        <v>91</v>
      </c>
      <c r="F128" s="4" t="s">
        <v>205</v>
      </c>
      <c r="G128" s="4" t="s">
        <v>225</v>
      </c>
      <c r="H128" s="3" t="s">
        <v>92</v>
      </c>
      <c r="I128" s="3" t="s">
        <v>93</v>
      </c>
      <c r="J128" s="4" t="s">
        <v>49</v>
      </c>
      <c r="K128" s="4" t="s">
        <v>33</v>
      </c>
      <c r="L128" s="3" t="s">
        <v>34</v>
      </c>
      <c r="M128" s="5" t="s">
        <v>646</v>
      </c>
      <c r="N128" s="3" t="s">
        <v>36</v>
      </c>
      <c r="O128" s="16">
        <v>23.568999999999999</v>
      </c>
      <c r="P128" s="16">
        <v>120.3035</v>
      </c>
      <c r="Q128" s="4" t="s">
        <v>145</v>
      </c>
      <c r="R128" s="3" t="s">
        <v>38</v>
      </c>
      <c r="S128" s="3" t="s">
        <v>39</v>
      </c>
      <c r="T128" s="5" t="s">
        <v>673</v>
      </c>
      <c r="U128" s="5" t="s">
        <v>674</v>
      </c>
      <c r="V128" s="3" t="s">
        <v>675</v>
      </c>
      <c r="W128" s="4" t="s">
        <v>43</v>
      </c>
    </row>
    <row r="129" spans="1:23" ht="70">
      <c r="A129" s="4">
        <v>127</v>
      </c>
      <c r="B129" s="4" t="s">
        <v>643</v>
      </c>
      <c r="C129" s="4" t="s">
        <v>676</v>
      </c>
      <c r="D129" s="3" t="s">
        <v>677</v>
      </c>
      <c r="E129" s="3" t="s">
        <v>529</v>
      </c>
      <c r="F129" s="4" t="s">
        <v>60</v>
      </c>
      <c r="G129" s="4" t="s">
        <v>66</v>
      </c>
      <c r="H129" s="3" t="s">
        <v>530</v>
      </c>
      <c r="I129" s="3" t="s">
        <v>531</v>
      </c>
      <c r="J129" s="4" t="s">
        <v>49</v>
      </c>
      <c r="K129" s="4" t="s">
        <v>143</v>
      </c>
      <c r="L129" s="3" t="s">
        <v>144</v>
      </c>
      <c r="M129" s="5" t="s">
        <v>646</v>
      </c>
      <c r="N129" s="3" t="s">
        <v>36</v>
      </c>
      <c r="O129" s="16">
        <v>23.650300000000001</v>
      </c>
      <c r="P129" s="16">
        <v>120.5531</v>
      </c>
      <c r="Q129" s="4" t="s">
        <v>145</v>
      </c>
      <c r="R129" s="3" t="s">
        <v>38</v>
      </c>
      <c r="S129" s="3" t="s">
        <v>146</v>
      </c>
      <c r="T129" s="5" t="s">
        <v>678</v>
      </c>
      <c r="U129" s="5" t="s">
        <v>679</v>
      </c>
      <c r="V129" s="3" t="s">
        <v>680</v>
      </c>
      <c r="W129" s="4" t="s">
        <v>150</v>
      </c>
    </row>
    <row r="130" spans="1:23" ht="70">
      <c r="A130" s="4">
        <v>128</v>
      </c>
      <c r="B130" s="4" t="s">
        <v>643</v>
      </c>
      <c r="C130" s="4" t="s">
        <v>658</v>
      </c>
      <c r="D130" s="3" t="s">
        <v>681</v>
      </c>
      <c r="E130" s="3" t="s">
        <v>74</v>
      </c>
      <c r="F130" s="4" t="s">
        <v>205</v>
      </c>
      <c r="G130" s="4" t="s">
        <v>225</v>
      </c>
      <c r="H130" s="3" t="s">
        <v>75</v>
      </c>
      <c r="I130" s="3" t="s">
        <v>76</v>
      </c>
      <c r="J130" s="4" t="s">
        <v>49</v>
      </c>
      <c r="K130" s="4" t="s">
        <v>33</v>
      </c>
      <c r="L130" s="3" t="s">
        <v>34</v>
      </c>
      <c r="M130" s="5" t="s">
        <v>646</v>
      </c>
      <c r="N130" s="3" t="s">
        <v>36</v>
      </c>
      <c r="O130" s="16">
        <v>23.709499999999998</v>
      </c>
      <c r="P130" s="16">
        <v>120.428</v>
      </c>
      <c r="Q130" s="4" t="s">
        <v>277</v>
      </c>
      <c r="R130" s="3" t="s">
        <v>38</v>
      </c>
      <c r="S130" s="3" t="s">
        <v>39</v>
      </c>
      <c r="T130" s="5" t="s">
        <v>682</v>
      </c>
      <c r="U130" s="5" t="s">
        <v>683</v>
      </c>
      <c r="V130" s="3" t="s">
        <v>684</v>
      </c>
      <c r="W130" s="4" t="s">
        <v>43</v>
      </c>
    </row>
    <row r="131" spans="1:23" ht="56">
      <c r="A131" s="4">
        <v>129</v>
      </c>
      <c r="B131" s="4" t="s">
        <v>685</v>
      </c>
      <c r="C131" s="4" t="s">
        <v>356</v>
      </c>
      <c r="D131" s="3" t="s">
        <v>686</v>
      </c>
      <c r="E131" s="3" t="s">
        <v>46</v>
      </c>
      <c r="F131" s="4" t="s">
        <v>28</v>
      </c>
      <c r="G131" s="4" t="s">
        <v>29</v>
      </c>
      <c r="H131" s="3" t="s">
        <v>47</v>
      </c>
      <c r="I131" s="3" t="s">
        <v>48</v>
      </c>
      <c r="J131" s="4" t="s">
        <v>32</v>
      </c>
      <c r="K131" s="4" t="s">
        <v>33</v>
      </c>
      <c r="L131" s="3" t="s">
        <v>34</v>
      </c>
      <c r="M131" s="5" t="s">
        <v>687</v>
      </c>
      <c r="N131" s="3" t="s">
        <v>36</v>
      </c>
      <c r="O131" s="16">
        <v>23.481000000000002</v>
      </c>
      <c r="P131" s="16">
        <v>120.46899999999999</v>
      </c>
      <c r="Q131" s="4" t="s">
        <v>37</v>
      </c>
      <c r="R131" s="3" t="s">
        <v>38</v>
      </c>
      <c r="S131" s="3" t="s">
        <v>39</v>
      </c>
      <c r="T131" s="5" t="s">
        <v>688</v>
      </c>
      <c r="U131" s="5" t="s">
        <v>689</v>
      </c>
      <c r="V131" s="3" t="s">
        <v>690</v>
      </c>
      <c r="W131" s="4" t="s">
        <v>43</v>
      </c>
    </row>
    <row r="132" spans="1:23" ht="56">
      <c r="A132" s="4">
        <v>130</v>
      </c>
      <c r="B132" s="4" t="s">
        <v>685</v>
      </c>
      <c r="C132" s="4" t="s">
        <v>356</v>
      </c>
      <c r="D132" s="3" t="s">
        <v>407</v>
      </c>
      <c r="E132" s="3" t="s">
        <v>231</v>
      </c>
      <c r="F132" s="4" t="s">
        <v>60</v>
      </c>
      <c r="G132" s="4" t="s">
        <v>29</v>
      </c>
      <c r="H132" s="3" t="s">
        <v>232</v>
      </c>
      <c r="I132" s="3" t="s">
        <v>233</v>
      </c>
      <c r="J132" s="4" t="s">
        <v>49</v>
      </c>
      <c r="K132" s="4" t="s">
        <v>33</v>
      </c>
      <c r="L132" s="3" t="s">
        <v>34</v>
      </c>
      <c r="M132" s="5" t="s">
        <v>687</v>
      </c>
      <c r="N132" s="3" t="s">
        <v>36</v>
      </c>
      <c r="O132" s="16">
        <v>23.475999999999999</v>
      </c>
      <c r="P132" s="16">
        <v>120.4494</v>
      </c>
      <c r="Q132" s="4" t="s">
        <v>145</v>
      </c>
      <c r="R132" s="3" t="s">
        <v>38</v>
      </c>
      <c r="S132" s="3" t="s">
        <v>39</v>
      </c>
      <c r="T132" s="5" t="s">
        <v>691</v>
      </c>
      <c r="U132" s="5" t="s">
        <v>692</v>
      </c>
      <c r="V132" s="3" t="s">
        <v>693</v>
      </c>
      <c r="W132" s="4" t="s">
        <v>43</v>
      </c>
    </row>
    <row r="133" spans="1:23" ht="56">
      <c r="A133" s="4">
        <v>131</v>
      </c>
      <c r="B133" s="4" t="s">
        <v>685</v>
      </c>
      <c r="C133" s="4" t="s">
        <v>356</v>
      </c>
      <c r="D133" s="3" t="s">
        <v>694</v>
      </c>
      <c r="E133" s="3" t="s">
        <v>74</v>
      </c>
      <c r="F133" s="4" t="s">
        <v>60</v>
      </c>
      <c r="G133" s="4" t="s">
        <v>66</v>
      </c>
      <c r="H133" s="3" t="s">
        <v>75</v>
      </c>
      <c r="I133" s="3" t="s">
        <v>76</v>
      </c>
      <c r="J133" s="4" t="s">
        <v>49</v>
      </c>
      <c r="K133" s="4" t="s">
        <v>143</v>
      </c>
      <c r="L133" s="3" t="s">
        <v>144</v>
      </c>
      <c r="M133" s="5" t="s">
        <v>687</v>
      </c>
      <c r="N133" s="3" t="s">
        <v>36</v>
      </c>
      <c r="O133" s="16">
        <v>23.480599999999999</v>
      </c>
      <c r="P133" s="16">
        <v>120.44929999999999</v>
      </c>
      <c r="Q133" s="4" t="s">
        <v>277</v>
      </c>
      <c r="R133" s="3" t="s">
        <v>38</v>
      </c>
      <c r="S133" s="3" t="s">
        <v>146</v>
      </c>
      <c r="T133" s="5" t="s">
        <v>695</v>
      </c>
      <c r="U133" s="5" t="s">
        <v>696</v>
      </c>
      <c r="V133" s="3" t="s">
        <v>697</v>
      </c>
      <c r="W133" s="4" t="s">
        <v>150</v>
      </c>
    </row>
    <row r="134" spans="1:23" ht="56">
      <c r="A134" s="4">
        <v>132</v>
      </c>
      <c r="B134" s="4" t="s">
        <v>685</v>
      </c>
      <c r="C134" s="4" t="s">
        <v>523</v>
      </c>
      <c r="D134" s="3" t="s">
        <v>698</v>
      </c>
      <c r="E134" s="3" t="s">
        <v>91</v>
      </c>
      <c r="F134" s="4" t="s">
        <v>60</v>
      </c>
      <c r="G134" s="4" t="s">
        <v>66</v>
      </c>
      <c r="H134" s="3" t="s">
        <v>92</v>
      </c>
      <c r="I134" s="3" t="s">
        <v>93</v>
      </c>
      <c r="J134" s="4" t="s">
        <v>49</v>
      </c>
      <c r="K134" s="4" t="s">
        <v>33</v>
      </c>
      <c r="L134" s="3" t="s">
        <v>34</v>
      </c>
      <c r="M134" s="5" t="s">
        <v>687</v>
      </c>
      <c r="N134" s="3" t="s">
        <v>36</v>
      </c>
      <c r="O134" s="16">
        <v>23.479299999999999</v>
      </c>
      <c r="P134" s="16">
        <v>120.4209</v>
      </c>
      <c r="Q134" s="4" t="s">
        <v>145</v>
      </c>
      <c r="R134" s="3" t="s">
        <v>38</v>
      </c>
      <c r="S134" s="3" t="s">
        <v>39</v>
      </c>
      <c r="T134" s="5" t="s">
        <v>699</v>
      </c>
      <c r="U134" s="5" t="s">
        <v>700</v>
      </c>
      <c r="V134" s="3" t="s">
        <v>701</v>
      </c>
      <c r="W134" s="4" t="s">
        <v>43</v>
      </c>
    </row>
    <row r="135" spans="1:23" ht="56">
      <c r="A135" s="4">
        <v>133</v>
      </c>
      <c r="B135" s="4" t="s">
        <v>685</v>
      </c>
      <c r="C135" s="4" t="s">
        <v>523</v>
      </c>
      <c r="D135" s="3" t="s">
        <v>702</v>
      </c>
      <c r="E135" s="3" t="s">
        <v>265</v>
      </c>
      <c r="F135" s="4" t="s">
        <v>60</v>
      </c>
      <c r="G135" s="4" t="s">
        <v>66</v>
      </c>
      <c r="H135" s="3" t="s">
        <v>266</v>
      </c>
      <c r="I135" s="3" t="s">
        <v>267</v>
      </c>
      <c r="J135" s="4" t="s">
        <v>49</v>
      </c>
      <c r="K135" s="4" t="s">
        <v>33</v>
      </c>
      <c r="L135" s="3" t="s">
        <v>34</v>
      </c>
      <c r="M135" s="5" t="s">
        <v>687</v>
      </c>
      <c r="N135" s="3" t="s">
        <v>36</v>
      </c>
      <c r="O135" s="16">
        <v>23.495799999999999</v>
      </c>
      <c r="P135" s="16">
        <v>120.4378</v>
      </c>
      <c r="Q135" s="4" t="s">
        <v>145</v>
      </c>
      <c r="R135" s="3" t="s">
        <v>38</v>
      </c>
      <c r="S135" s="3" t="s">
        <v>39</v>
      </c>
      <c r="T135" s="5" t="s">
        <v>703</v>
      </c>
      <c r="U135" s="5" t="s">
        <v>704</v>
      </c>
      <c r="V135" s="3" t="s">
        <v>705</v>
      </c>
      <c r="W135" s="4" t="s">
        <v>43</v>
      </c>
    </row>
    <row r="136" spans="1:23" ht="70">
      <c r="A136" s="4">
        <v>134</v>
      </c>
      <c r="B136" s="4" t="s">
        <v>685</v>
      </c>
      <c r="C136" s="4" t="s">
        <v>356</v>
      </c>
      <c r="D136" s="3" t="s">
        <v>706</v>
      </c>
      <c r="E136" s="3" t="s">
        <v>46</v>
      </c>
      <c r="F136" s="4" t="s">
        <v>60</v>
      </c>
      <c r="G136" s="4" t="s">
        <v>66</v>
      </c>
      <c r="H136" s="3" t="s">
        <v>47</v>
      </c>
      <c r="I136" s="3" t="s">
        <v>48</v>
      </c>
      <c r="J136" s="4" t="s">
        <v>49</v>
      </c>
      <c r="K136" s="4" t="s">
        <v>33</v>
      </c>
      <c r="L136" s="3" t="s">
        <v>34</v>
      </c>
      <c r="M136" s="5" t="s">
        <v>687</v>
      </c>
      <c r="N136" s="3" t="s">
        <v>36</v>
      </c>
      <c r="O136" s="16">
        <v>23.462</v>
      </c>
      <c r="P136" s="16">
        <v>120.4635</v>
      </c>
      <c r="Q136" s="4" t="s">
        <v>277</v>
      </c>
      <c r="R136" s="3" t="s">
        <v>38</v>
      </c>
      <c r="S136" s="3" t="s">
        <v>39</v>
      </c>
      <c r="T136" s="5" t="s">
        <v>707</v>
      </c>
      <c r="U136" s="5" t="s">
        <v>708</v>
      </c>
      <c r="V136" s="3" t="s">
        <v>709</v>
      </c>
      <c r="W136" s="4" t="s">
        <v>43</v>
      </c>
    </row>
    <row r="137" spans="1:23" ht="70">
      <c r="A137" s="4">
        <v>135</v>
      </c>
      <c r="B137" s="4" t="s">
        <v>685</v>
      </c>
      <c r="C137" s="4" t="s">
        <v>356</v>
      </c>
      <c r="D137" s="3" t="s">
        <v>710</v>
      </c>
      <c r="E137" s="3" t="s">
        <v>114</v>
      </c>
      <c r="F137" s="4" t="s">
        <v>205</v>
      </c>
      <c r="G137" s="4" t="s">
        <v>225</v>
      </c>
      <c r="H137" s="3" t="s">
        <v>115</v>
      </c>
      <c r="I137" s="3" t="s">
        <v>116</v>
      </c>
      <c r="J137" s="4" t="s">
        <v>49</v>
      </c>
      <c r="K137" s="4" t="s">
        <v>33</v>
      </c>
      <c r="L137" s="3" t="s">
        <v>34</v>
      </c>
      <c r="M137" s="5" t="s">
        <v>687</v>
      </c>
      <c r="N137" s="3" t="s">
        <v>36</v>
      </c>
      <c r="O137" s="16">
        <v>23.468</v>
      </c>
      <c r="P137" s="16">
        <v>120.4725</v>
      </c>
      <c r="Q137" s="4" t="s">
        <v>277</v>
      </c>
      <c r="R137" s="3" t="s">
        <v>38</v>
      </c>
      <c r="S137" s="3" t="s">
        <v>39</v>
      </c>
      <c r="T137" s="5" t="s">
        <v>711</v>
      </c>
      <c r="U137" s="5" t="s">
        <v>712</v>
      </c>
      <c r="V137" s="3" t="s">
        <v>713</v>
      </c>
      <c r="W137" s="4" t="s">
        <v>43</v>
      </c>
    </row>
    <row r="138" spans="1:23" ht="56">
      <c r="A138" s="4">
        <v>136</v>
      </c>
      <c r="B138" s="4" t="s">
        <v>714</v>
      </c>
      <c r="C138" s="4" t="s">
        <v>715</v>
      </c>
      <c r="D138" s="3" t="s">
        <v>716</v>
      </c>
      <c r="E138" s="3" t="s">
        <v>231</v>
      </c>
      <c r="F138" s="4" t="s">
        <v>60</v>
      </c>
      <c r="G138" s="4" t="s">
        <v>29</v>
      </c>
      <c r="H138" s="3" t="s">
        <v>232</v>
      </c>
      <c r="I138" s="3" t="s">
        <v>233</v>
      </c>
      <c r="J138" s="4" t="s">
        <v>49</v>
      </c>
      <c r="K138" s="4" t="s">
        <v>33</v>
      </c>
      <c r="L138" s="3" t="s">
        <v>34</v>
      </c>
      <c r="M138" s="5" t="s">
        <v>717</v>
      </c>
      <c r="N138" s="3" t="s">
        <v>36</v>
      </c>
      <c r="O138" s="16">
        <v>23.550999999999998</v>
      </c>
      <c r="P138" s="16">
        <v>120.429</v>
      </c>
      <c r="Q138" s="4" t="s">
        <v>277</v>
      </c>
      <c r="R138" s="3" t="s">
        <v>38</v>
      </c>
      <c r="S138" s="3" t="s">
        <v>39</v>
      </c>
      <c r="T138" s="5" t="s">
        <v>718</v>
      </c>
      <c r="U138" s="5" t="s">
        <v>719</v>
      </c>
      <c r="V138" s="3" t="s">
        <v>720</v>
      </c>
      <c r="W138" s="4" t="s">
        <v>43</v>
      </c>
    </row>
    <row r="139" spans="1:23" ht="70">
      <c r="A139" s="4">
        <v>137</v>
      </c>
      <c r="B139" s="4" t="s">
        <v>714</v>
      </c>
      <c r="C139" s="4" t="s">
        <v>721</v>
      </c>
      <c r="D139" s="3" t="s">
        <v>722</v>
      </c>
      <c r="E139" s="3" t="s">
        <v>231</v>
      </c>
      <c r="F139" s="4" t="s">
        <v>60</v>
      </c>
      <c r="G139" s="4" t="s">
        <v>66</v>
      </c>
      <c r="H139" s="3" t="s">
        <v>232</v>
      </c>
      <c r="I139" s="3" t="s">
        <v>233</v>
      </c>
      <c r="J139" s="4" t="s">
        <v>49</v>
      </c>
      <c r="K139" s="4" t="s">
        <v>33</v>
      </c>
      <c r="L139" s="3" t="s">
        <v>34</v>
      </c>
      <c r="M139" s="5" t="s">
        <v>717</v>
      </c>
      <c r="N139" s="3" t="s">
        <v>36</v>
      </c>
      <c r="O139" s="16">
        <v>23.582899999999999</v>
      </c>
      <c r="P139" s="16">
        <v>120.556</v>
      </c>
      <c r="Q139" s="4" t="s">
        <v>145</v>
      </c>
      <c r="R139" s="3" t="s">
        <v>38</v>
      </c>
      <c r="S139" s="3" t="s">
        <v>39</v>
      </c>
      <c r="T139" s="5" t="s">
        <v>723</v>
      </c>
      <c r="U139" s="5" t="s">
        <v>724</v>
      </c>
      <c r="V139" s="3" t="s">
        <v>725</v>
      </c>
      <c r="W139" s="4" t="s">
        <v>43</v>
      </c>
    </row>
    <row r="140" spans="1:23" ht="70">
      <c r="A140" s="4">
        <v>138</v>
      </c>
      <c r="B140" s="4" t="s">
        <v>714</v>
      </c>
      <c r="C140" s="4" t="s">
        <v>726</v>
      </c>
      <c r="D140" s="3" t="s">
        <v>727</v>
      </c>
      <c r="E140" s="3" t="s">
        <v>46</v>
      </c>
      <c r="F140" s="4" t="s">
        <v>60</v>
      </c>
      <c r="G140" s="4" t="s">
        <v>66</v>
      </c>
      <c r="H140" s="3" t="s">
        <v>47</v>
      </c>
      <c r="I140" s="3" t="s">
        <v>48</v>
      </c>
      <c r="J140" s="4" t="s">
        <v>49</v>
      </c>
      <c r="K140" s="4" t="s">
        <v>33</v>
      </c>
      <c r="L140" s="3" t="s">
        <v>34</v>
      </c>
      <c r="M140" s="5" t="s">
        <v>717</v>
      </c>
      <c r="N140" s="3" t="s">
        <v>36</v>
      </c>
      <c r="O140" s="16">
        <v>23.463000000000001</v>
      </c>
      <c r="P140" s="16">
        <v>120.248</v>
      </c>
      <c r="Q140" s="4" t="s">
        <v>277</v>
      </c>
      <c r="R140" s="3" t="s">
        <v>38</v>
      </c>
      <c r="S140" s="3" t="s">
        <v>39</v>
      </c>
      <c r="T140" s="5" t="s">
        <v>728</v>
      </c>
      <c r="U140" s="5" t="s">
        <v>729</v>
      </c>
      <c r="V140" s="3" t="s">
        <v>730</v>
      </c>
      <c r="W140" s="4" t="s">
        <v>43</v>
      </c>
    </row>
    <row r="141" spans="1:23" ht="70">
      <c r="A141" s="4">
        <v>139</v>
      </c>
      <c r="B141" s="4" t="s">
        <v>714</v>
      </c>
      <c r="C141" s="4" t="s">
        <v>726</v>
      </c>
      <c r="D141" s="3" t="s">
        <v>731</v>
      </c>
      <c r="E141" s="3" t="s">
        <v>114</v>
      </c>
      <c r="F141" s="4" t="s">
        <v>60</v>
      </c>
      <c r="G141" s="4" t="s">
        <v>66</v>
      </c>
      <c r="H141" s="3" t="s">
        <v>115</v>
      </c>
      <c r="I141" s="3" t="s">
        <v>116</v>
      </c>
      <c r="J141" s="4" t="s">
        <v>49</v>
      </c>
      <c r="K141" s="4" t="s">
        <v>33</v>
      </c>
      <c r="L141" s="3" t="s">
        <v>34</v>
      </c>
      <c r="M141" s="5" t="s">
        <v>717</v>
      </c>
      <c r="N141" s="3" t="s">
        <v>36</v>
      </c>
      <c r="O141" s="16">
        <v>23.458500000000001</v>
      </c>
      <c r="P141" s="16">
        <v>120.247</v>
      </c>
      <c r="Q141" s="4" t="s">
        <v>277</v>
      </c>
      <c r="R141" s="3" t="s">
        <v>38</v>
      </c>
      <c r="S141" s="3" t="s">
        <v>39</v>
      </c>
      <c r="T141" s="5" t="s">
        <v>732</v>
      </c>
      <c r="U141" s="5" t="s">
        <v>733</v>
      </c>
      <c r="V141" s="3" t="s">
        <v>734</v>
      </c>
      <c r="W141" s="4" t="s">
        <v>43</v>
      </c>
    </row>
    <row r="142" spans="1:23" ht="84">
      <c r="A142" s="4">
        <v>140</v>
      </c>
      <c r="B142" s="4" t="s">
        <v>714</v>
      </c>
      <c r="C142" s="4" t="s">
        <v>735</v>
      </c>
      <c r="D142" s="3" t="s">
        <v>736</v>
      </c>
      <c r="E142" s="3" t="s">
        <v>243</v>
      </c>
      <c r="F142" s="4" t="s">
        <v>28</v>
      </c>
      <c r="G142" s="4" t="s">
        <v>29</v>
      </c>
      <c r="H142" s="3" t="s">
        <v>244</v>
      </c>
      <c r="I142" s="3" t="s">
        <v>245</v>
      </c>
      <c r="J142" s="4" t="s">
        <v>49</v>
      </c>
      <c r="K142" s="4" t="s">
        <v>33</v>
      </c>
      <c r="L142" s="3" t="s">
        <v>34</v>
      </c>
      <c r="M142" s="5" t="s">
        <v>717</v>
      </c>
      <c r="N142" s="3" t="s">
        <v>36</v>
      </c>
      <c r="O142" s="16">
        <v>23.452300000000001</v>
      </c>
      <c r="P142" s="16">
        <v>120.1438</v>
      </c>
      <c r="Q142" s="4" t="s">
        <v>145</v>
      </c>
      <c r="R142" s="3" t="s">
        <v>38</v>
      </c>
      <c r="S142" s="3" t="s">
        <v>39</v>
      </c>
      <c r="T142" s="5" t="s">
        <v>737</v>
      </c>
      <c r="U142" s="5" t="s">
        <v>738</v>
      </c>
      <c r="V142" s="3" t="s">
        <v>739</v>
      </c>
      <c r="W142" s="4" t="s">
        <v>43</v>
      </c>
    </row>
    <row r="143" spans="1:23" ht="70">
      <c r="A143" s="4">
        <v>141</v>
      </c>
      <c r="B143" s="4" t="s">
        <v>714</v>
      </c>
      <c r="C143" s="4" t="s">
        <v>740</v>
      </c>
      <c r="D143" s="3" t="s">
        <v>741</v>
      </c>
      <c r="E143" s="3" t="s">
        <v>91</v>
      </c>
      <c r="F143" s="4" t="s">
        <v>205</v>
      </c>
      <c r="G143" s="4" t="s">
        <v>225</v>
      </c>
      <c r="H143" s="3" t="s">
        <v>92</v>
      </c>
      <c r="I143" s="3" t="s">
        <v>93</v>
      </c>
      <c r="J143" s="4" t="s">
        <v>49</v>
      </c>
      <c r="K143" s="4" t="s">
        <v>33</v>
      </c>
      <c r="L143" s="3" t="s">
        <v>34</v>
      </c>
      <c r="M143" s="5" t="s">
        <v>717</v>
      </c>
      <c r="N143" s="3" t="s">
        <v>36</v>
      </c>
      <c r="O143" s="16">
        <v>23.603000000000002</v>
      </c>
      <c r="P143" s="16">
        <v>120.455</v>
      </c>
      <c r="Q143" s="4" t="s">
        <v>277</v>
      </c>
      <c r="R143" s="3" t="s">
        <v>38</v>
      </c>
      <c r="S143" s="3" t="s">
        <v>39</v>
      </c>
      <c r="T143" s="5" t="s">
        <v>742</v>
      </c>
      <c r="U143" s="5" t="s">
        <v>743</v>
      </c>
      <c r="V143" s="3" t="s">
        <v>744</v>
      </c>
      <c r="W143" s="4" t="s">
        <v>43</v>
      </c>
    </row>
    <row r="144" spans="1:23" ht="70">
      <c r="A144" s="4">
        <v>142</v>
      </c>
      <c r="B144" s="4" t="s">
        <v>714</v>
      </c>
      <c r="C144" s="4" t="s">
        <v>745</v>
      </c>
      <c r="D144" s="3" t="s">
        <v>746</v>
      </c>
      <c r="E144" s="3" t="s">
        <v>46</v>
      </c>
      <c r="F144" s="4" t="s">
        <v>28</v>
      </c>
      <c r="G144" s="4" t="s">
        <v>29</v>
      </c>
      <c r="H144" s="3" t="s">
        <v>47</v>
      </c>
      <c r="I144" s="3" t="s">
        <v>48</v>
      </c>
      <c r="J144" s="4" t="s">
        <v>49</v>
      </c>
      <c r="K144" s="4" t="s">
        <v>143</v>
      </c>
      <c r="L144" s="3" t="s">
        <v>144</v>
      </c>
      <c r="M144" s="5" t="s">
        <v>717</v>
      </c>
      <c r="N144" s="3" t="s">
        <v>36</v>
      </c>
      <c r="O144" s="16">
        <v>23.378</v>
      </c>
      <c r="P144" s="16">
        <v>120.148</v>
      </c>
      <c r="Q144" s="4" t="s">
        <v>145</v>
      </c>
      <c r="R144" s="3" t="s">
        <v>38</v>
      </c>
      <c r="S144" s="3" t="s">
        <v>146</v>
      </c>
      <c r="T144" s="5" t="s">
        <v>747</v>
      </c>
      <c r="U144" s="5" t="s">
        <v>748</v>
      </c>
      <c r="V144" s="3" t="s">
        <v>749</v>
      </c>
      <c r="W144" s="4" t="s">
        <v>150</v>
      </c>
    </row>
    <row r="145" spans="1:23" ht="56">
      <c r="A145" s="4">
        <v>143</v>
      </c>
      <c r="B145" s="4" t="s">
        <v>750</v>
      </c>
      <c r="C145" s="4" t="s">
        <v>751</v>
      </c>
      <c r="D145" s="3" t="s">
        <v>752</v>
      </c>
      <c r="E145" s="3" t="s">
        <v>46</v>
      </c>
      <c r="F145" s="4" t="s">
        <v>28</v>
      </c>
      <c r="G145" s="4" t="s">
        <v>29</v>
      </c>
      <c r="H145" s="3" t="s">
        <v>47</v>
      </c>
      <c r="I145" s="3" t="s">
        <v>48</v>
      </c>
      <c r="J145" s="4" t="s">
        <v>49</v>
      </c>
      <c r="K145" s="4" t="s">
        <v>33</v>
      </c>
      <c r="L145" s="3" t="s">
        <v>34</v>
      </c>
      <c r="M145" s="5" t="s">
        <v>753</v>
      </c>
      <c r="N145" s="3" t="s">
        <v>36</v>
      </c>
      <c r="O145" s="16">
        <v>23.003699999999998</v>
      </c>
      <c r="P145" s="16">
        <v>120.211</v>
      </c>
      <c r="Q145" s="4" t="s">
        <v>145</v>
      </c>
      <c r="R145" s="3" t="s">
        <v>38</v>
      </c>
      <c r="S145" s="3" t="s">
        <v>39</v>
      </c>
      <c r="T145" s="5" t="s">
        <v>754</v>
      </c>
      <c r="U145" s="5" t="s">
        <v>755</v>
      </c>
      <c r="V145" s="3" t="s">
        <v>756</v>
      </c>
      <c r="W145" s="4" t="s">
        <v>43</v>
      </c>
    </row>
    <row r="146" spans="1:23" ht="70">
      <c r="A146" s="4">
        <v>144</v>
      </c>
      <c r="B146" s="4" t="s">
        <v>750</v>
      </c>
      <c r="C146" s="4" t="s">
        <v>356</v>
      </c>
      <c r="D146" s="3" t="s">
        <v>757</v>
      </c>
      <c r="E146" s="3" t="s">
        <v>265</v>
      </c>
      <c r="F146" s="4" t="s">
        <v>28</v>
      </c>
      <c r="G146" s="4" t="s">
        <v>29</v>
      </c>
      <c r="H146" s="3" t="s">
        <v>266</v>
      </c>
      <c r="I146" s="3" t="s">
        <v>267</v>
      </c>
      <c r="J146" s="4" t="s">
        <v>32</v>
      </c>
      <c r="K146" s="4" t="s">
        <v>33</v>
      </c>
      <c r="L146" s="3" t="s">
        <v>34</v>
      </c>
      <c r="M146" s="5" t="s">
        <v>753</v>
      </c>
      <c r="N146" s="3" t="s">
        <v>36</v>
      </c>
      <c r="O146" s="16">
        <v>22.971</v>
      </c>
      <c r="P146" s="16">
        <v>120.223</v>
      </c>
      <c r="Q146" s="4" t="s">
        <v>37</v>
      </c>
      <c r="R146" s="3" t="s">
        <v>38</v>
      </c>
      <c r="S146" s="3" t="s">
        <v>39</v>
      </c>
      <c r="T146" s="5" t="s">
        <v>758</v>
      </c>
      <c r="U146" s="5" t="s">
        <v>759</v>
      </c>
      <c r="V146" s="3" t="s">
        <v>760</v>
      </c>
      <c r="W146" s="4" t="s">
        <v>43</v>
      </c>
    </row>
    <row r="147" spans="1:23" ht="56">
      <c r="A147" s="4">
        <v>145</v>
      </c>
      <c r="B147" s="4" t="s">
        <v>750</v>
      </c>
      <c r="C147" s="4" t="s">
        <v>356</v>
      </c>
      <c r="D147" s="3" t="s">
        <v>761</v>
      </c>
      <c r="E147" s="3" t="s">
        <v>27</v>
      </c>
      <c r="F147" s="4" t="s">
        <v>60</v>
      </c>
      <c r="G147" s="4" t="s">
        <v>29</v>
      </c>
      <c r="H147" s="3" t="s">
        <v>30</v>
      </c>
      <c r="I147" s="3" t="s">
        <v>31</v>
      </c>
      <c r="J147" s="4" t="s">
        <v>49</v>
      </c>
      <c r="K147" s="4" t="s">
        <v>33</v>
      </c>
      <c r="L147" s="3" t="s">
        <v>34</v>
      </c>
      <c r="M147" s="5" t="s">
        <v>753</v>
      </c>
      <c r="N147" s="3" t="s">
        <v>36</v>
      </c>
      <c r="O147" s="16">
        <v>22.998799999999999</v>
      </c>
      <c r="P147" s="16">
        <v>120.22669999999999</v>
      </c>
      <c r="Q147" s="4" t="s">
        <v>145</v>
      </c>
      <c r="R147" s="3" t="s">
        <v>38</v>
      </c>
      <c r="S147" s="3" t="s">
        <v>39</v>
      </c>
      <c r="T147" s="5" t="s">
        <v>762</v>
      </c>
      <c r="U147" s="5" t="s">
        <v>763</v>
      </c>
      <c r="V147" s="3" t="s">
        <v>764</v>
      </c>
      <c r="W147" s="4" t="s">
        <v>43</v>
      </c>
    </row>
    <row r="148" spans="1:23" ht="56">
      <c r="A148" s="4">
        <v>146</v>
      </c>
      <c r="B148" s="4" t="s">
        <v>750</v>
      </c>
      <c r="C148" s="4" t="s">
        <v>765</v>
      </c>
      <c r="D148" s="3" t="s">
        <v>766</v>
      </c>
      <c r="E148" s="3" t="s">
        <v>46</v>
      </c>
      <c r="F148" s="4" t="s">
        <v>28</v>
      </c>
      <c r="G148" s="4" t="s">
        <v>29</v>
      </c>
      <c r="H148" s="3" t="s">
        <v>47</v>
      </c>
      <c r="I148" s="3" t="s">
        <v>48</v>
      </c>
      <c r="J148" s="4" t="s">
        <v>49</v>
      </c>
      <c r="K148" s="4" t="s">
        <v>33</v>
      </c>
      <c r="L148" s="3" t="s">
        <v>34</v>
      </c>
      <c r="M148" s="5" t="s">
        <v>753</v>
      </c>
      <c r="N148" s="3" t="s">
        <v>36</v>
      </c>
      <c r="O148" s="16">
        <v>22.993500000000001</v>
      </c>
      <c r="P148" s="16">
        <v>120.1585</v>
      </c>
      <c r="Q148" s="4" t="s">
        <v>145</v>
      </c>
      <c r="R148" s="3" t="s">
        <v>38</v>
      </c>
      <c r="S148" s="3" t="s">
        <v>39</v>
      </c>
      <c r="T148" s="5" t="s">
        <v>767</v>
      </c>
      <c r="U148" s="5" t="s">
        <v>768</v>
      </c>
      <c r="V148" s="3" t="s">
        <v>769</v>
      </c>
      <c r="W148" s="4" t="s">
        <v>43</v>
      </c>
    </row>
    <row r="149" spans="1:23" ht="70">
      <c r="A149" s="4">
        <v>147</v>
      </c>
      <c r="B149" s="4" t="s">
        <v>750</v>
      </c>
      <c r="C149" s="4" t="s">
        <v>765</v>
      </c>
      <c r="D149" s="3" t="s">
        <v>770</v>
      </c>
      <c r="E149" s="3" t="s">
        <v>114</v>
      </c>
      <c r="F149" s="4" t="s">
        <v>60</v>
      </c>
      <c r="G149" s="4" t="s">
        <v>66</v>
      </c>
      <c r="H149" s="3" t="s">
        <v>115</v>
      </c>
      <c r="I149" s="3" t="s">
        <v>116</v>
      </c>
      <c r="J149" s="4" t="s">
        <v>49</v>
      </c>
      <c r="K149" s="4" t="s">
        <v>33</v>
      </c>
      <c r="L149" s="3" t="s">
        <v>34</v>
      </c>
      <c r="M149" s="5" t="s">
        <v>753</v>
      </c>
      <c r="N149" s="3" t="s">
        <v>36</v>
      </c>
      <c r="O149" s="16">
        <v>22.994</v>
      </c>
      <c r="P149" s="16">
        <v>120.16</v>
      </c>
      <c r="Q149" s="4" t="s">
        <v>277</v>
      </c>
      <c r="R149" s="3" t="s">
        <v>38</v>
      </c>
      <c r="S149" s="3" t="s">
        <v>39</v>
      </c>
      <c r="T149" s="5" t="s">
        <v>771</v>
      </c>
      <c r="U149" s="5" t="s">
        <v>772</v>
      </c>
      <c r="V149" s="3" t="s">
        <v>773</v>
      </c>
      <c r="W149" s="4" t="s">
        <v>43</v>
      </c>
    </row>
    <row r="150" spans="1:23" ht="70">
      <c r="A150" s="4">
        <v>148</v>
      </c>
      <c r="B150" s="4" t="s">
        <v>750</v>
      </c>
      <c r="C150" s="4" t="s">
        <v>765</v>
      </c>
      <c r="D150" s="3" t="s">
        <v>774</v>
      </c>
      <c r="E150" s="3" t="s">
        <v>46</v>
      </c>
      <c r="F150" s="4" t="s">
        <v>60</v>
      </c>
      <c r="G150" s="4" t="s">
        <v>66</v>
      </c>
      <c r="H150" s="3" t="s">
        <v>47</v>
      </c>
      <c r="I150" s="3" t="s">
        <v>48</v>
      </c>
      <c r="J150" s="4" t="s">
        <v>49</v>
      </c>
      <c r="K150" s="4" t="s">
        <v>33</v>
      </c>
      <c r="L150" s="3" t="s">
        <v>34</v>
      </c>
      <c r="M150" s="5" t="s">
        <v>753</v>
      </c>
      <c r="N150" s="3" t="s">
        <v>36</v>
      </c>
      <c r="O150" s="16">
        <v>22.988</v>
      </c>
      <c r="P150" s="16">
        <v>120.16070000000001</v>
      </c>
      <c r="Q150" s="4" t="s">
        <v>145</v>
      </c>
      <c r="R150" s="3" t="s">
        <v>38</v>
      </c>
      <c r="S150" s="3" t="s">
        <v>39</v>
      </c>
      <c r="T150" s="5" t="s">
        <v>775</v>
      </c>
      <c r="U150" s="5" t="s">
        <v>776</v>
      </c>
      <c r="V150" s="3" t="s">
        <v>777</v>
      </c>
      <c r="W150" s="4" t="s">
        <v>43</v>
      </c>
    </row>
    <row r="151" spans="1:23" ht="56">
      <c r="A151" s="4">
        <v>149</v>
      </c>
      <c r="B151" s="4" t="s">
        <v>750</v>
      </c>
      <c r="C151" s="4" t="s">
        <v>549</v>
      </c>
      <c r="D151" s="3" t="s">
        <v>778</v>
      </c>
      <c r="E151" s="3" t="s">
        <v>74</v>
      </c>
      <c r="F151" s="4" t="s">
        <v>60</v>
      </c>
      <c r="G151" s="4" t="s">
        <v>66</v>
      </c>
      <c r="H151" s="3" t="s">
        <v>75</v>
      </c>
      <c r="I151" s="3" t="s">
        <v>76</v>
      </c>
      <c r="J151" s="4" t="s">
        <v>49</v>
      </c>
      <c r="K151" s="4" t="s">
        <v>33</v>
      </c>
      <c r="L151" s="3" t="s">
        <v>34</v>
      </c>
      <c r="M151" s="5" t="s">
        <v>753</v>
      </c>
      <c r="N151" s="3" t="s">
        <v>36</v>
      </c>
      <c r="O151" s="16">
        <v>22.985600000000002</v>
      </c>
      <c r="P151" s="16">
        <v>120.1887</v>
      </c>
      <c r="Q151" s="4" t="s">
        <v>145</v>
      </c>
      <c r="R151" s="3" t="s">
        <v>38</v>
      </c>
      <c r="S151" s="3" t="s">
        <v>39</v>
      </c>
      <c r="T151" s="5" t="s">
        <v>779</v>
      </c>
      <c r="U151" s="5" t="s">
        <v>780</v>
      </c>
      <c r="V151" s="3" t="s">
        <v>781</v>
      </c>
      <c r="W151" s="4" t="s">
        <v>43</v>
      </c>
    </row>
    <row r="152" spans="1:23" ht="56">
      <c r="A152" s="4">
        <v>150</v>
      </c>
      <c r="B152" s="4" t="s">
        <v>750</v>
      </c>
      <c r="C152" s="4" t="s">
        <v>549</v>
      </c>
      <c r="D152" s="3" t="s">
        <v>782</v>
      </c>
      <c r="E152" s="3" t="s">
        <v>114</v>
      </c>
      <c r="F152" s="4" t="s">
        <v>60</v>
      </c>
      <c r="G152" s="4" t="s">
        <v>66</v>
      </c>
      <c r="H152" s="3" t="s">
        <v>115</v>
      </c>
      <c r="I152" s="3" t="s">
        <v>116</v>
      </c>
      <c r="J152" s="4" t="s">
        <v>49</v>
      </c>
      <c r="K152" s="4" t="s">
        <v>143</v>
      </c>
      <c r="L152" s="3" t="s">
        <v>144</v>
      </c>
      <c r="M152" s="5" t="s">
        <v>753</v>
      </c>
      <c r="N152" s="3" t="s">
        <v>36</v>
      </c>
      <c r="O152" s="16">
        <v>22.9757</v>
      </c>
      <c r="P152" s="16">
        <v>120.2085</v>
      </c>
      <c r="Q152" s="4" t="s">
        <v>99</v>
      </c>
      <c r="R152" s="3" t="s">
        <v>38</v>
      </c>
      <c r="S152" s="3" t="s">
        <v>117</v>
      </c>
      <c r="T152" s="5" t="s">
        <v>783</v>
      </c>
      <c r="U152" s="5" t="s">
        <v>784</v>
      </c>
      <c r="V152" s="3" t="s">
        <v>785</v>
      </c>
      <c r="W152" s="4" t="s">
        <v>121</v>
      </c>
    </row>
    <row r="153" spans="1:23" ht="70">
      <c r="A153" s="4">
        <v>151</v>
      </c>
      <c r="B153" s="4" t="s">
        <v>750</v>
      </c>
      <c r="C153" s="4" t="s">
        <v>786</v>
      </c>
      <c r="D153" s="3" t="s">
        <v>787</v>
      </c>
      <c r="E153" s="3" t="s">
        <v>27</v>
      </c>
      <c r="F153" s="4" t="s">
        <v>60</v>
      </c>
      <c r="G153" s="4" t="s">
        <v>29</v>
      </c>
      <c r="H153" s="3" t="s">
        <v>30</v>
      </c>
      <c r="I153" s="3" t="s">
        <v>31</v>
      </c>
      <c r="J153" s="4" t="s">
        <v>49</v>
      </c>
      <c r="K153" s="4" t="s">
        <v>33</v>
      </c>
      <c r="L153" s="3" t="s">
        <v>34</v>
      </c>
      <c r="M153" s="5" t="s">
        <v>753</v>
      </c>
      <c r="N153" s="3" t="s">
        <v>36</v>
      </c>
      <c r="O153" s="16">
        <v>23.3065</v>
      </c>
      <c r="P153" s="16">
        <v>120.316</v>
      </c>
      <c r="Q153" s="4" t="s">
        <v>145</v>
      </c>
      <c r="R153" s="3" t="s">
        <v>38</v>
      </c>
      <c r="S153" s="3" t="s">
        <v>39</v>
      </c>
      <c r="T153" s="5" t="s">
        <v>788</v>
      </c>
      <c r="U153" s="5" t="s">
        <v>789</v>
      </c>
      <c r="V153" s="3" t="s">
        <v>790</v>
      </c>
      <c r="W153" s="4" t="s">
        <v>43</v>
      </c>
    </row>
    <row r="154" spans="1:23" ht="56">
      <c r="A154" s="4">
        <v>152</v>
      </c>
      <c r="B154" s="4" t="s">
        <v>750</v>
      </c>
      <c r="C154" s="4" t="s">
        <v>786</v>
      </c>
      <c r="D154" s="3" t="s">
        <v>791</v>
      </c>
      <c r="E154" s="3" t="s">
        <v>265</v>
      </c>
      <c r="F154" s="4" t="s">
        <v>60</v>
      </c>
      <c r="G154" s="4" t="s">
        <v>66</v>
      </c>
      <c r="H154" s="3" t="s">
        <v>266</v>
      </c>
      <c r="I154" s="3" t="s">
        <v>267</v>
      </c>
      <c r="J154" s="4" t="s">
        <v>49</v>
      </c>
      <c r="K154" s="4" t="s">
        <v>33</v>
      </c>
      <c r="L154" s="3" t="s">
        <v>34</v>
      </c>
      <c r="M154" s="5" t="s">
        <v>753</v>
      </c>
      <c r="N154" s="3" t="s">
        <v>36</v>
      </c>
      <c r="O154" s="16">
        <v>23.332000000000001</v>
      </c>
      <c r="P154" s="16">
        <v>120.319</v>
      </c>
      <c r="Q154" s="4" t="s">
        <v>277</v>
      </c>
      <c r="R154" s="3" t="s">
        <v>38</v>
      </c>
      <c r="S154" s="3" t="s">
        <v>39</v>
      </c>
      <c r="T154" s="5" t="s">
        <v>792</v>
      </c>
      <c r="U154" s="5" t="s">
        <v>793</v>
      </c>
      <c r="V154" s="3" t="s">
        <v>794</v>
      </c>
      <c r="W154" s="4" t="s">
        <v>43</v>
      </c>
    </row>
    <row r="155" spans="1:23" ht="70">
      <c r="A155" s="4">
        <v>153</v>
      </c>
      <c r="B155" s="4" t="s">
        <v>750</v>
      </c>
      <c r="C155" s="4" t="s">
        <v>795</v>
      </c>
      <c r="D155" s="3" t="s">
        <v>796</v>
      </c>
      <c r="E155" s="3" t="s">
        <v>231</v>
      </c>
      <c r="F155" s="4" t="s">
        <v>60</v>
      </c>
      <c r="G155" s="4" t="s">
        <v>66</v>
      </c>
      <c r="H155" s="3" t="s">
        <v>232</v>
      </c>
      <c r="I155" s="3" t="s">
        <v>233</v>
      </c>
      <c r="J155" s="4" t="s">
        <v>49</v>
      </c>
      <c r="K155" s="4" t="s">
        <v>33</v>
      </c>
      <c r="L155" s="3" t="s">
        <v>34</v>
      </c>
      <c r="M155" s="5" t="s">
        <v>753</v>
      </c>
      <c r="N155" s="3" t="s">
        <v>36</v>
      </c>
      <c r="O155" s="16">
        <v>23.03</v>
      </c>
      <c r="P155" s="16">
        <v>120.253</v>
      </c>
      <c r="Q155" s="4" t="s">
        <v>37</v>
      </c>
      <c r="R155" s="3" t="s">
        <v>38</v>
      </c>
      <c r="S155" s="3" t="s">
        <v>39</v>
      </c>
      <c r="T155" s="5" t="s">
        <v>797</v>
      </c>
      <c r="U155" s="5" t="s">
        <v>798</v>
      </c>
      <c r="V155" s="3" t="s">
        <v>799</v>
      </c>
      <c r="W155" s="4" t="s">
        <v>43</v>
      </c>
    </row>
    <row r="156" spans="1:23" ht="70">
      <c r="A156" s="4">
        <v>154</v>
      </c>
      <c r="B156" s="4" t="s">
        <v>750</v>
      </c>
      <c r="C156" s="4" t="s">
        <v>800</v>
      </c>
      <c r="D156" s="3" t="s">
        <v>801</v>
      </c>
      <c r="E156" s="3" t="s">
        <v>27</v>
      </c>
      <c r="F156" s="4" t="s">
        <v>28</v>
      </c>
      <c r="G156" s="4" t="s">
        <v>29</v>
      </c>
      <c r="H156" s="3" t="s">
        <v>30</v>
      </c>
      <c r="I156" s="3" t="s">
        <v>31</v>
      </c>
      <c r="J156" s="4" t="s">
        <v>49</v>
      </c>
      <c r="K156" s="4" t="s">
        <v>33</v>
      </c>
      <c r="L156" s="3" t="s">
        <v>34</v>
      </c>
      <c r="M156" s="5" t="s">
        <v>753</v>
      </c>
      <c r="N156" s="3" t="s">
        <v>36</v>
      </c>
      <c r="O156" s="16">
        <v>22.938199999999998</v>
      </c>
      <c r="P156" s="16">
        <v>120.2243</v>
      </c>
      <c r="Q156" s="4" t="s">
        <v>145</v>
      </c>
      <c r="R156" s="3" t="s">
        <v>38</v>
      </c>
      <c r="S156" s="3" t="s">
        <v>39</v>
      </c>
      <c r="T156" s="5" t="s">
        <v>802</v>
      </c>
      <c r="U156" s="5" t="s">
        <v>803</v>
      </c>
      <c r="V156" s="3" t="s">
        <v>804</v>
      </c>
      <c r="W156" s="4" t="s">
        <v>43</v>
      </c>
    </row>
    <row r="157" spans="1:23" ht="70">
      <c r="A157" s="4">
        <v>155</v>
      </c>
      <c r="B157" s="4" t="s">
        <v>750</v>
      </c>
      <c r="C157" s="4" t="s">
        <v>805</v>
      </c>
      <c r="D157" s="3" t="s">
        <v>806</v>
      </c>
      <c r="E157" s="3" t="s">
        <v>265</v>
      </c>
      <c r="F157" s="4" t="s">
        <v>60</v>
      </c>
      <c r="G157" s="4" t="s">
        <v>66</v>
      </c>
      <c r="H157" s="3" t="s">
        <v>266</v>
      </c>
      <c r="I157" s="3" t="s">
        <v>267</v>
      </c>
      <c r="J157" s="4" t="s">
        <v>49</v>
      </c>
      <c r="K157" s="4" t="s">
        <v>33</v>
      </c>
      <c r="L157" s="3" t="s">
        <v>34</v>
      </c>
      <c r="M157" s="5" t="s">
        <v>753</v>
      </c>
      <c r="N157" s="3" t="s">
        <v>36</v>
      </c>
      <c r="O157" s="16">
        <v>23.194600000000001</v>
      </c>
      <c r="P157" s="16">
        <v>120.322</v>
      </c>
      <c r="Q157" s="4" t="s">
        <v>277</v>
      </c>
      <c r="R157" s="3" t="s">
        <v>38</v>
      </c>
      <c r="S157" s="3" t="s">
        <v>39</v>
      </c>
      <c r="T157" s="5" t="s">
        <v>807</v>
      </c>
      <c r="U157" s="5" t="s">
        <v>808</v>
      </c>
      <c r="V157" s="3" t="s">
        <v>809</v>
      </c>
      <c r="W157" s="4" t="s">
        <v>43</v>
      </c>
    </row>
    <row r="158" spans="1:23" ht="70">
      <c r="A158" s="4">
        <v>156</v>
      </c>
      <c r="B158" s="4" t="s">
        <v>750</v>
      </c>
      <c r="C158" s="4" t="s">
        <v>810</v>
      </c>
      <c r="D158" s="3" t="s">
        <v>811</v>
      </c>
      <c r="E158" s="3" t="s">
        <v>265</v>
      </c>
      <c r="F158" s="4" t="s">
        <v>28</v>
      </c>
      <c r="G158" s="4" t="s">
        <v>29</v>
      </c>
      <c r="H158" s="3" t="s">
        <v>266</v>
      </c>
      <c r="I158" s="3" t="s">
        <v>267</v>
      </c>
      <c r="J158" s="4" t="s">
        <v>49</v>
      </c>
      <c r="K158" s="4" t="s">
        <v>143</v>
      </c>
      <c r="L158" s="3" t="s">
        <v>144</v>
      </c>
      <c r="M158" s="5" t="s">
        <v>753</v>
      </c>
      <c r="N158" s="3" t="s">
        <v>36</v>
      </c>
      <c r="O158" s="16">
        <v>23.026800000000001</v>
      </c>
      <c r="P158" s="16">
        <v>120.343</v>
      </c>
      <c r="Q158" s="4" t="s">
        <v>145</v>
      </c>
      <c r="R158" s="3" t="s">
        <v>38</v>
      </c>
      <c r="S158" s="3" t="s">
        <v>146</v>
      </c>
      <c r="T158" s="5" t="s">
        <v>812</v>
      </c>
      <c r="U158" s="5" t="s">
        <v>813</v>
      </c>
      <c r="V158" s="3" t="s">
        <v>814</v>
      </c>
      <c r="W158" s="4" t="s">
        <v>150</v>
      </c>
    </row>
    <row r="159" spans="1:23" ht="70">
      <c r="A159" s="4">
        <v>157</v>
      </c>
      <c r="B159" s="4" t="s">
        <v>750</v>
      </c>
      <c r="C159" s="4" t="s">
        <v>549</v>
      </c>
      <c r="D159" s="3" t="s">
        <v>815</v>
      </c>
      <c r="E159" s="3" t="s">
        <v>46</v>
      </c>
      <c r="F159" s="4" t="s">
        <v>60</v>
      </c>
      <c r="G159" s="4" t="s">
        <v>66</v>
      </c>
      <c r="H159" s="3" t="s">
        <v>47</v>
      </c>
      <c r="I159" s="3" t="s">
        <v>48</v>
      </c>
      <c r="J159" s="4" t="s">
        <v>49</v>
      </c>
      <c r="K159" s="4" t="s">
        <v>143</v>
      </c>
      <c r="L159" s="3" t="s">
        <v>144</v>
      </c>
      <c r="M159" s="5" t="s">
        <v>753</v>
      </c>
      <c r="N159" s="3" t="s">
        <v>36</v>
      </c>
      <c r="O159" s="16">
        <v>22.9802</v>
      </c>
      <c r="P159" s="16">
        <v>120.19750000000001</v>
      </c>
      <c r="Q159" s="4" t="s">
        <v>277</v>
      </c>
      <c r="R159" s="3" t="s">
        <v>38</v>
      </c>
      <c r="S159" s="3" t="s">
        <v>146</v>
      </c>
      <c r="T159" s="5" t="s">
        <v>816</v>
      </c>
      <c r="U159" s="5" t="s">
        <v>817</v>
      </c>
      <c r="V159" s="3" t="s">
        <v>818</v>
      </c>
      <c r="W159" s="4" t="s">
        <v>150</v>
      </c>
    </row>
    <row r="160" spans="1:23" ht="56">
      <c r="A160" s="4">
        <v>158</v>
      </c>
      <c r="B160" s="4" t="s">
        <v>819</v>
      </c>
      <c r="C160" s="4" t="s">
        <v>820</v>
      </c>
      <c r="D160" s="3" t="s">
        <v>380</v>
      </c>
      <c r="E160" s="3" t="s">
        <v>27</v>
      </c>
      <c r="F160" s="4" t="s">
        <v>28</v>
      </c>
      <c r="G160" s="4" t="s">
        <v>29</v>
      </c>
      <c r="H160" s="3" t="s">
        <v>30</v>
      </c>
      <c r="I160" s="3" t="s">
        <v>31</v>
      </c>
      <c r="J160" s="4" t="s">
        <v>49</v>
      </c>
      <c r="K160" s="4" t="s">
        <v>33</v>
      </c>
      <c r="L160" s="3" t="s">
        <v>34</v>
      </c>
      <c r="M160" s="5" t="s">
        <v>821</v>
      </c>
      <c r="N160" s="3" t="s">
        <v>36</v>
      </c>
      <c r="O160" s="16">
        <v>22.623000000000001</v>
      </c>
      <c r="P160" s="16">
        <v>120.3</v>
      </c>
      <c r="Q160" s="4" t="s">
        <v>37</v>
      </c>
      <c r="R160" s="3" t="s">
        <v>38</v>
      </c>
      <c r="S160" s="3" t="s">
        <v>39</v>
      </c>
      <c r="T160" s="5" t="s">
        <v>822</v>
      </c>
      <c r="U160" s="5" t="s">
        <v>823</v>
      </c>
      <c r="V160" s="3" t="s">
        <v>824</v>
      </c>
      <c r="W160" s="4" t="s">
        <v>43</v>
      </c>
    </row>
    <row r="161" spans="1:23" ht="70">
      <c r="A161" s="4">
        <v>159</v>
      </c>
      <c r="B161" s="4" t="s">
        <v>819</v>
      </c>
      <c r="C161" s="4" t="s">
        <v>825</v>
      </c>
      <c r="D161" s="3" t="s">
        <v>826</v>
      </c>
      <c r="E161" s="3" t="s">
        <v>27</v>
      </c>
      <c r="F161" s="4" t="s">
        <v>28</v>
      </c>
      <c r="G161" s="4" t="s">
        <v>29</v>
      </c>
      <c r="H161" s="3" t="s">
        <v>30</v>
      </c>
      <c r="I161" s="3" t="s">
        <v>31</v>
      </c>
      <c r="J161" s="4" t="s">
        <v>49</v>
      </c>
      <c r="K161" s="4" t="s">
        <v>33</v>
      </c>
      <c r="L161" s="3" t="s">
        <v>34</v>
      </c>
      <c r="M161" s="5" t="s">
        <v>821</v>
      </c>
      <c r="N161" s="3" t="s">
        <v>36</v>
      </c>
      <c r="O161" s="16">
        <v>22.657900000000001</v>
      </c>
      <c r="P161" s="16">
        <v>120.3018</v>
      </c>
      <c r="Q161" s="4" t="s">
        <v>145</v>
      </c>
      <c r="R161" s="3" t="s">
        <v>38</v>
      </c>
      <c r="S161" s="3" t="s">
        <v>39</v>
      </c>
      <c r="T161" s="5" t="s">
        <v>827</v>
      </c>
      <c r="U161" s="5" t="s">
        <v>828</v>
      </c>
      <c r="V161" s="3" t="s">
        <v>829</v>
      </c>
      <c r="W161" s="4" t="s">
        <v>43</v>
      </c>
    </row>
    <row r="162" spans="1:23" ht="70">
      <c r="A162" s="4">
        <v>160</v>
      </c>
      <c r="B162" s="4" t="s">
        <v>819</v>
      </c>
      <c r="C162" s="4" t="s">
        <v>830</v>
      </c>
      <c r="D162" s="3" t="s">
        <v>831</v>
      </c>
      <c r="E162" s="3" t="s">
        <v>27</v>
      </c>
      <c r="F162" s="4" t="s">
        <v>28</v>
      </c>
      <c r="G162" s="4" t="s">
        <v>29</v>
      </c>
      <c r="H162" s="3" t="s">
        <v>30</v>
      </c>
      <c r="I162" s="3" t="s">
        <v>31</v>
      </c>
      <c r="J162" s="4" t="s">
        <v>49</v>
      </c>
      <c r="K162" s="4" t="s">
        <v>33</v>
      </c>
      <c r="L162" s="3" t="s">
        <v>34</v>
      </c>
      <c r="M162" s="5" t="s">
        <v>821</v>
      </c>
      <c r="N162" s="3" t="s">
        <v>36</v>
      </c>
      <c r="O162" s="16">
        <v>22.7271</v>
      </c>
      <c r="P162" s="16">
        <v>120.3155</v>
      </c>
      <c r="Q162" s="4" t="s">
        <v>145</v>
      </c>
      <c r="R162" s="3" t="s">
        <v>38</v>
      </c>
      <c r="S162" s="3" t="s">
        <v>39</v>
      </c>
      <c r="T162" s="5" t="s">
        <v>832</v>
      </c>
      <c r="U162" s="5" t="s">
        <v>833</v>
      </c>
      <c r="V162" s="3" t="s">
        <v>834</v>
      </c>
      <c r="W162" s="4" t="s">
        <v>43</v>
      </c>
    </row>
    <row r="163" spans="1:23" ht="70">
      <c r="A163" s="4">
        <v>161</v>
      </c>
      <c r="B163" s="4" t="s">
        <v>819</v>
      </c>
      <c r="C163" s="4" t="s">
        <v>835</v>
      </c>
      <c r="D163" s="3" t="s">
        <v>836</v>
      </c>
      <c r="E163" s="3" t="s">
        <v>27</v>
      </c>
      <c r="F163" s="4" t="s">
        <v>28</v>
      </c>
      <c r="G163" s="4" t="s">
        <v>29</v>
      </c>
      <c r="H163" s="3" t="s">
        <v>30</v>
      </c>
      <c r="I163" s="3" t="s">
        <v>31</v>
      </c>
      <c r="J163" s="4" t="s">
        <v>49</v>
      </c>
      <c r="K163" s="4" t="s">
        <v>33</v>
      </c>
      <c r="L163" s="3" t="s">
        <v>34</v>
      </c>
      <c r="M163" s="5" t="s">
        <v>821</v>
      </c>
      <c r="N163" s="3" t="s">
        <v>36</v>
      </c>
      <c r="O163" s="16">
        <v>22.625299999999999</v>
      </c>
      <c r="P163" s="16">
        <v>120.34</v>
      </c>
      <c r="Q163" s="4" t="s">
        <v>145</v>
      </c>
      <c r="R163" s="3" t="s">
        <v>38</v>
      </c>
      <c r="S163" s="3" t="s">
        <v>39</v>
      </c>
      <c r="T163" s="5" t="s">
        <v>837</v>
      </c>
      <c r="U163" s="5" t="s">
        <v>838</v>
      </c>
      <c r="V163" s="3" t="s">
        <v>839</v>
      </c>
      <c r="W163" s="4" t="s">
        <v>43</v>
      </c>
    </row>
    <row r="164" spans="1:23" ht="70">
      <c r="A164" s="4">
        <v>162</v>
      </c>
      <c r="B164" s="4" t="s">
        <v>819</v>
      </c>
      <c r="C164" s="4" t="s">
        <v>825</v>
      </c>
      <c r="D164" s="3" t="s">
        <v>840</v>
      </c>
      <c r="E164" s="3" t="s">
        <v>46</v>
      </c>
      <c r="F164" s="4" t="s">
        <v>28</v>
      </c>
      <c r="G164" s="4" t="s">
        <v>29</v>
      </c>
      <c r="H164" s="3" t="s">
        <v>47</v>
      </c>
      <c r="I164" s="3" t="s">
        <v>48</v>
      </c>
      <c r="J164" s="4" t="s">
        <v>49</v>
      </c>
      <c r="K164" s="4" t="s">
        <v>143</v>
      </c>
      <c r="L164" s="3" t="s">
        <v>144</v>
      </c>
      <c r="M164" s="5" t="s">
        <v>821</v>
      </c>
      <c r="N164" s="3" t="s">
        <v>36</v>
      </c>
      <c r="O164" s="16">
        <v>22.656300000000002</v>
      </c>
      <c r="P164" s="16">
        <v>120.286</v>
      </c>
      <c r="Q164" s="4" t="s">
        <v>277</v>
      </c>
      <c r="R164" s="3" t="s">
        <v>38</v>
      </c>
      <c r="S164" s="3" t="s">
        <v>146</v>
      </c>
      <c r="T164" s="5" t="s">
        <v>841</v>
      </c>
      <c r="U164" s="5" t="s">
        <v>842</v>
      </c>
      <c r="V164" s="3" t="s">
        <v>843</v>
      </c>
      <c r="W164" s="4" t="s">
        <v>150</v>
      </c>
    </row>
    <row r="165" spans="1:23" ht="56">
      <c r="A165" s="4">
        <v>163</v>
      </c>
      <c r="B165" s="4" t="s">
        <v>819</v>
      </c>
      <c r="C165" s="4" t="s">
        <v>835</v>
      </c>
      <c r="D165" s="3" t="s">
        <v>844</v>
      </c>
      <c r="E165" s="3" t="s">
        <v>74</v>
      </c>
      <c r="F165" s="4" t="s">
        <v>60</v>
      </c>
      <c r="G165" s="4" t="s">
        <v>66</v>
      </c>
      <c r="H165" s="3" t="s">
        <v>75</v>
      </c>
      <c r="I165" s="3" t="s">
        <v>76</v>
      </c>
      <c r="J165" s="4" t="s">
        <v>49</v>
      </c>
      <c r="K165" s="4" t="s">
        <v>33</v>
      </c>
      <c r="L165" s="3" t="s">
        <v>34</v>
      </c>
      <c r="M165" s="5" t="s">
        <v>821</v>
      </c>
      <c r="N165" s="3" t="s">
        <v>36</v>
      </c>
      <c r="O165" s="16">
        <v>22.625399999999999</v>
      </c>
      <c r="P165" s="16">
        <v>120.357</v>
      </c>
      <c r="Q165" s="4" t="s">
        <v>145</v>
      </c>
      <c r="R165" s="3" t="s">
        <v>38</v>
      </c>
      <c r="S165" s="3" t="s">
        <v>39</v>
      </c>
      <c r="T165" s="5" t="s">
        <v>845</v>
      </c>
      <c r="U165" s="5" t="s">
        <v>846</v>
      </c>
      <c r="V165" s="3" t="s">
        <v>847</v>
      </c>
      <c r="W165" s="4" t="s">
        <v>43</v>
      </c>
    </row>
    <row r="166" spans="1:23" ht="56">
      <c r="A166" s="4">
        <v>164</v>
      </c>
      <c r="B166" s="4" t="s">
        <v>819</v>
      </c>
      <c r="C166" s="4" t="s">
        <v>848</v>
      </c>
      <c r="D166" s="3" t="s">
        <v>849</v>
      </c>
      <c r="E166" s="3" t="s">
        <v>265</v>
      </c>
      <c r="F166" s="4" t="s">
        <v>60</v>
      </c>
      <c r="G166" s="4" t="s">
        <v>66</v>
      </c>
      <c r="H166" s="3" t="s">
        <v>266</v>
      </c>
      <c r="I166" s="3" t="s">
        <v>267</v>
      </c>
      <c r="J166" s="4" t="s">
        <v>49</v>
      </c>
      <c r="K166" s="4" t="s">
        <v>33</v>
      </c>
      <c r="L166" s="3" t="s">
        <v>34</v>
      </c>
      <c r="M166" s="5" t="s">
        <v>821</v>
      </c>
      <c r="N166" s="3" t="s">
        <v>36</v>
      </c>
      <c r="O166" s="16">
        <v>22.681100000000001</v>
      </c>
      <c r="P166" s="16">
        <v>120.30119999999999</v>
      </c>
      <c r="Q166" s="4" t="s">
        <v>145</v>
      </c>
      <c r="R166" s="3" t="s">
        <v>38</v>
      </c>
      <c r="S166" s="3" t="s">
        <v>39</v>
      </c>
      <c r="T166" s="5" t="s">
        <v>850</v>
      </c>
      <c r="U166" s="5" t="s">
        <v>851</v>
      </c>
      <c r="V166" s="3" t="s">
        <v>852</v>
      </c>
      <c r="W166" s="4" t="s">
        <v>43</v>
      </c>
    </row>
    <row r="167" spans="1:23" ht="70">
      <c r="A167" s="4">
        <v>165</v>
      </c>
      <c r="B167" s="4" t="s">
        <v>819</v>
      </c>
      <c r="C167" s="4" t="s">
        <v>848</v>
      </c>
      <c r="D167" s="3" t="s">
        <v>853</v>
      </c>
      <c r="E167" s="3" t="s">
        <v>46</v>
      </c>
      <c r="F167" s="4" t="s">
        <v>28</v>
      </c>
      <c r="G167" s="4" t="s">
        <v>29</v>
      </c>
      <c r="H167" s="3" t="s">
        <v>47</v>
      </c>
      <c r="I167" s="3" t="s">
        <v>48</v>
      </c>
      <c r="J167" s="4" t="s">
        <v>49</v>
      </c>
      <c r="K167" s="4" t="s">
        <v>143</v>
      </c>
      <c r="L167" s="3" t="s">
        <v>144</v>
      </c>
      <c r="M167" s="5" t="s">
        <v>821</v>
      </c>
      <c r="N167" s="3" t="s">
        <v>36</v>
      </c>
      <c r="O167" s="16">
        <v>22.681799999999999</v>
      </c>
      <c r="P167" s="16">
        <v>120.2945</v>
      </c>
      <c r="Q167" s="4" t="s">
        <v>99</v>
      </c>
      <c r="R167" s="3" t="s">
        <v>38</v>
      </c>
      <c r="S167" s="3" t="s">
        <v>100</v>
      </c>
      <c r="T167" s="5" t="s">
        <v>854</v>
      </c>
      <c r="U167" s="5" t="s">
        <v>855</v>
      </c>
      <c r="V167" s="3" t="s">
        <v>856</v>
      </c>
      <c r="W167" s="4" t="s">
        <v>104</v>
      </c>
    </row>
    <row r="168" spans="1:23" ht="56">
      <c r="A168" s="4">
        <v>166</v>
      </c>
      <c r="B168" s="4" t="s">
        <v>819</v>
      </c>
      <c r="C168" s="4" t="s">
        <v>857</v>
      </c>
      <c r="D168" s="3" t="s">
        <v>858</v>
      </c>
      <c r="E168" s="3" t="s">
        <v>74</v>
      </c>
      <c r="F168" s="4" t="s">
        <v>60</v>
      </c>
      <c r="G168" s="4" t="s">
        <v>66</v>
      </c>
      <c r="H168" s="3" t="s">
        <v>75</v>
      </c>
      <c r="I168" s="3" t="s">
        <v>76</v>
      </c>
      <c r="J168" s="4" t="s">
        <v>49</v>
      </c>
      <c r="K168" s="4" t="s">
        <v>33</v>
      </c>
      <c r="L168" s="3" t="s">
        <v>34</v>
      </c>
      <c r="M168" s="5" t="s">
        <v>821</v>
      </c>
      <c r="N168" s="3" t="s">
        <v>36</v>
      </c>
      <c r="O168" s="16">
        <v>22.594999999999999</v>
      </c>
      <c r="P168" s="16">
        <v>120.3068</v>
      </c>
      <c r="Q168" s="4" t="s">
        <v>277</v>
      </c>
      <c r="R168" s="3" t="s">
        <v>38</v>
      </c>
      <c r="S168" s="3" t="s">
        <v>39</v>
      </c>
      <c r="T168" s="5" t="s">
        <v>859</v>
      </c>
      <c r="U168" s="5" t="s">
        <v>860</v>
      </c>
      <c r="V168" s="3" t="s">
        <v>861</v>
      </c>
      <c r="W168" s="4" t="s">
        <v>43</v>
      </c>
    </row>
    <row r="169" spans="1:23" ht="56">
      <c r="A169" s="4">
        <v>167</v>
      </c>
      <c r="B169" s="4" t="s">
        <v>819</v>
      </c>
      <c r="C169" s="4" t="s">
        <v>857</v>
      </c>
      <c r="D169" s="3" t="s">
        <v>862</v>
      </c>
      <c r="E169" s="3" t="s">
        <v>231</v>
      </c>
      <c r="F169" s="4" t="s">
        <v>60</v>
      </c>
      <c r="G169" s="4" t="s">
        <v>66</v>
      </c>
      <c r="H169" s="3" t="s">
        <v>232</v>
      </c>
      <c r="I169" s="3" t="s">
        <v>233</v>
      </c>
      <c r="J169" s="4" t="s">
        <v>49</v>
      </c>
      <c r="K169" s="4" t="s">
        <v>33</v>
      </c>
      <c r="L169" s="3" t="s">
        <v>34</v>
      </c>
      <c r="M169" s="5" t="s">
        <v>821</v>
      </c>
      <c r="N169" s="3" t="s">
        <v>36</v>
      </c>
      <c r="O169" s="16">
        <v>22.604700000000001</v>
      </c>
      <c r="P169" s="16">
        <v>120.3265</v>
      </c>
      <c r="Q169" s="4" t="s">
        <v>277</v>
      </c>
      <c r="R169" s="3" t="s">
        <v>38</v>
      </c>
      <c r="S169" s="3" t="s">
        <v>39</v>
      </c>
      <c r="T169" s="5" t="s">
        <v>863</v>
      </c>
      <c r="U169" s="5" t="s">
        <v>864</v>
      </c>
      <c r="V169" s="3" t="s">
        <v>865</v>
      </c>
      <c r="W169" s="4" t="s">
        <v>43</v>
      </c>
    </row>
    <row r="170" spans="1:23" ht="70">
      <c r="A170" s="4">
        <v>168</v>
      </c>
      <c r="B170" s="4" t="s">
        <v>819</v>
      </c>
      <c r="C170" s="4" t="s">
        <v>866</v>
      </c>
      <c r="D170" s="3" t="s">
        <v>867</v>
      </c>
      <c r="E170" s="3" t="s">
        <v>140</v>
      </c>
      <c r="F170" s="4" t="s">
        <v>60</v>
      </c>
      <c r="G170" s="4" t="s">
        <v>66</v>
      </c>
      <c r="H170" s="3" t="s">
        <v>141</v>
      </c>
      <c r="I170" s="3" t="s">
        <v>142</v>
      </c>
      <c r="J170" s="4" t="s">
        <v>49</v>
      </c>
      <c r="K170" s="4" t="s">
        <v>33</v>
      </c>
      <c r="L170" s="3" t="s">
        <v>34</v>
      </c>
      <c r="M170" s="5" t="s">
        <v>821</v>
      </c>
      <c r="N170" s="3" t="s">
        <v>36</v>
      </c>
      <c r="O170" s="16">
        <v>22.648599999999998</v>
      </c>
      <c r="P170" s="16">
        <v>120.2825</v>
      </c>
      <c r="Q170" s="4" t="s">
        <v>145</v>
      </c>
      <c r="R170" s="3" t="s">
        <v>38</v>
      </c>
      <c r="S170" s="3" t="s">
        <v>39</v>
      </c>
      <c r="T170" s="5" t="s">
        <v>868</v>
      </c>
      <c r="U170" s="5" t="s">
        <v>869</v>
      </c>
      <c r="V170" s="3" t="s">
        <v>870</v>
      </c>
      <c r="W170" s="4" t="s">
        <v>43</v>
      </c>
    </row>
    <row r="171" spans="1:23" ht="70">
      <c r="A171" s="4">
        <v>169</v>
      </c>
      <c r="B171" s="4" t="s">
        <v>819</v>
      </c>
      <c r="C171" s="4" t="s">
        <v>848</v>
      </c>
      <c r="D171" s="3" t="s">
        <v>871</v>
      </c>
      <c r="E171" s="3" t="s">
        <v>140</v>
      </c>
      <c r="F171" s="4" t="s">
        <v>60</v>
      </c>
      <c r="G171" s="4" t="s">
        <v>66</v>
      </c>
      <c r="H171" s="3" t="s">
        <v>141</v>
      </c>
      <c r="I171" s="3" t="s">
        <v>142</v>
      </c>
      <c r="J171" s="4" t="s">
        <v>49</v>
      </c>
      <c r="K171" s="4" t="s">
        <v>33</v>
      </c>
      <c r="L171" s="3" t="s">
        <v>34</v>
      </c>
      <c r="M171" s="5" t="s">
        <v>821</v>
      </c>
      <c r="N171" s="3" t="s">
        <v>36</v>
      </c>
      <c r="O171" s="16">
        <v>22.6816</v>
      </c>
      <c r="P171" s="16">
        <v>120.2997</v>
      </c>
      <c r="Q171" s="4" t="s">
        <v>145</v>
      </c>
      <c r="R171" s="3" t="s">
        <v>38</v>
      </c>
      <c r="S171" s="3" t="s">
        <v>39</v>
      </c>
      <c r="T171" s="5" t="s">
        <v>872</v>
      </c>
      <c r="U171" s="5" t="s">
        <v>873</v>
      </c>
      <c r="V171" s="3" t="s">
        <v>874</v>
      </c>
      <c r="W171" s="4" t="s">
        <v>43</v>
      </c>
    </row>
    <row r="172" spans="1:23" ht="70">
      <c r="A172" s="4">
        <v>170</v>
      </c>
      <c r="B172" s="4" t="s">
        <v>819</v>
      </c>
      <c r="C172" s="4" t="s">
        <v>830</v>
      </c>
      <c r="D172" s="3" t="s">
        <v>875</v>
      </c>
      <c r="E172" s="3" t="s">
        <v>65</v>
      </c>
      <c r="F172" s="4" t="s">
        <v>60</v>
      </c>
      <c r="G172" s="4" t="s">
        <v>66</v>
      </c>
      <c r="H172" s="3" t="s">
        <v>67</v>
      </c>
      <c r="I172" s="3" t="s">
        <v>68</v>
      </c>
      <c r="J172" s="4" t="s">
        <v>49</v>
      </c>
      <c r="K172" s="4" t="s">
        <v>33</v>
      </c>
      <c r="L172" s="3" t="s">
        <v>34</v>
      </c>
      <c r="M172" s="5" t="s">
        <v>821</v>
      </c>
      <c r="N172" s="3" t="s">
        <v>36</v>
      </c>
      <c r="O172" s="16">
        <v>22.7182</v>
      </c>
      <c r="P172" s="16">
        <v>120.2885</v>
      </c>
      <c r="Q172" s="4" t="s">
        <v>277</v>
      </c>
      <c r="R172" s="3" t="s">
        <v>38</v>
      </c>
      <c r="S172" s="3" t="s">
        <v>39</v>
      </c>
      <c r="T172" s="5" t="s">
        <v>876</v>
      </c>
      <c r="U172" s="5" t="s">
        <v>877</v>
      </c>
      <c r="V172" s="3" t="s">
        <v>878</v>
      </c>
      <c r="W172" s="4" t="s">
        <v>43</v>
      </c>
    </row>
    <row r="173" spans="1:23" ht="70">
      <c r="A173" s="4">
        <v>171</v>
      </c>
      <c r="B173" s="4" t="s">
        <v>819</v>
      </c>
      <c r="C173" s="4" t="s">
        <v>879</v>
      </c>
      <c r="D173" s="3" t="s">
        <v>880</v>
      </c>
      <c r="E173" s="3" t="s">
        <v>231</v>
      </c>
      <c r="F173" s="4" t="s">
        <v>60</v>
      </c>
      <c r="G173" s="4" t="s">
        <v>66</v>
      </c>
      <c r="H173" s="3" t="s">
        <v>232</v>
      </c>
      <c r="I173" s="3" t="s">
        <v>233</v>
      </c>
      <c r="J173" s="4" t="s">
        <v>49</v>
      </c>
      <c r="K173" s="4" t="s">
        <v>33</v>
      </c>
      <c r="L173" s="3" t="s">
        <v>34</v>
      </c>
      <c r="M173" s="5" t="s">
        <v>821</v>
      </c>
      <c r="N173" s="3" t="s">
        <v>36</v>
      </c>
      <c r="O173" s="16">
        <v>22.685300000000002</v>
      </c>
      <c r="P173" s="16">
        <v>120.34350000000001</v>
      </c>
      <c r="Q173" s="4" t="s">
        <v>277</v>
      </c>
      <c r="R173" s="3" t="s">
        <v>38</v>
      </c>
      <c r="S173" s="3" t="s">
        <v>39</v>
      </c>
      <c r="T173" s="5" t="s">
        <v>881</v>
      </c>
      <c r="U173" s="5" t="s">
        <v>882</v>
      </c>
      <c r="V173" s="3" t="s">
        <v>883</v>
      </c>
      <c r="W173" s="4" t="s">
        <v>43</v>
      </c>
    </row>
    <row r="174" spans="1:23" ht="70">
      <c r="A174" s="4">
        <v>172</v>
      </c>
      <c r="B174" s="4" t="s">
        <v>819</v>
      </c>
      <c r="C174" s="4" t="s">
        <v>884</v>
      </c>
      <c r="D174" s="3" t="s">
        <v>885</v>
      </c>
      <c r="E174" s="3" t="s">
        <v>114</v>
      </c>
      <c r="F174" s="4" t="s">
        <v>205</v>
      </c>
      <c r="G174" s="4" t="s">
        <v>225</v>
      </c>
      <c r="H174" s="3" t="s">
        <v>115</v>
      </c>
      <c r="I174" s="3" t="s">
        <v>116</v>
      </c>
      <c r="J174" s="4" t="s">
        <v>49</v>
      </c>
      <c r="K174" s="4" t="s">
        <v>33</v>
      </c>
      <c r="L174" s="3" t="s">
        <v>34</v>
      </c>
      <c r="M174" s="5" t="s">
        <v>821</v>
      </c>
      <c r="N174" s="3" t="s">
        <v>36</v>
      </c>
      <c r="O174" s="16">
        <v>22.794</v>
      </c>
      <c r="P174" s="16">
        <v>120.291</v>
      </c>
      <c r="Q174" s="4" t="s">
        <v>277</v>
      </c>
      <c r="R174" s="3" t="s">
        <v>38</v>
      </c>
      <c r="S174" s="3" t="s">
        <v>39</v>
      </c>
      <c r="T174" s="5" t="s">
        <v>886</v>
      </c>
      <c r="U174" s="5" t="s">
        <v>887</v>
      </c>
      <c r="V174" s="3" t="s">
        <v>888</v>
      </c>
      <c r="W174" s="4" t="s">
        <v>43</v>
      </c>
    </row>
    <row r="175" spans="1:23" ht="70">
      <c r="A175" s="4">
        <v>173</v>
      </c>
      <c r="B175" s="4" t="s">
        <v>819</v>
      </c>
      <c r="C175" s="4" t="s">
        <v>889</v>
      </c>
      <c r="D175" s="3" t="s">
        <v>890</v>
      </c>
      <c r="E175" s="3" t="s">
        <v>243</v>
      </c>
      <c r="F175" s="4" t="s">
        <v>60</v>
      </c>
      <c r="G175" s="4" t="s">
        <v>66</v>
      </c>
      <c r="H175" s="3" t="s">
        <v>244</v>
      </c>
      <c r="I175" s="3" t="s">
        <v>245</v>
      </c>
      <c r="J175" s="4" t="s">
        <v>49</v>
      </c>
      <c r="K175" s="4" t="s">
        <v>33</v>
      </c>
      <c r="L175" s="3" t="s">
        <v>34</v>
      </c>
      <c r="M175" s="5" t="s">
        <v>821</v>
      </c>
      <c r="N175" s="3" t="s">
        <v>36</v>
      </c>
      <c r="O175" s="16">
        <v>22.872599999999998</v>
      </c>
      <c r="P175" s="16">
        <v>120.2055</v>
      </c>
      <c r="Q175" s="4" t="s">
        <v>145</v>
      </c>
      <c r="R175" s="3" t="s">
        <v>38</v>
      </c>
      <c r="S175" s="3" t="s">
        <v>39</v>
      </c>
      <c r="T175" s="5" t="s">
        <v>891</v>
      </c>
      <c r="U175" s="5" t="s">
        <v>892</v>
      </c>
      <c r="V175" s="3" t="s">
        <v>893</v>
      </c>
      <c r="W175" s="4" t="s">
        <v>43</v>
      </c>
    </row>
    <row r="176" spans="1:23" ht="70">
      <c r="A176" s="4">
        <v>174</v>
      </c>
      <c r="B176" s="4" t="s">
        <v>819</v>
      </c>
      <c r="C176" s="4" t="s">
        <v>894</v>
      </c>
      <c r="D176" s="3" t="s">
        <v>895</v>
      </c>
      <c r="E176" s="3" t="s">
        <v>65</v>
      </c>
      <c r="F176" s="4" t="s">
        <v>60</v>
      </c>
      <c r="G176" s="4" t="s">
        <v>66</v>
      </c>
      <c r="H176" s="3" t="s">
        <v>67</v>
      </c>
      <c r="I176" s="3" t="s">
        <v>68</v>
      </c>
      <c r="J176" s="4" t="s">
        <v>49</v>
      </c>
      <c r="K176" s="4" t="s">
        <v>33</v>
      </c>
      <c r="L176" s="3" t="s">
        <v>34</v>
      </c>
      <c r="M176" s="5" t="s">
        <v>821</v>
      </c>
      <c r="N176" s="3" t="s">
        <v>36</v>
      </c>
      <c r="O176" s="16">
        <v>22.785799999999998</v>
      </c>
      <c r="P176" s="16">
        <v>120.244</v>
      </c>
      <c r="Q176" s="4" t="s">
        <v>277</v>
      </c>
      <c r="R176" s="3" t="s">
        <v>38</v>
      </c>
      <c r="S176" s="3" t="s">
        <v>39</v>
      </c>
      <c r="T176" s="5" t="s">
        <v>896</v>
      </c>
      <c r="U176" s="5" t="s">
        <v>897</v>
      </c>
      <c r="V176" s="3" t="s">
        <v>898</v>
      </c>
      <c r="W176" s="4" t="s">
        <v>43</v>
      </c>
    </row>
    <row r="177" spans="1:23" ht="70">
      <c r="A177" s="4">
        <v>175</v>
      </c>
      <c r="B177" s="4" t="s">
        <v>819</v>
      </c>
      <c r="C177" s="4" t="s">
        <v>899</v>
      </c>
      <c r="D177" s="3" t="s">
        <v>900</v>
      </c>
      <c r="E177" s="3" t="s">
        <v>243</v>
      </c>
      <c r="F177" s="4" t="s">
        <v>28</v>
      </c>
      <c r="G177" s="4" t="s">
        <v>29</v>
      </c>
      <c r="H177" s="3" t="s">
        <v>244</v>
      </c>
      <c r="I177" s="3" t="s">
        <v>245</v>
      </c>
      <c r="J177" s="4" t="s">
        <v>49</v>
      </c>
      <c r="K177" s="4" t="s">
        <v>33</v>
      </c>
      <c r="L177" s="3" t="s">
        <v>34</v>
      </c>
      <c r="M177" s="5" t="s">
        <v>821</v>
      </c>
      <c r="N177" s="3" t="s">
        <v>36</v>
      </c>
      <c r="O177" s="16">
        <v>22.611499999999999</v>
      </c>
      <c r="P177" s="16">
        <v>120.264</v>
      </c>
      <c r="Q177" s="4" t="s">
        <v>99</v>
      </c>
      <c r="R177" s="3" t="s">
        <v>38</v>
      </c>
      <c r="S177" s="3" t="s">
        <v>117</v>
      </c>
      <c r="T177" s="5" t="s">
        <v>901</v>
      </c>
      <c r="U177" s="5" t="s">
        <v>902</v>
      </c>
      <c r="V177" s="3" t="s">
        <v>903</v>
      </c>
      <c r="W177" s="4" t="s">
        <v>121</v>
      </c>
    </row>
    <row r="178" spans="1:23" ht="70">
      <c r="A178" s="4">
        <v>176</v>
      </c>
      <c r="B178" s="4" t="s">
        <v>819</v>
      </c>
      <c r="C178" s="4" t="s">
        <v>904</v>
      </c>
      <c r="D178" s="3" t="s">
        <v>905</v>
      </c>
      <c r="E178" s="3" t="s">
        <v>140</v>
      </c>
      <c r="F178" s="4" t="s">
        <v>60</v>
      </c>
      <c r="G178" s="4" t="s">
        <v>66</v>
      </c>
      <c r="H178" s="3" t="s">
        <v>141</v>
      </c>
      <c r="I178" s="3" t="s">
        <v>142</v>
      </c>
      <c r="J178" s="4" t="s">
        <v>49</v>
      </c>
      <c r="K178" s="4" t="s">
        <v>33</v>
      </c>
      <c r="L178" s="3" t="s">
        <v>34</v>
      </c>
      <c r="M178" s="5" t="s">
        <v>821</v>
      </c>
      <c r="N178" s="3" t="s">
        <v>36</v>
      </c>
      <c r="O178" s="16">
        <v>22.668700000000001</v>
      </c>
      <c r="P178" s="16">
        <v>120.4233</v>
      </c>
      <c r="Q178" s="4" t="s">
        <v>145</v>
      </c>
      <c r="R178" s="3" t="s">
        <v>38</v>
      </c>
      <c r="S178" s="3" t="s">
        <v>39</v>
      </c>
      <c r="T178" s="5" t="s">
        <v>906</v>
      </c>
      <c r="U178" s="5" t="s">
        <v>907</v>
      </c>
      <c r="V178" s="3" t="s">
        <v>908</v>
      </c>
      <c r="W178" s="4" t="s">
        <v>43</v>
      </c>
    </row>
    <row r="179" spans="1:23" ht="70">
      <c r="A179" s="4">
        <v>177</v>
      </c>
      <c r="B179" s="4" t="s">
        <v>819</v>
      </c>
      <c r="C179" s="4" t="s">
        <v>909</v>
      </c>
      <c r="D179" s="3" t="s">
        <v>910</v>
      </c>
      <c r="E179" s="3" t="s">
        <v>265</v>
      </c>
      <c r="F179" s="4" t="s">
        <v>28</v>
      </c>
      <c r="G179" s="4" t="s">
        <v>29</v>
      </c>
      <c r="H179" s="3" t="s">
        <v>266</v>
      </c>
      <c r="I179" s="3" t="s">
        <v>267</v>
      </c>
      <c r="J179" s="4" t="s">
        <v>49</v>
      </c>
      <c r="K179" s="4" t="s">
        <v>143</v>
      </c>
      <c r="L179" s="3" t="s">
        <v>144</v>
      </c>
      <c r="M179" s="5" t="s">
        <v>821</v>
      </c>
      <c r="N179" s="3" t="s">
        <v>36</v>
      </c>
      <c r="O179" s="16">
        <v>22.656700000000001</v>
      </c>
      <c r="P179" s="16">
        <v>120.349</v>
      </c>
      <c r="Q179" s="4" t="s">
        <v>145</v>
      </c>
      <c r="R179" s="3" t="s">
        <v>38</v>
      </c>
      <c r="S179" s="3" t="s">
        <v>146</v>
      </c>
      <c r="T179" s="5" t="s">
        <v>911</v>
      </c>
      <c r="U179" s="5" t="s">
        <v>912</v>
      </c>
      <c r="V179" s="3" t="s">
        <v>913</v>
      </c>
      <c r="W179" s="4" t="s">
        <v>150</v>
      </c>
    </row>
    <row r="180" spans="1:23" ht="56">
      <c r="A180" s="4">
        <v>178</v>
      </c>
      <c r="B180" s="4" t="s">
        <v>914</v>
      </c>
      <c r="C180" s="4" t="s">
        <v>915</v>
      </c>
      <c r="D180" s="3" t="s">
        <v>916</v>
      </c>
      <c r="E180" s="3" t="s">
        <v>46</v>
      </c>
      <c r="F180" s="4" t="s">
        <v>28</v>
      </c>
      <c r="G180" s="4" t="s">
        <v>29</v>
      </c>
      <c r="H180" s="3" t="s">
        <v>47</v>
      </c>
      <c r="I180" s="3" t="s">
        <v>48</v>
      </c>
      <c r="J180" s="4" t="s">
        <v>49</v>
      </c>
      <c r="K180" s="4" t="s">
        <v>33</v>
      </c>
      <c r="L180" s="3" t="s">
        <v>34</v>
      </c>
      <c r="M180" s="5" t="s">
        <v>917</v>
      </c>
      <c r="N180" s="3" t="s">
        <v>36</v>
      </c>
      <c r="O180" s="16">
        <v>22.672499999999999</v>
      </c>
      <c r="P180" s="16">
        <v>120.48950000000001</v>
      </c>
      <c r="Q180" s="4" t="s">
        <v>145</v>
      </c>
      <c r="R180" s="3" t="s">
        <v>38</v>
      </c>
      <c r="S180" s="3" t="s">
        <v>39</v>
      </c>
      <c r="T180" s="5" t="s">
        <v>918</v>
      </c>
      <c r="U180" s="5" t="s">
        <v>919</v>
      </c>
      <c r="V180" s="3" t="s">
        <v>920</v>
      </c>
      <c r="W180" s="4" t="s">
        <v>43</v>
      </c>
    </row>
    <row r="181" spans="1:23" ht="56">
      <c r="A181" s="4">
        <v>179</v>
      </c>
      <c r="B181" s="4" t="s">
        <v>914</v>
      </c>
      <c r="C181" s="4" t="s">
        <v>915</v>
      </c>
      <c r="D181" s="3" t="s">
        <v>921</v>
      </c>
      <c r="E181" s="3" t="s">
        <v>27</v>
      </c>
      <c r="F181" s="4" t="s">
        <v>28</v>
      </c>
      <c r="G181" s="4" t="s">
        <v>29</v>
      </c>
      <c r="H181" s="3" t="s">
        <v>30</v>
      </c>
      <c r="I181" s="3" t="s">
        <v>31</v>
      </c>
      <c r="J181" s="4" t="s">
        <v>49</v>
      </c>
      <c r="K181" s="4" t="s">
        <v>33</v>
      </c>
      <c r="L181" s="3" t="s">
        <v>34</v>
      </c>
      <c r="M181" s="5" t="s">
        <v>917</v>
      </c>
      <c r="N181" s="3" t="s">
        <v>36</v>
      </c>
      <c r="O181" s="16">
        <v>22.654</v>
      </c>
      <c r="P181" s="16">
        <v>120.474</v>
      </c>
      <c r="Q181" s="4" t="s">
        <v>145</v>
      </c>
      <c r="R181" s="3" t="s">
        <v>38</v>
      </c>
      <c r="S181" s="3" t="s">
        <v>39</v>
      </c>
      <c r="T181" s="5" t="s">
        <v>922</v>
      </c>
      <c r="U181" s="5" t="s">
        <v>923</v>
      </c>
      <c r="V181" s="3" t="s">
        <v>924</v>
      </c>
      <c r="W181" s="4" t="s">
        <v>43</v>
      </c>
    </row>
    <row r="182" spans="1:23" ht="56">
      <c r="A182" s="4">
        <v>180</v>
      </c>
      <c r="B182" s="4" t="s">
        <v>914</v>
      </c>
      <c r="C182" s="4" t="s">
        <v>915</v>
      </c>
      <c r="D182" s="3" t="s">
        <v>925</v>
      </c>
      <c r="E182" s="3" t="s">
        <v>231</v>
      </c>
      <c r="F182" s="4" t="s">
        <v>60</v>
      </c>
      <c r="G182" s="4" t="s">
        <v>66</v>
      </c>
      <c r="H182" s="3" t="s">
        <v>232</v>
      </c>
      <c r="I182" s="3" t="s">
        <v>233</v>
      </c>
      <c r="J182" s="4" t="s">
        <v>49</v>
      </c>
      <c r="K182" s="4" t="s">
        <v>33</v>
      </c>
      <c r="L182" s="3" t="s">
        <v>34</v>
      </c>
      <c r="M182" s="5" t="s">
        <v>917</v>
      </c>
      <c r="N182" s="3" t="s">
        <v>36</v>
      </c>
      <c r="O182" s="16">
        <v>22.667000000000002</v>
      </c>
      <c r="P182" s="16">
        <v>120.48350000000001</v>
      </c>
      <c r="Q182" s="4" t="s">
        <v>277</v>
      </c>
      <c r="R182" s="3" t="s">
        <v>38</v>
      </c>
      <c r="S182" s="3" t="s">
        <v>39</v>
      </c>
      <c r="T182" s="5" t="s">
        <v>926</v>
      </c>
      <c r="U182" s="5" t="s">
        <v>927</v>
      </c>
      <c r="V182" s="3" t="s">
        <v>928</v>
      </c>
      <c r="W182" s="4" t="s">
        <v>43</v>
      </c>
    </row>
    <row r="183" spans="1:23" ht="70">
      <c r="A183" s="4">
        <v>181</v>
      </c>
      <c r="B183" s="4" t="s">
        <v>914</v>
      </c>
      <c r="C183" s="4" t="s">
        <v>929</v>
      </c>
      <c r="D183" s="3" t="s">
        <v>930</v>
      </c>
      <c r="E183" s="3" t="s">
        <v>91</v>
      </c>
      <c r="F183" s="4" t="s">
        <v>60</v>
      </c>
      <c r="G183" s="4" t="s">
        <v>66</v>
      </c>
      <c r="H183" s="3" t="s">
        <v>92</v>
      </c>
      <c r="I183" s="3" t="s">
        <v>93</v>
      </c>
      <c r="J183" s="4" t="s">
        <v>49</v>
      </c>
      <c r="K183" s="4" t="s">
        <v>33</v>
      </c>
      <c r="L183" s="3" t="s">
        <v>34</v>
      </c>
      <c r="M183" s="5" t="s">
        <v>917</v>
      </c>
      <c r="N183" s="3" t="s">
        <v>36</v>
      </c>
      <c r="O183" s="16">
        <v>22.547999999999998</v>
      </c>
      <c r="P183" s="16">
        <v>120.536</v>
      </c>
      <c r="Q183" s="4" t="s">
        <v>145</v>
      </c>
      <c r="R183" s="3" t="s">
        <v>38</v>
      </c>
      <c r="S183" s="3" t="s">
        <v>39</v>
      </c>
      <c r="T183" s="5" t="s">
        <v>931</v>
      </c>
      <c r="U183" s="5" t="s">
        <v>932</v>
      </c>
      <c r="V183" s="3" t="s">
        <v>933</v>
      </c>
      <c r="W183" s="4" t="s">
        <v>43</v>
      </c>
    </row>
    <row r="184" spans="1:23" ht="84">
      <c r="A184" s="4">
        <v>182</v>
      </c>
      <c r="B184" s="4" t="s">
        <v>914</v>
      </c>
      <c r="C184" s="4" t="s">
        <v>929</v>
      </c>
      <c r="D184" s="3" t="s">
        <v>934</v>
      </c>
      <c r="E184" s="3" t="s">
        <v>65</v>
      </c>
      <c r="F184" s="4" t="s">
        <v>28</v>
      </c>
      <c r="G184" s="4" t="s">
        <v>29</v>
      </c>
      <c r="H184" s="3" t="s">
        <v>67</v>
      </c>
      <c r="I184" s="3" t="s">
        <v>68</v>
      </c>
      <c r="J184" s="4" t="s">
        <v>49</v>
      </c>
      <c r="K184" s="4" t="s">
        <v>143</v>
      </c>
      <c r="L184" s="3" t="s">
        <v>144</v>
      </c>
      <c r="M184" s="5" t="s">
        <v>917</v>
      </c>
      <c r="N184" s="3" t="s">
        <v>36</v>
      </c>
      <c r="O184" s="16">
        <v>22.584499999999998</v>
      </c>
      <c r="P184" s="16">
        <v>120.6093</v>
      </c>
      <c r="Q184" s="4" t="s">
        <v>145</v>
      </c>
      <c r="R184" s="3" t="s">
        <v>38</v>
      </c>
      <c r="S184" s="3" t="s">
        <v>146</v>
      </c>
      <c r="T184" s="5" t="s">
        <v>935</v>
      </c>
      <c r="U184" s="5" t="s">
        <v>936</v>
      </c>
      <c r="V184" s="3" t="s">
        <v>937</v>
      </c>
      <c r="W184" s="4" t="s">
        <v>150</v>
      </c>
    </row>
    <row r="185" spans="1:23" ht="70">
      <c r="A185" s="4">
        <v>183</v>
      </c>
      <c r="B185" s="4" t="s">
        <v>914</v>
      </c>
      <c r="C185" s="4" t="s">
        <v>938</v>
      </c>
      <c r="D185" s="3" t="s">
        <v>939</v>
      </c>
      <c r="E185" s="3" t="s">
        <v>243</v>
      </c>
      <c r="F185" s="4" t="s">
        <v>28</v>
      </c>
      <c r="G185" s="4" t="s">
        <v>29</v>
      </c>
      <c r="H185" s="3" t="s">
        <v>244</v>
      </c>
      <c r="I185" s="3" t="s">
        <v>245</v>
      </c>
      <c r="J185" s="4" t="s">
        <v>49</v>
      </c>
      <c r="K185" s="4" t="s">
        <v>143</v>
      </c>
      <c r="L185" s="3" t="s">
        <v>144</v>
      </c>
      <c r="M185" s="5" t="s">
        <v>917</v>
      </c>
      <c r="N185" s="3" t="s">
        <v>36</v>
      </c>
      <c r="O185" s="16">
        <v>22.4514</v>
      </c>
      <c r="P185" s="16">
        <v>120.4897</v>
      </c>
      <c r="Q185" s="4" t="s">
        <v>145</v>
      </c>
      <c r="R185" s="3" t="s">
        <v>38</v>
      </c>
      <c r="S185" s="3" t="s">
        <v>146</v>
      </c>
      <c r="T185" s="5" t="s">
        <v>940</v>
      </c>
      <c r="U185" s="5" t="s">
        <v>941</v>
      </c>
      <c r="V185" s="3" t="s">
        <v>942</v>
      </c>
      <c r="W185" s="4" t="s">
        <v>150</v>
      </c>
    </row>
    <row r="186" spans="1:23" ht="56">
      <c r="A186" s="4">
        <v>184</v>
      </c>
      <c r="B186" s="4" t="s">
        <v>914</v>
      </c>
      <c r="C186" s="4" t="s">
        <v>943</v>
      </c>
      <c r="D186" s="3" t="s">
        <v>944</v>
      </c>
      <c r="E186" s="3" t="s">
        <v>65</v>
      </c>
      <c r="F186" s="4" t="s">
        <v>60</v>
      </c>
      <c r="G186" s="4" t="s">
        <v>66</v>
      </c>
      <c r="H186" s="3" t="s">
        <v>67</v>
      </c>
      <c r="I186" s="3" t="s">
        <v>68</v>
      </c>
      <c r="J186" s="4" t="s">
        <v>49</v>
      </c>
      <c r="K186" s="4" t="s">
        <v>33</v>
      </c>
      <c r="L186" s="3" t="s">
        <v>34</v>
      </c>
      <c r="M186" s="5" t="s">
        <v>917</v>
      </c>
      <c r="N186" s="3" t="s">
        <v>36</v>
      </c>
      <c r="O186" s="16">
        <v>22.0045</v>
      </c>
      <c r="P186" s="16">
        <v>120.7443</v>
      </c>
      <c r="Q186" s="4" t="s">
        <v>277</v>
      </c>
      <c r="R186" s="3" t="s">
        <v>38</v>
      </c>
      <c r="S186" s="3" t="s">
        <v>39</v>
      </c>
      <c r="T186" s="5" t="s">
        <v>945</v>
      </c>
      <c r="U186" s="5" t="s">
        <v>946</v>
      </c>
      <c r="V186" s="3" t="s">
        <v>947</v>
      </c>
      <c r="W186" s="4" t="s">
        <v>43</v>
      </c>
    </row>
    <row r="187" spans="1:23" ht="70">
      <c r="A187" s="4">
        <v>185</v>
      </c>
      <c r="B187" s="4" t="s">
        <v>914</v>
      </c>
      <c r="C187" s="4" t="s">
        <v>948</v>
      </c>
      <c r="D187" s="3" t="s">
        <v>949</v>
      </c>
      <c r="E187" s="3" t="s">
        <v>46</v>
      </c>
      <c r="F187" s="4" t="s">
        <v>28</v>
      </c>
      <c r="G187" s="4" t="s">
        <v>29</v>
      </c>
      <c r="H187" s="3" t="s">
        <v>47</v>
      </c>
      <c r="I187" s="3" t="s">
        <v>48</v>
      </c>
      <c r="J187" s="4" t="s">
        <v>49</v>
      </c>
      <c r="K187" s="4" t="s">
        <v>143</v>
      </c>
      <c r="L187" s="3" t="s">
        <v>144</v>
      </c>
      <c r="M187" s="5" t="s">
        <v>917</v>
      </c>
      <c r="N187" s="3" t="s">
        <v>36</v>
      </c>
      <c r="O187" s="16">
        <v>22.660399999999999</v>
      </c>
      <c r="P187" s="16">
        <v>120.58629999999999</v>
      </c>
      <c r="Q187" s="4" t="s">
        <v>145</v>
      </c>
      <c r="R187" s="3" t="s">
        <v>38</v>
      </c>
      <c r="S187" s="3" t="s">
        <v>146</v>
      </c>
      <c r="T187" s="5" t="s">
        <v>950</v>
      </c>
      <c r="U187" s="5" t="s">
        <v>951</v>
      </c>
      <c r="V187" s="3" t="s">
        <v>952</v>
      </c>
      <c r="W187" s="4" t="s">
        <v>150</v>
      </c>
    </row>
    <row r="188" spans="1:23" ht="56">
      <c r="A188" s="4">
        <v>186</v>
      </c>
      <c r="B188" s="4" t="s">
        <v>914</v>
      </c>
      <c r="C188" s="4" t="s">
        <v>953</v>
      </c>
      <c r="D188" s="3" t="s">
        <v>954</v>
      </c>
      <c r="E188" s="3" t="s">
        <v>74</v>
      </c>
      <c r="F188" s="4" t="s">
        <v>205</v>
      </c>
      <c r="G188" s="4" t="s">
        <v>225</v>
      </c>
      <c r="H188" s="3" t="s">
        <v>75</v>
      </c>
      <c r="I188" s="3" t="s">
        <v>76</v>
      </c>
      <c r="J188" s="4" t="s">
        <v>49</v>
      </c>
      <c r="K188" s="4" t="s">
        <v>33</v>
      </c>
      <c r="L188" s="3" t="s">
        <v>34</v>
      </c>
      <c r="M188" s="5" t="s">
        <v>917</v>
      </c>
      <c r="N188" s="3" t="s">
        <v>36</v>
      </c>
      <c r="O188" s="16">
        <v>22.5883</v>
      </c>
      <c r="P188" s="16">
        <v>120.489</v>
      </c>
      <c r="Q188" s="4" t="s">
        <v>277</v>
      </c>
      <c r="R188" s="3" t="s">
        <v>38</v>
      </c>
      <c r="S188" s="3" t="s">
        <v>39</v>
      </c>
      <c r="T188" s="5" t="s">
        <v>955</v>
      </c>
      <c r="U188" s="5" t="s">
        <v>956</v>
      </c>
      <c r="V188" s="3" t="s">
        <v>957</v>
      </c>
      <c r="W188" s="4" t="s">
        <v>43</v>
      </c>
    </row>
    <row r="189" spans="1:23" ht="70">
      <c r="A189" s="4">
        <v>187</v>
      </c>
      <c r="B189" s="4" t="s">
        <v>958</v>
      </c>
      <c r="C189" s="4" t="s">
        <v>959</v>
      </c>
      <c r="D189" s="3" t="s">
        <v>960</v>
      </c>
      <c r="E189" s="3" t="s">
        <v>91</v>
      </c>
      <c r="F189" s="4" t="s">
        <v>28</v>
      </c>
      <c r="G189" s="4" t="s">
        <v>29</v>
      </c>
      <c r="H189" s="3" t="s">
        <v>92</v>
      </c>
      <c r="I189" s="3" t="s">
        <v>93</v>
      </c>
      <c r="J189" s="4" t="s">
        <v>49</v>
      </c>
      <c r="K189" s="4" t="s">
        <v>33</v>
      </c>
      <c r="L189" s="3" t="s">
        <v>34</v>
      </c>
      <c r="M189" s="5" t="s">
        <v>961</v>
      </c>
      <c r="N189" s="3" t="s">
        <v>36</v>
      </c>
      <c r="O189" s="16">
        <v>24.744499999999999</v>
      </c>
      <c r="P189" s="16">
        <v>121.75660000000001</v>
      </c>
      <c r="Q189" s="4" t="s">
        <v>145</v>
      </c>
      <c r="R189" s="3" t="s">
        <v>38</v>
      </c>
      <c r="S189" s="3" t="s">
        <v>39</v>
      </c>
      <c r="T189" s="5" t="s">
        <v>962</v>
      </c>
      <c r="U189" s="5" t="s">
        <v>963</v>
      </c>
      <c r="V189" s="3" t="s">
        <v>964</v>
      </c>
      <c r="W189" s="4" t="s">
        <v>43</v>
      </c>
    </row>
    <row r="190" spans="1:23" ht="70">
      <c r="A190" s="4">
        <v>188</v>
      </c>
      <c r="B190" s="4" t="s">
        <v>958</v>
      </c>
      <c r="C190" s="4" t="s">
        <v>959</v>
      </c>
      <c r="D190" s="3" t="s">
        <v>965</v>
      </c>
      <c r="E190" s="3" t="s">
        <v>114</v>
      </c>
      <c r="F190" s="4" t="s">
        <v>60</v>
      </c>
      <c r="G190" s="4" t="s">
        <v>66</v>
      </c>
      <c r="H190" s="3" t="s">
        <v>115</v>
      </c>
      <c r="I190" s="3" t="s">
        <v>116</v>
      </c>
      <c r="J190" s="4" t="s">
        <v>49</v>
      </c>
      <c r="K190" s="4" t="s">
        <v>33</v>
      </c>
      <c r="L190" s="3" t="s">
        <v>34</v>
      </c>
      <c r="M190" s="5" t="s">
        <v>961</v>
      </c>
      <c r="N190" s="3" t="s">
        <v>36</v>
      </c>
      <c r="O190" s="16">
        <v>24.763000000000002</v>
      </c>
      <c r="P190" s="16">
        <v>121.759</v>
      </c>
      <c r="Q190" s="4" t="s">
        <v>99</v>
      </c>
      <c r="R190" s="3" t="s">
        <v>38</v>
      </c>
      <c r="S190" s="3" t="s">
        <v>117</v>
      </c>
      <c r="T190" s="5" t="s">
        <v>966</v>
      </c>
      <c r="U190" s="5" t="s">
        <v>967</v>
      </c>
      <c r="V190" s="3" t="s">
        <v>968</v>
      </c>
      <c r="W190" s="4" t="s">
        <v>121</v>
      </c>
    </row>
    <row r="191" spans="1:23" ht="56">
      <c r="A191" s="4">
        <v>189</v>
      </c>
      <c r="B191" s="4" t="s">
        <v>958</v>
      </c>
      <c r="C191" s="4" t="s">
        <v>959</v>
      </c>
      <c r="D191" s="3" t="s">
        <v>969</v>
      </c>
      <c r="E191" s="3" t="s">
        <v>46</v>
      </c>
      <c r="F191" s="4" t="s">
        <v>28</v>
      </c>
      <c r="G191" s="4" t="s">
        <v>29</v>
      </c>
      <c r="H191" s="3" t="s">
        <v>47</v>
      </c>
      <c r="I191" s="3" t="s">
        <v>48</v>
      </c>
      <c r="J191" s="4" t="s">
        <v>49</v>
      </c>
      <c r="K191" s="4" t="s">
        <v>33</v>
      </c>
      <c r="L191" s="3" t="s">
        <v>34</v>
      </c>
      <c r="M191" s="5" t="s">
        <v>961</v>
      </c>
      <c r="N191" s="3" t="s">
        <v>36</v>
      </c>
      <c r="O191" s="16">
        <v>24.752500000000001</v>
      </c>
      <c r="P191" s="16">
        <v>121.758</v>
      </c>
      <c r="Q191" s="4" t="s">
        <v>145</v>
      </c>
      <c r="R191" s="3" t="s">
        <v>38</v>
      </c>
      <c r="S191" s="3" t="s">
        <v>39</v>
      </c>
      <c r="T191" s="5" t="s">
        <v>970</v>
      </c>
      <c r="U191" s="5" t="s">
        <v>971</v>
      </c>
      <c r="V191" s="3" t="s">
        <v>972</v>
      </c>
      <c r="W191" s="4" t="s">
        <v>43</v>
      </c>
    </row>
    <row r="192" spans="1:23" ht="56">
      <c r="A192" s="4">
        <v>190</v>
      </c>
      <c r="B192" s="4" t="s">
        <v>958</v>
      </c>
      <c r="C192" s="4" t="s">
        <v>959</v>
      </c>
      <c r="D192" s="3" t="s">
        <v>64</v>
      </c>
      <c r="E192" s="3" t="s">
        <v>231</v>
      </c>
      <c r="F192" s="4" t="s">
        <v>60</v>
      </c>
      <c r="G192" s="4" t="s">
        <v>66</v>
      </c>
      <c r="H192" s="3" t="s">
        <v>232</v>
      </c>
      <c r="I192" s="3" t="s">
        <v>233</v>
      </c>
      <c r="J192" s="4" t="s">
        <v>49</v>
      </c>
      <c r="K192" s="4" t="s">
        <v>33</v>
      </c>
      <c r="L192" s="3" t="s">
        <v>34</v>
      </c>
      <c r="M192" s="5" t="s">
        <v>961</v>
      </c>
      <c r="N192" s="3" t="s">
        <v>36</v>
      </c>
      <c r="O192" s="16">
        <v>24.75</v>
      </c>
      <c r="P192" s="16">
        <v>121.746</v>
      </c>
      <c r="Q192" s="4" t="s">
        <v>277</v>
      </c>
      <c r="R192" s="3" t="s">
        <v>38</v>
      </c>
      <c r="S192" s="3" t="s">
        <v>39</v>
      </c>
      <c r="T192" s="5" t="s">
        <v>973</v>
      </c>
      <c r="U192" s="5" t="s">
        <v>974</v>
      </c>
      <c r="V192" s="3" t="s">
        <v>975</v>
      </c>
      <c r="W192" s="4" t="s">
        <v>43</v>
      </c>
    </row>
    <row r="193" spans="1:23" ht="70">
      <c r="A193" s="4">
        <v>191</v>
      </c>
      <c r="B193" s="4" t="s">
        <v>958</v>
      </c>
      <c r="C193" s="4" t="s">
        <v>976</v>
      </c>
      <c r="D193" s="3" t="s">
        <v>977</v>
      </c>
      <c r="E193" s="3" t="s">
        <v>27</v>
      </c>
      <c r="F193" s="4" t="s">
        <v>28</v>
      </c>
      <c r="G193" s="4" t="s">
        <v>29</v>
      </c>
      <c r="H193" s="3" t="s">
        <v>30</v>
      </c>
      <c r="I193" s="3" t="s">
        <v>31</v>
      </c>
      <c r="J193" s="4" t="s">
        <v>49</v>
      </c>
      <c r="K193" s="4" t="s">
        <v>33</v>
      </c>
      <c r="L193" s="3" t="s">
        <v>34</v>
      </c>
      <c r="M193" s="5" t="s">
        <v>961</v>
      </c>
      <c r="N193" s="3" t="s">
        <v>36</v>
      </c>
      <c r="O193" s="16">
        <v>24.683</v>
      </c>
      <c r="P193" s="16">
        <v>121.754</v>
      </c>
      <c r="Q193" s="4" t="s">
        <v>145</v>
      </c>
      <c r="R193" s="3" t="s">
        <v>38</v>
      </c>
      <c r="S193" s="3" t="s">
        <v>39</v>
      </c>
      <c r="T193" s="5" t="s">
        <v>978</v>
      </c>
      <c r="U193" s="5" t="s">
        <v>979</v>
      </c>
      <c r="V193" s="3" t="s">
        <v>980</v>
      </c>
      <c r="W193" s="4" t="s">
        <v>43</v>
      </c>
    </row>
    <row r="194" spans="1:23" ht="84">
      <c r="A194" s="4">
        <v>192</v>
      </c>
      <c r="B194" s="4" t="s">
        <v>958</v>
      </c>
      <c r="C194" s="4" t="s">
        <v>976</v>
      </c>
      <c r="D194" s="3" t="s">
        <v>981</v>
      </c>
      <c r="E194" s="3" t="s">
        <v>231</v>
      </c>
      <c r="F194" s="4" t="s">
        <v>60</v>
      </c>
      <c r="G194" s="4" t="s">
        <v>66</v>
      </c>
      <c r="H194" s="3" t="s">
        <v>232</v>
      </c>
      <c r="I194" s="3" t="s">
        <v>233</v>
      </c>
      <c r="J194" s="4" t="s">
        <v>49</v>
      </c>
      <c r="K194" s="4" t="s">
        <v>33</v>
      </c>
      <c r="L194" s="3" t="s">
        <v>34</v>
      </c>
      <c r="M194" s="5" t="s">
        <v>961</v>
      </c>
      <c r="N194" s="3" t="s">
        <v>36</v>
      </c>
      <c r="O194" s="16">
        <v>24.680499999999999</v>
      </c>
      <c r="P194" s="16">
        <v>121.765</v>
      </c>
      <c r="Q194" s="4" t="s">
        <v>277</v>
      </c>
      <c r="R194" s="3" t="s">
        <v>38</v>
      </c>
      <c r="S194" s="3" t="s">
        <v>39</v>
      </c>
      <c r="T194" s="5" t="s">
        <v>982</v>
      </c>
      <c r="U194" s="5" t="s">
        <v>983</v>
      </c>
      <c r="V194" s="3" t="s">
        <v>984</v>
      </c>
      <c r="W194" s="4" t="s">
        <v>43</v>
      </c>
    </row>
    <row r="195" spans="1:23" ht="70">
      <c r="A195" s="4">
        <v>193</v>
      </c>
      <c r="B195" s="4" t="s">
        <v>958</v>
      </c>
      <c r="C195" s="4" t="s">
        <v>985</v>
      </c>
      <c r="D195" s="3" t="s">
        <v>986</v>
      </c>
      <c r="E195" s="3" t="s">
        <v>114</v>
      </c>
      <c r="F195" s="4" t="s">
        <v>28</v>
      </c>
      <c r="G195" s="4" t="s">
        <v>29</v>
      </c>
      <c r="H195" s="3" t="s">
        <v>115</v>
      </c>
      <c r="I195" s="3" t="s">
        <v>116</v>
      </c>
      <c r="J195" s="4" t="s">
        <v>49</v>
      </c>
      <c r="K195" s="4" t="s">
        <v>33</v>
      </c>
      <c r="L195" s="3" t="s">
        <v>34</v>
      </c>
      <c r="M195" s="5" t="s">
        <v>961</v>
      </c>
      <c r="N195" s="3" t="s">
        <v>36</v>
      </c>
      <c r="O195" s="16">
        <v>24.674399999999999</v>
      </c>
      <c r="P195" s="16">
        <v>121.8125</v>
      </c>
      <c r="Q195" s="4" t="s">
        <v>145</v>
      </c>
      <c r="R195" s="3" t="s">
        <v>38</v>
      </c>
      <c r="S195" s="3" t="s">
        <v>39</v>
      </c>
      <c r="T195" s="5" t="s">
        <v>987</v>
      </c>
      <c r="U195" s="5" t="s">
        <v>988</v>
      </c>
      <c r="V195" s="3" t="s">
        <v>989</v>
      </c>
      <c r="W195" s="4" t="s">
        <v>43</v>
      </c>
    </row>
    <row r="196" spans="1:23" ht="70">
      <c r="A196" s="4">
        <v>194</v>
      </c>
      <c r="B196" s="4" t="s">
        <v>958</v>
      </c>
      <c r="C196" s="4" t="s">
        <v>985</v>
      </c>
      <c r="D196" s="3" t="s">
        <v>990</v>
      </c>
      <c r="E196" s="3" t="s">
        <v>265</v>
      </c>
      <c r="F196" s="4" t="s">
        <v>28</v>
      </c>
      <c r="G196" s="4" t="s">
        <v>29</v>
      </c>
      <c r="H196" s="3" t="s">
        <v>266</v>
      </c>
      <c r="I196" s="3" t="s">
        <v>267</v>
      </c>
      <c r="J196" s="4" t="s">
        <v>49</v>
      </c>
      <c r="K196" s="4" t="s">
        <v>143</v>
      </c>
      <c r="L196" s="3" t="s">
        <v>144</v>
      </c>
      <c r="M196" s="5" t="s">
        <v>961</v>
      </c>
      <c r="N196" s="3" t="s">
        <v>36</v>
      </c>
      <c r="O196" s="16">
        <v>24.6325</v>
      </c>
      <c r="P196" s="16">
        <v>121.7928</v>
      </c>
      <c r="Q196" s="4" t="s">
        <v>145</v>
      </c>
      <c r="R196" s="3" t="s">
        <v>38</v>
      </c>
      <c r="S196" s="3" t="s">
        <v>146</v>
      </c>
      <c r="T196" s="5" t="s">
        <v>991</v>
      </c>
      <c r="U196" s="5" t="s">
        <v>992</v>
      </c>
      <c r="V196" s="3" t="s">
        <v>993</v>
      </c>
      <c r="W196" s="4" t="s">
        <v>150</v>
      </c>
    </row>
    <row r="197" spans="1:23" ht="70">
      <c r="A197" s="4">
        <v>195</v>
      </c>
      <c r="B197" s="4" t="s">
        <v>958</v>
      </c>
      <c r="C197" s="4" t="s">
        <v>994</v>
      </c>
      <c r="D197" s="3" t="s">
        <v>995</v>
      </c>
      <c r="E197" s="3" t="s">
        <v>65</v>
      </c>
      <c r="F197" s="4" t="s">
        <v>60</v>
      </c>
      <c r="G197" s="4" t="s">
        <v>66</v>
      </c>
      <c r="H197" s="3" t="s">
        <v>67</v>
      </c>
      <c r="I197" s="3" t="s">
        <v>68</v>
      </c>
      <c r="J197" s="4" t="s">
        <v>49</v>
      </c>
      <c r="K197" s="4" t="s">
        <v>143</v>
      </c>
      <c r="L197" s="3" t="s">
        <v>144</v>
      </c>
      <c r="M197" s="5" t="s">
        <v>961</v>
      </c>
      <c r="N197" s="3" t="s">
        <v>36</v>
      </c>
      <c r="O197" s="16">
        <v>24.614799999999999</v>
      </c>
      <c r="P197" s="16">
        <v>121.7324</v>
      </c>
      <c r="Q197" s="4" t="s">
        <v>145</v>
      </c>
      <c r="R197" s="3" t="s">
        <v>38</v>
      </c>
      <c r="S197" s="3" t="s">
        <v>146</v>
      </c>
      <c r="T197" s="5" t="s">
        <v>996</v>
      </c>
      <c r="U197" s="5" t="s">
        <v>997</v>
      </c>
      <c r="V197" s="3" t="s">
        <v>998</v>
      </c>
      <c r="W197" s="4" t="s">
        <v>150</v>
      </c>
    </row>
    <row r="198" spans="1:23" ht="70">
      <c r="A198" s="4">
        <v>196</v>
      </c>
      <c r="B198" s="4" t="s">
        <v>958</v>
      </c>
      <c r="C198" s="4" t="s">
        <v>999</v>
      </c>
      <c r="D198" s="3" t="s">
        <v>1000</v>
      </c>
      <c r="E198" s="3" t="s">
        <v>46</v>
      </c>
      <c r="F198" s="4" t="s">
        <v>60</v>
      </c>
      <c r="G198" s="4" t="s">
        <v>66</v>
      </c>
      <c r="H198" s="3" t="s">
        <v>47</v>
      </c>
      <c r="I198" s="3" t="s">
        <v>48</v>
      </c>
      <c r="J198" s="4" t="s">
        <v>49</v>
      </c>
      <c r="K198" s="4" t="s">
        <v>33</v>
      </c>
      <c r="L198" s="3" t="s">
        <v>34</v>
      </c>
      <c r="M198" s="5" t="s">
        <v>961</v>
      </c>
      <c r="N198" s="3" t="s">
        <v>36</v>
      </c>
      <c r="O198" s="16">
        <v>24.831700000000001</v>
      </c>
      <c r="P198" s="16">
        <v>121.774</v>
      </c>
      <c r="Q198" s="4" t="s">
        <v>145</v>
      </c>
      <c r="R198" s="3" t="s">
        <v>38</v>
      </c>
      <c r="S198" s="3" t="s">
        <v>39</v>
      </c>
      <c r="T198" s="5" t="s">
        <v>1001</v>
      </c>
      <c r="U198" s="5" t="s">
        <v>1002</v>
      </c>
      <c r="V198" s="3" t="s">
        <v>1003</v>
      </c>
      <c r="W198" s="4" t="s">
        <v>43</v>
      </c>
    </row>
    <row r="199" spans="1:23" ht="70">
      <c r="A199" s="4">
        <v>197</v>
      </c>
      <c r="B199" s="4" t="s">
        <v>958</v>
      </c>
      <c r="C199" s="4" t="s">
        <v>999</v>
      </c>
      <c r="D199" s="3" t="s">
        <v>1004</v>
      </c>
      <c r="E199" s="3" t="s">
        <v>46</v>
      </c>
      <c r="F199" s="4" t="s">
        <v>28</v>
      </c>
      <c r="G199" s="4" t="s">
        <v>29</v>
      </c>
      <c r="H199" s="3" t="s">
        <v>47</v>
      </c>
      <c r="I199" s="3" t="s">
        <v>48</v>
      </c>
      <c r="J199" s="4" t="s">
        <v>49</v>
      </c>
      <c r="K199" s="4" t="s">
        <v>33</v>
      </c>
      <c r="L199" s="3" t="s">
        <v>34</v>
      </c>
      <c r="M199" s="5" t="s">
        <v>961</v>
      </c>
      <c r="N199" s="3" t="s">
        <v>36</v>
      </c>
      <c r="O199" s="16">
        <v>24.827200000000001</v>
      </c>
      <c r="P199" s="16">
        <v>121.77249999999999</v>
      </c>
      <c r="Q199" s="4" t="s">
        <v>145</v>
      </c>
      <c r="R199" s="3" t="s">
        <v>38</v>
      </c>
      <c r="S199" s="3" t="s">
        <v>39</v>
      </c>
      <c r="T199" s="5" t="s">
        <v>1005</v>
      </c>
      <c r="U199" s="5" t="s">
        <v>1006</v>
      </c>
      <c r="V199" s="3" t="s">
        <v>1007</v>
      </c>
      <c r="W199" s="4" t="s">
        <v>43</v>
      </c>
    </row>
    <row r="200" spans="1:23" ht="84">
      <c r="A200" s="4">
        <v>198</v>
      </c>
      <c r="B200" s="4" t="s">
        <v>1008</v>
      </c>
      <c r="C200" s="4" t="s">
        <v>1009</v>
      </c>
      <c r="D200" s="3" t="s">
        <v>1010</v>
      </c>
      <c r="E200" s="3" t="s">
        <v>243</v>
      </c>
      <c r="F200" s="4" t="s">
        <v>28</v>
      </c>
      <c r="G200" s="4" t="s">
        <v>29</v>
      </c>
      <c r="H200" s="3" t="s">
        <v>244</v>
      </c>
      <c r="I200" s="3" t="s">
        <v>245</v>
      </c>
      <c r="J200" s="4" t="s">
        <v>49</v>
      </c>
      <c r="K200" s="4" t="s">
        <v>33</v>
      </c>
      <c r="L200" s="3" t="s">
        <v>34</v>
      </c>
      <c r="M200" s="5" t="s">
        <v>1011</v>
      </c>
      <c r="N200" s="3" t="s">
        <v>36</v>
      </c>
      <c r="O200" s="16">
        <v>23.966387999999998</v>
      </c>
      <c r="P200" s="16">
        <v>121.60916</v>
      </c>
      <c r="Q200" s="4" t="s">
        <v>99</v>
      </c>
      <c r="R200" s="3" t="s">
        <v>38</v>
      </c>
      <c r="S200" s="3" t="s">
        <v>100</v>
      </c>
      <c r="T200" s="5" t="s">
        <v>1012</v>
      </c>
      <c r="U200" s="5" t="s">
        <v>1013</v>
      </c>
      <c r="V200" s="3" t="s">
        <v>1014</v>
      </c>
      <c r="W200" s="4" t="s">
        <v>104</v>
      </c>
    </row>
    <row r="201" spans="1:23" ht="56">
      <c r="A201" s="4">
        <v>199</v>
      </c>
      <c r="B201" s="4" t="s">
        <v>1008</v>
      </c>
      <c r="C201" s="4" t="s">
        <v>1009</v>
      </c>
      <c r="D201" s="3" t="s">
        <v>1015</v>
      </c>
      <c r="E201" s="3" t="s">
        <v>65</v>
      </c>
      <c r="F201" s="4" t="s">
        <v>60</v>
      </c>
      <c r="G201" s="4" t="s">
        <v>29</v>
      </c>
      <c r="H201" s="3" t="s">
        <v>67</v>
      </c>
      <c r="I201" s="3" t="s">
        <v>68</v>
      </c>
      <c r="J201" s="4" t="s">
        <v>49</v>
      </c>
      <c r="K201" s="4" t="s">
        <v>33</v>
      </c>
      <c r="L201" s="3" t="s">
        <v>34</v>
      </c>
      <c r="M201" s="5" t="s">
        <v>1011</v>
      </c>
      <c r="N201" s="3" t="s">
        <v>36</v>
      </c>
      <c r="O201" s="16">
        <v>23.991513999999999</v>
      </c>
      <c r="P201" s="16">
        <v>121.61432000000001</v>
      </c>
      <c r="Q201" s="4" t="s">
        <v>37</v>
      </c>
      <c r="R201" s="3" t="s">
        <v>38</v>
      </c>
      <c r="S201" s="3" t="s">
        <v>39</v>
      </c>
      <c r="T201" s="5" t="s">
        <v>1016</v>
      </c>
      <c r="U201" s="5" t="s">
        <v>1017</v>
      </c>
      <c r="V201" s="3" t="s">
        <v>1018</v>
      </c>
      <c r="W201" s="4" t="s">
        <v>43</v>
      </c>
    </row>
    <row r="202" spans="1:23" ht="70">
      <c r="A202" s="4">
        <v>200</v>
      </c>
      <c r="B202" s="4" t="s">
        <v>1008</v>
      </c>
      <c r="C202" s="4" t="s">
        <v>1019</v>
      </c>
      <c r="D202" s="3" t="s">
        <v>1020</v>
      </c>
      <c r="E202" s="3" t="s">
        <v>65</v>
      </c>
      <c r="F202" s="4" t="s">
        <v>28</v>
      </c>
      <c r="G202" s="4" t="s">
        <v>29</v>
      </c>
      <c r="H202" s="3" t="s">
        <v>67</v>
      </c>
      <c r="I202" s="3" t="s">
        <v>68</v>
      </c>
      <c r="J202" s="4" t="s">
        <v>49</v>
      </c>
      <c r="K202" s="4" t="s">
        <v>33</v>
      </c>
      <c r="L202" s="3" t="s">
        <v>34</v>
      </c>
      <c r="M202" s="5" t="s">
        <v>1011</v>
      </c>
      <c r="N202" s="3" t="s">
        <v>36</v>
      </c>
      <c r="O202" s="16">
        <v>23.946300000000001</v>
      </c>
      <c r="P202" s="16">
        <v>121.57550000000001</v>
      </c>
      <c r="Q202" s="4" t="s">
        <v>277</v>
      </c>
      <c r="R202" s="3" t="s">
        <v>38</v>
      </c>
      <c r="S202" s="3" t="s">
        <v>39</v>
      </c>
      <c r="T202" s="5" t="s">
        <v>1021</v>
      </c>
      <c r="U202" s="5" t="s">
        <v>1022</v>
      </c>
      <c r="V202" s="3" t="s">
        <v>1023</v>
      </c>
      <c r="W202" s="4" t="s">
        <v>43</v>
      </c>
    </row>
    <row r="203" spans="1:23" ht="70">
      <c r="A203" s="4">
        <v>201</v>
      </c>
      <c r="B203" s="4" t="s">
        <v>1008</v>
      </c>
      <c r="C203" s="4" t="s">
        <v>1009</v>
      </c>
      <c r="D203" s="3" t="s">
        <v>1024</v>
      </c>
      <c r="E203" s="3" t="s">
        <v>91</v>
      </c>
      <c r="F203" s="4" t="s">
        <v>60</v>
      </c>
      <c r="G203" s="4" t="s">
        <v>66</v>
      </c>
      <c r="H203" s="3" t="s">
        <v>92</v>
      </c>
      <c r="I203" s="3" t="s">
        <v>93</v>
      </c>
      <c r="J203" s="4" t="s">
        <v>49</v>
      </c>
      <c r="K203" s="4" t="s">
        <v>33</v>
      </c>
      <c r="L203" s="3" t="s">
        <v>34</v>
      </c>
      <c r="M203" s="5" t="s">
        <v>1011</v>
      </c>
      <c r="N203" s="3" t="s">
        <v>36</v>
      </c>
      <c r="O203" s="16">
        <v>24.003499999999999</v>
      </c>
      <c r="P203" s="16">
        <v>121.59099999999999</v>
      </c>
      <c r="Q203" s="4" t="s">
        <v>277</v>
      </c>
      <c r="R203" s="3" t="s">
        <v>38</v>
      </c>
      <c r="S203" s="3" t="s">
        <v>39</v>
      </c>
      <c r="T203" s="5" t="s">
        <v>1025</v>
      </c>
      <c r="U203" s="5" t="s">
        <v>1026</v>
      </c>
      <c r="V203" s="3" t="s">
        <v>1027</v>
      </c>
      <c r="W203" s="4" t="s">
        <v>43</v>
      </c>
    </row>
    <row r="204" spans="1:23" ht="70">
      <c r="A204" s="4">
        <v>202</v>
      </c>
      <c r="B204" s="4" t="s">
        <v>1008</v>
      </c>
      <c r="C204" s="4" t="s">
        <v>1028</v>
      </c>
      <c r="D204" s="3" t="s">
        <v>1029</v>
      </c>
      <c r="E204" s="3" t="s">
        <v>243</v>
      </c>
      <c r="F204" s="4" t="s">
        <v>28</v>
      </c>
      <c r="G204" s="4" t="s">
        <v>29</v>
      </c>
      <c r="H204" s="3" t="s">
        <v>244</v>
      </c>
      <c r="I204" s="3" t="s">
        <v>245</v>
      </c>
      <c r="J204" s="4" t="s">
        <v>49</v>
      </c>
      <c r="K204" s="4" t="s">
        <v>33</v>
      </c>
      <c r="L204" s="3" t="s">
        <v>34</v>
      </c>
      <c r="M204" s="5" t="s">
        <v>1011</v>
      </c>
      <c r="N204" s="3" t="s">
        <v>36</v>
      </c>
      <c r="O204" s="16">
        <v>24.031426</v>
      </c>
      <c r="P204" s="16">
        <v>121.62717000000001</v>
      </c>
      <c r="Q204" s="4" t="s">
        <v>37</v>
      </c>
      <c r="R204" s="3" t="s">
        <v>38</v>
      </c>
      <c r="S204" s="3" t="s">
        <v>39</v>
      </c>
      <c r="T204" s="5" t="s">
        <v>1030</v>
      </c>
      <c r="U204" s="5" t="s">
        <v>1031</v>
      </c>
      <c r="V204" s="3" t="s">
        <v>1032</v>
      </c>
      <c r="W204" s="4" t="s">
        <v>43</v>
      </c>
    </row>
    <row r="205" spans="1:23" ht="70">
      <c r="A205" s="4">
        <v>203</v>
      </c>
      <c r="B205" s="4" t="s">
        <v>1008</v>
      </c>
      <c r="C205" s="4" t="s">
        <v>1033</v>
      </c>
      <c r="D205" s="3" t="s">
        <v>1034</v>
      </c>
      <c r="E205" s="3" t="s">
        <v>265</v>
      </c>
      <c r="F205" s="4" t="s">
        <v>28</v>
      </c>
      <c r="G205" s="4" t="s">
        <v>29</v>
      </c>
      <c r="H205" s="3" t="s">
        <v>266</v>
      </c>
      <c r="I205" s="3" t="s">
        <v>267</v>
      </c>
      <c r="J205" s="4" t="s">
        <v>49</v>
      </c>
      <c r="K205" s="4" t="s">
        <v>143</v>
      </c>
      <c r="L205" s="3" t="s">
        <v>144</v>
      </c>
      <c r="M205" s="5" t="s">
        <v>1011</v>
      </c>
      <c r="N205" s="3" t="s">
        <v>36</v>
      </c>
      <c r="O205" s="16">
        <v>23.927826</v>
      </c>
      <c r="P205" s="16">
        <v>121.50987000000001</v>
      </c>
      <c r="Q205" s="4" t="s">
        <v>99</v>
      </c>
      <c r="R205" s="3" t="s">
        <v>38</v>
      </c>
      <c r="S205" s="3" t="s">
        <v>100</v>
      </c>
      <c r="T205" s="5" t="s">
        <v>1035</v>
      </c>
      <c r="U205" s="5" t="s">
        <v>1036</v>
      </c>
      <c r="V205" s="3" t="s">
        <v>1037</v>
      </c>
      <c r="W205" s="4" t="s">
        <v>104</v>
      </c>
    </row>
    <row r="206" spans="1:23" ht="70">
      <c r="A206" s="4">
        <v>204</v>
      </c>
      <c r="B206" s="4" t="s">
        <v>1008</v>
      </c>
      <c r="C206" s="4" t="s">
        <v>1038</v>
      </c>
      <c r="D206" s="3" t="s">
        <v>1039</v>
      </c>
      <c r="E206" s="3" t="s">
        <v>91</v>
      </c>
      <c r="F206" s="4" t="s">
        <v>205</v>
      </c>
      <c r="G206" s="4" t="s">
        <v>225</v>
      </c>
      <c r="H206" s="3" t="s">
        <v>92</v>
      </c>
      <c r="I206" s="3" t="s">
        <v>93</v>
      </c>
      <c r="J206" s="4" t="s">
        <v>49</v>
      </c>
      <c r="K206" s="4" t="s">
        <v>33</v>
      </c>
      <c r="L206" s="3" t="s">
        <v>34</v>
      </c>
      <c r="M206" s="5" t="s">
        <v>1011</v>
      </c>
      <c r="N206" s="3" t="s">
        <v>36</v>
      </c>
      <c r="O206" s="16">
        <v>23.495999999999999</v>
      </c>
      <c r="P206" s="16">
        <v>121.37649999999999</v>
      </c>
      <c r="Q206" s="4" t="s">
        <v>277</v>
      </c>
      <c r="R206" s="3" t="s">
        <v>38</v>
      </c>
      <c r="S206" s="3" t="s">
        <v>39</v>
      </c>
      <c r="T206" s="5" t="s">
        <v>1040</v>
      </c>
      <c r="U206" s="5" t="s">
        <v>1041</v>
      </c>
      <c r="V206" s="3" t="s">
        <v>1042</v>
      </c>
      <c r="W206" s="4" t="s">
        <v>43</v>
      </c>
    </row>
    <row r="207" spans="1:23" ht="70">
      <c r="A207" s="4">
        <v>205</v>
      </c>
      <c r="B207" s="4" t="s">
        <v>1008</v>
      </c>
      <c r="C207" s="4" t="s">
        <v>1043</v>
      </c>
      <c r="D207" s="3" t="s">
        <v>1044</v>
      </c>
      <c r="E207" s="3" t="s">
        <v>91</v>
      </c>
      <c r="F207" s="4" t="s">
        <v>205</v>
      </c>
      <c r="G207" s="4" t="s">
        <v>225</v>
      </c>
      <c r="H207" s="3" t="s">
        <v>92</v>
      </c>
      <c r="I207" s="3" t="s">
        <v>93</v>
      </c>
      <c r="J207" s="4" t="s">
        <v>49</v>
      </c>
      <c r="K207" s="4" t="s">
        <v>33</v>
      </c>
      <c r="L207" s="3" t="s">
        <v>34</v>
      </c>
      <c r="M207" s="5" t="s">
        <v>1011</v>
      </c>
      <c r="N207" s="3" t="s">
        <v>36</v>
      </c>
      <c r="O207" s="16">
        <v>23.330500000000001</v>
      </c>
      <c r="P207" s="16">
        <v>121.3135</v>
      </c>
      <c r="Q207" s="4" t="s">
        <v>277</v>
      </c>
      <c r="R207" s="3" t="s">
        <v>38</v>
      </c>
      <c r="S207" s="3" t="s">
        <v>39</v>
      </c>
      <c r="T207" s="5" t="s">
        <v>1045</v>
      </c>
      <c r="U207" s="5" t="s">
        <v>1046</v>
      </c>
      <c r="V207" s="3" t="s">
        <v>1047</v>
      </c>
      <c r="W207" s="4" t="s">
        <v>43</v>
      </c>
    </row>
    <row r="208" spans="1:23" ht="70">
      <c r="A208" s="4">
        <v>206</v>
      </c>
      <c r="B208" s="4" t="s">
        <v>1048</v>
      </c>
      <c r="C208" s="4" t="s">
        <v>1049</v>
      </c>
      <c r="D208" s="3" t="s">
        <v>1050</v>
      </c>
      <c r="E208" s="3" t="s">
        <v>27</v>
      </c>
      <c r="F208" s="4" t="s">
        <v>28</v>
      </c>
      <c r="G208" s="4" t="s">
        <v>29</v>
      </c>
      <c r="H208" s="3" t="s">
        <v>30</v>
      </c>
      <c r="I208" s="3" t="s">
        <v>31</v>
      </c>
      <c r="J208" s="4" t="s">
        <v>49</v>
      </c>
      <c r="K208" s="4" t="s">
        <v>33</v>
      </c>
      <c r="L208" s="3" t="s">
        <v>34</v>
      </c>
      <c r="M208" s="5" t="s">
        <v>1051</v>
      </c>
      <c r="N208" s="3" t="s">
        <v>36</v>
      </c>
      <c r="O208" s="16">
        <v>22.768174999999999</v>
      </c>
      <c r="P208" s="16">
        <v>121.15625</v>
      </c>
      <c r="Q208" s="4" t="s">
        <v>37</v>
      </c>
      <c r="R208" s="3" t="s">
        <v>38</v>
      </c>
      <c r="S208" s="3" t="s">
        <v>39</v>
      </c>
      <c r="T208" s="5" t="s">
        <v>1052</v>
      </c>
      <c r="U208" s="5" t="s">
        <v>1053</v>
      </c>
      <c r="V208" s="3" t="s">
        <v>1054</v>
      </c>
      <c r="W208" s="4" t="s">
        <v>43</v>
      </c>
    </row>
    <row r="209" spans="1:23" ht="70">
      <c r="A209" s="4">
        <v>207</v>
      </c>
      <c r="B209" s="4" t="s">
        <v>1048</v>
      </c>
      <c r="C209" s="4" t="s">
        <v>1049</v>
      </c>
      <c r="D209" s="3" t="s">
        <v>1055</v>
      </c>
      <c r="E209" s="3" t="s">
        <v>243</v>
      </c>
      <c r="F209" s="4" t="s">
        <v>28</v>
      </c>
      <c r="G209" s="4" t="s">
        <v>29</v>
      </c>
      <c r="H209" s="3" t="s">
        <v>244</v>
      </c>
      <c r="I209" s="3" t="s">
        <v>245</v>
      </c>
      <c r="J209" s="4" t="s">
        <v>49</v>
      </c>
      <c r="K209" s="4" t="s">
        <v>33</v>
      </c>
      <c r="L209" s="3" t="s">
        <v>34</v>
      </c>
      <c r="M209" s="5" t="s">
        <v>1051</v>
      </c>
      <c r="N209" s="3" t="s">
        <v>36</v>
      </c>
      <c r="O209" s="16">
        <v>22.754999999999999</v>
      </c>
      <c r="P209" s="16">
        <v>121.1675</v>
      </c>
      <c r="Q209" s="4" t="s">
        <v>277</v>
      </c>
      <c r="R209" s="3" t="s">
        <v>38</v>
      </c>
      <c r="S209" s="3" t="s">
        <v>39</v>
      </c>
      <c r="T209" s="5" t="s">
        <v>1056</v>
      </c>
      <c r="U209" s="5" t="s">
        <v>1057</v>
      </c>
      <c r="V209" s="3" t="s">
        <v>1058</v>
      </c>
      <c r="W209" s="4" t="s">
        <v>43</v>
      </c>
    </row>
    <row r="210" spans="1:23" ht="56">
      <c r="A210" s="4">
        <v>208</v>
      </c>
      <c r="B210" s="4" t="s">
        <v>1048</v>
      </c>
      <c r="C210" s="4" t="s">
        <v>1049</v>
      </c>
      <c r="D210" s="3" t="s">
        <v>1059</v>
      </c>
      <c r="E210" s="3" t="s">
        <v>65</v>
      </c>
      <c r="F210" s="4" t="s">
        <v>60</v>
      </c>
      <c r="G210" s="4" t="s">
        <v>66</v>
      </c>
      <c r="H210" s="3" t="s">
        <v>67</v>
      </c>
      <c r="I210" s="3" t="s">
        <v>68</v>
      </c>
      <c r="J210" s="4" t="s">
        <v>49</v>
      </c>
      <c r="K210" s="4" t="s">
        <v>33</v>
      </c>
      <c r="L210" s="3" t="s">
        <v>34</v>
      </c>
      <c r="M210" s="5" t="s">
        <v>1051</v>
      </c>
      <c r="N210" s="3" t="s">
        <v>36</v>
      </c>
      <c r="O210" s="16">
        <v>22.755565000000001</v>
      </c>
      <c r="P210" s="16">
        <v>121.14242</v>
      </c>
      <c r="Q210" s="4" t="s">
        <v>37</v>
      </c>
      <c r="R210" s="3" t="s">
        <v>38</v>
      </c>
      <c r="S210" s="3" t="s">
        <v>39</v>
      </c>
      <c r="T210" s="5" t="s">
        <v>1060</v>
      </c>
      <c r="U210" s="5" t="s">
        <v>1061</v>
      </c>
      <c r="V210" s="3" t="s">
        <v>1062</v>
      </c>
      <c r="W210" s="4" t="s">
        <v>43</v>
      </c>
    </row>
    <row r="211" spans="1:23" ht="70">
      <c r="A211" s="4">
        <v>209</v>
      </c>
      <c r="B211" s="4" t="s">
        <v>1048</v>
      </c>
      <c r="C211" s="4" t="s">
        <v>1049</v>
      </c>
      <c r="D211" s="3" t="s">
        <v>1063</v>
      </c>
      <c r="E211" s="3" t="s">
        <v>46</v>
      </c>
      <c r="F211" s="4" t="s">
        <v>28</v>
      </c>
      <c r="G211" s="4" t="s">
        <v>29</v>
      </c>
      <c r="H211" s="3" t="s">
        <v>47</v>
      </c>
      <c r="I211" s="3" t="s">
        <v>48</v>
      </c>
      <c r="J211" s="4" t="s">
        <v>49</v>
      </c>
      <c r="K211" s="4" t="s">
        <v>143</v>
      </c>
      <c r="L211" s="3" t="s">
        <v>144</v>
      </c>
      <c r="M211" s="5" t="s">
        <v>1051</v>
      </c>
      <c r="N211" s="3" t="s">
        <v>36</v>
      </c>
      <c r="O211" s="16">
        <v>22.792165000000001</v>
      </c>
      <c r="P211" s="16">
        <v>121.11593000000001</v>
      </c>
      <c r="Q211" s="4" t="s">
        <v>37</v>
      </c>
      <c r="R211" s="3" t="s">
        <v>38</v>
      </c>
      <c r="S211" s="3" t="s">
        <v>146</v>
      </c>
      <c r="T211" s="5" t="s">
        <v>1064</v>
      </c>
      <c r="U211" s="5" t="s">
        <v>1065</v>
      </c>
      <c r="V211" s="3" t="s">
        <v>1066</v>
      </c>
      <c r="W211" s="4" t="s">
        <v>150</v>
      </c>
    </row>
    <row r="212" spans="1:23" ht="70">
      <c r="A212" s="4">
        <v>210</v>
      </c>
      <c r="B212" s="4" t="s">
        <v>1048</v>
      </c>
      <c r="C212" s="4" t="s">
        <v>1067</v>
      </c>
      <c r="D212" s="3" t="s">
        <v>1068</v>
      </c>
      <c r="E212" s="3" t="s">
        <v>114</v>
      </c>
      <c r="F212" s="4" t="s">
        <v>28</v>
      </c>
      <c r="G212" s="4" t="s">
        <v>29</v>
      </c>
      <c r="H212" s="3" t="s">
        <v>115</v>
      </c>
      <c r="I212" s="3" t="s">
        <v>116</v>
      </c>
      <c r="J212" s="4" t="s">
        <v>49</v>
      </c>
      <c r="K212" s="4" t="s">
        <v>33</v>
      </c>
      <c r="L212" s="3" t="s">
        <v>34</v>
      </c>
      <c r="M212" s="5" t="s">
        <v>1051</v>
      </c>
      <c r="N212" s="3" t="s">
        <v>36</v>
      </c>
      <c r="O212" s="16">
        <v>23.04</v>
      </c>
      <c r="P212" s="16">
        <v>121.17388</v>
      </c>
      <c r="Q212" s="4" t="s">
        <v>37</v>
      </c>
      <c r="R212" s="3" t="s">
        <v>38</v>
      </c>
      <c r="S212" s="3" t="s">
        <v>39</v>
      </c>
      <c r="T212" s="5" t="s">
        <v>1069</v>
      </c>
      <c r="U212" s="5" t="s">
        <v>1070</v>
      </c>
      <c r="V212" s="3" t="s">
        <v>1071</v>
      </c>
      <c r="W212" s="4" t="s">
        <v>43</v>
      </c>
    </row>
    <row r="213" spans="1:23" ht="70">
      <c r="A213" s="4">
        <v>211</v>
      </c>
      <c r="B213" s="4" t="s">
        <v>1048</v>
      </c>
      <c r="C213" s="4" t="s">
        <v>1072</v>
      </c>
      <c r="D213" s="3" t="s">
        <v>1073</v>
      </c>
      <c r="E213" s="3" t="s">
        <v>265</v>
      </c>
      <c r="F213" s="4" t="s">
        <v>28</v>
      </c>
      <c r="G213" s="4" t="s">
        <v>29</v>
      </c>
      <c r="H213" s="3" t="s">
        <v>266</v>
      </c>
      <c r="I213" s="3" t="s">
        <v>267</v>
      </c>
      <c r="J213" s="4" t="s">
        <v>49</v>
      </c>
      <c r="K213" s="4" t="s">
        <v>143</v>
      </c>
      <c r="L213" s="3" t="s">
        <v>144</v>
      </c>
      <c r="M213" s="5" t="s">
        <v>1051</v>
      </c>
      <c r="N213" s="3" t="s">
        <v>36</v>
      </c>
      <c r="O213" s="16">
        <v>23.119910999999998</v>
      </c>
      <c r="P213" s="16">
        <v>121.22404</v>
      </c>
      <c r="Q213" s="4" t="s">
        <v>37</v>
      </c>
      <c r="R213" s="3" t="s">
        <v>38</v>
      </c>
      <c r="S213" s="3" t="s">
        <v>146</v>
      </c>
      <c r="T213" s="5" t="s">
        <v>1074</v>
      </c>
      <c r="U213" s="5" t="s">
        <v>1075</v>
      </c>
      <c r="V213" s="3" t="s">
        <v>1076</v>
      </c>
      <c r="W213" s="4" t="s">
        <v>150</v>
      </c>
    </row>
    <row r="214" spans="1:23" ht="56">
      <c r="A214" s="4">
        <v>212</v>
      </c>
      <c r="B214" s="4" t="s">
        <v>1048</v>
      </c>
      <c r="C214" s="4" t="s">
        <v>1077</v>
      </c>
      <c r="D214" s="3" t="s">
        <v>1078</v>
      </c>
      <c r="E214" s="3" t="s">
        <v>65</v>
      </c>
      <c r="F214" s="4" t="s">
        <v>28</v>
      </c>
      <c r="G214" s="4" t="s">
        <v>29</v>
      </c>
      <c r="H214" s="3" t="s">
        <v>67</v>
      </c>
      <c r="I214" s="3" t="s">
        <v>68</v>
      </c>
      <c r="J214" s="4" t="s">
        <v>49</v>
      </c>
      <c r="K214" s="4" t="s">
        <v>143</v>
      </c>
      <c r="L214" s="3" t="s">
        <v>144</v>
      </c>
      <c r="M214" s="5" t="s">
        <v>1051</v>
      </c>
      <c r="N214" s="3" t="s">
        <v>36</v>
      </c>
      <c r="O214" s="16">
        <v>22.916449</v>
      </c>
      <c r="P214" s="16">
        <v>121.12159</v>
      </c>
      <c r="Q214" s="4" t="s">
        <v>37</v>
      </c>
      <c r="R214" s="3" t="s">
        <v>38</v>
      </c>
      <c r="S214" s="3" t="s">
        <v>146</v>
      </c>
      <c r="T214" s="5" t="s">
        <v>1079</v>
      </c>
      <c r="U214" s="5" t="s">
        <v>1080</v>
      </c>
      <c r="V214" s="3" t="s">
        <v>1081</v>
      </c>
      <c r="W214" s="4" t="s">
        <v>150</v>
      </c>
    </row>
    <row r="215" spans="1:23" ht="70">
      <c r="A215" s="4">
        <v>213</v>
      </c>
      <c r="B215" s="4" t="s">
        <v>1048</v>
      </c>
      <c r="C215" s="4" t="s">
        <v>1082</v>
      </c>
      <c r="D215" s="3" t="s">
        <v>1083</v>
      </c>
      <c r="E215" s="3" t="s">
        <v>243</v>
      </c>
      <c r="F215" s="4" t="s">
        <v>60</v>
      </c>
      <c r="G215" s="4" t="s">
        <v>66</v>
      </c>
      <c r="H215" s="3" t="s">
        <v>244</v>
      </c>
      <c r="I215" s="3" t="s">
        <v>245</v>
      </c>
      <c r="J215" s="4" t="s">
        <v>49</v>
      </c>
      <c r="K215" s="4" t="s">
        <v>143</v>
      </c>
      <c r="L215" s="3" t="s">
        <v>144</v>
      </c>
      <c r="M215" s="5" t="s">
        <v>1051</v>
      </c>
      <c r="N215" s="3" t="s">
        <v>36</v>
      </c>
      <c r="O215" s="16">
        <v>22.6187</v>
      </c>
      <c r="P215" s="16">
        <v>121.0042</v>
      </c>
      <c r="Q215" s="4" t="s">
        <v>277</v>
      </c>
      <c r="R215" s="3" t="s">
        <v>38</v>
      </c>
      <c r="S215" s="3" t="s">
        <v>146</v>
      </c>
      <c r="T215" s="5" t="s">
        <v>1084</v>
      </c>
      <c r="U215" s="5" t="s">
        <v>1085</v>
      </c>
      <c r="V215" s="3" t="s">
        <v>1086</v>
      </c>
      <c r="W215" s="4" t="s">
        <v>150</v>
      </c>
    </row>
    <row r="216" spans="1:23" ht="70">
      <c r="A216" s="4">
        <v>214</v>
      </c>
      <c r="B216" s="4" t="s">
        <v>1087</v>
      </c>
      <c r="C216" s="4" t="s">
        <v>1088</v>
      </c>
      <c r="D216" s="3" t="s">
        <v>1089</v>
      </c>
      <c r="E216" s="3" t="s">
        <v>243</v>
      </c>
      <c r="F216" s="4" t="s">
        <v>28</v>
      </c>
      <c r="G216" s="4" t="s">
        <v>29</v>
      </c>
      <c r="H216" s="3" t="s">
        <v>244</v>
      </c>
      <c r="I216" s="3" t="s">
        <v>245</v>
      </c>
      <c r="J216" s="4" t="s">
        <v>49</v>
      </c>
      <c r="K216" s="4" t="s">
        <v>143</v>
      </c>
      <c r="L216" s="3" t="s">
        <v>144</v>
      </c>
      <c r="M216" s="5" t="s">
        <v>1090</v>
      </c>
      <c r="N216" s="3" t="s">
        <v>36</v>
      </c>
      <c r="O216" s="16">
        <v>23.5688</v>
      </c>
      <c r="P216" s="16">
        <v>119.56100000000001</v>
      </c>
      <c r="Q216" s="4" t="s">
        <v>145</v>
      </c>
      <c r="R216" s="3" t="s">
        <v>38</v>
      </c>
      <c r="S216" s="3" t="s">
        <v>146</v>
      </c>
      <c r="T216" s="5" t="s">
        <v>1091</v>
      </c>
      <c r="U216" s="5" t="s">
        <v>1092</v>
      </c>
      <c r="V216" s="3" t="s">
        <v>1093</v>
      </c>
      <c r="W216" s="4" t="s">
        <v>150</v>
      </c>
    </row>
    <row r="217" spans="1:23" ht="70">
      <c r="A217" s="4">
        <v>215</v>
      </c>
      <c r="B217" s="4" t="s">
        <v>1087</v>
      </c>
      <c r="C217" s="4" t="s">
        <v>1088</v>
      </c>
      <c r="D217" s="3" t="s">
        <v>1094</v>
      </c>
      <c r="E217" s="3" t="s">
        <v>27</v>
      </c>
      <c r="F217" s="4" t="s">
        <v>60</v>
      </c>
      <c r="G217" s="4" t="s">
        <v>29</v>
      </c>
      <c r="H217" s="3" t="s">
        <v>30</v>
      </c>
      <c r="I217" s="3" t="s">
        <v>31</v>
      </c>
      <c r="J217" s="4" t="s">
        <v>49</v>
      </c>
      <c r="K217" s="4" t="s">
        <v>33</v>
      </c>
      <c r="L217" s="3" t="s">
        <v>34</v>
      </c>
      <c r="M217" s="5" t="s">
        <v>1090</v>
      </c>
      <c r="N217" s="3" t="s">
        <v>36</v>
      </c>
      <c r="O217" s="16">
        <v>23.567799999999998</v>
      </c>
      <c r="P217" s="16">
        <v>119.5825</v>
      </c>
      <c r="Q217" s="4" t="s">
        <v>277</v>
      </c>
      <c r="R217" s="3" t="s">
        <v>38</v>
      </c>
      <c r="S217" s="3" t="s">
        <v>146</v>
      </c>
      <c r="T217" s="5" t="s">
        <v>1095</v>
      </c>
      <c r="U217" s="5" t="s">
        <v>1096</v>
      </c>
      <c r="V217" s="3" t="s">
        <v>1097</v>
      </c>
      <c r="W217" s="4" t="s">
        <v>150</v>
      </c>
    </row>
    <row r="218" spans="1:23" ht="70">
      <c r="A218" s="4">
        <v>216</v>
      </c>
      <c r="B218" s="4" t="s">
        <v>1087</v>
      </c>
      <c r="C218" s="4" t="s">
        <v>1088</v>
      </c>
      <c r="D218" s="3" t="s">
        <v>1098</v>
      </c>
      <c r="E218" s="3" t="s">
        <v>46</v>
      </c>
      <c r="F218" s="4" t="s">
        <v>60</v>
      </c>
      <c r="G218" s="4" t="s">
        <v>66</v>
      </c>
      <c r="H218" s="3" t="s">
        <v>47</v>
      </c>
      <c r="I218" s="3" t="s">
        <v>48</v>
      </c>
      <c r="J218" s="4" t="s">
        <v>49</v>
      </c>
      <c r="K218" s="4" t="s">
        <v>33</v>
      </c>
      <c r="L218" s="3" t="s">
        <v>34</v>
      </c>
      <c r="M218" s="5" t="s">
        <v>1090</v>
      </c>
      <c r="N218" s="3" t="s">
        <v>36</v>
      </c>
      <c r="O218" s="16">
        <v>23.526800000000001</v>
      </c>
      <c r="P218" s="16">
        <v>119.5645</v>
      </c>
      <c r="Q218" s="4" t="s">
        <v>277</v>
      </c>
      <c r="R218" s="3" t="s">
        <v>38</v>
      </c>
      <c r="S218" s="3" t="s">
        <v>39</v>
      </c>
      <c r="T218" s="5" t="s">
        <v>1099</v>
      </c>
      <c r="U218" s="5" t="s">
        <v>1100</v>
      </c>
      <c r="V218" s="3" t="s">
        <v>1101</v>
      </c>
      <c r="W218" s="4" t="s">
        <v>43</v>
      </c>
    </row>
    <row r="219" spans="1:23" ht="70">
      <c r="A219" s="4">
        <v>217</v>
      </c>
      <c r="B219" s="4" t="s">
        <v>1087</v>
      </c>
      <c r="C219" s="4" t="s">
        <v>1088</v>
      </c>
      <c r="D219" s="3" t="s">
        <v>1102</v>
      </c>
      <c r="E219" s="3" t="s">
        <v>243</v>
      </c>
      <c r="F219" s="4" t="s">
        <v>60</v>
      </c>
      <c r="G219" s="4" t="s">
        <v>66</v>
      </c>
      <c r="H219" s="3" t="s">
        <v>244</v>
      </c>
      <c r="I219" s="3" t="s">
        <v>245</v>
      </c>
      <c r="J219" s="4" t="s">
        <v>49</v>
      </c>
      <c r="K219" s="4" t="s">
        <v>33</v>
      </c>
      <c r="L219" s="3" t="s">
        <v>34</v>
      </c>
      <c r="M219" s="5" t="s">
        <v>1090</v>
      </c>
      <c r="N219" s="3" t="s">
        <v>36</v>
      </c>
      <c r="O219" s="16">
        <v>23.512499999999999</v>
      </c>
      <c r="P219" s="16">
        <v>119.5885</v>
      </c>
      <c r="Q219" s="4" t="s">
        <v>277</v>
      </c>
      <c r="R219" s="3" t="s">
        <v>38</v>
      </c>
      <c r="S219" s="3" t="s">
        <v>39</v>
      </c>
      <c r="T219" s="5" t="s">
        <v>1103</v>
      </c>
      <c r="U219" s="5" t="s">
        <v>1104</v>
      </c>
      <c r="V219" s="3" t="s">
        <v>1105</v>
      </c>
      <c r="W219" s="4" t="s">
        <v>43</v>
      </c>
    </row>
    <row r="220" spans="1:23" ht="56">
      <c r="A220" s="4">
        <v>218</v>
      </c>
      <c r="B220" s="4" t="s">
        <v>1087</v>
      </c>
      <c r="C220" s="4" t="s">
        <v>1106</v>
      </c>
      <c r="D220" s="3" t="s">
        <v>1107</v>
      </c>
      <c r="E220" s="3" t="s">
        <v>243</v>
      </c>
      <c r="F220" s="4" t="s">
        <v>28</v>
      </c>
      <c r="G220" s="4" t="s">
        <v>29</v>
      </c>
      <c r="H220" s="3" t="s">
        <v>244</v>
      </c>
      <c r="I220" s="3" t="s">
        <v>245</v>
      </c>
      <c r="J220" s="4" t="s">
        <v>49</v>
      </c>
      <c r="K220" s="4" t="s">
        <v>33</v>
      </c>
      <c r="L220" s="3" t="s">
        <v>34</v>
      </c>
      <c r="M220" s="5" t="s">
        <v>1090</v>
      </c>
      <c r="N220" s="3" t="s">
        <v>36</v>
      </c>
      <c r="O220" s="16">
        <v>23.560300000000002</v>
      </c>
      <c r="P220" s="16">
        <v>119.646</v>
      </c>
      <c r="Q220" s="4" t="s">
        <v>145</v>
      </c>
      <c r="R220" s="3" t="s">
        <v>38</v>
      </c>
      <c r="S220" s="3" t="s">
        <v>39</v>
      </c>
      <c r="T220" s="5" t="s">
        <v>1108</v>
      </c>
      <c r="U220" s="5" t="s">
        <v>1109</v>
      </c>
      <c r="V220" s="3" t="s">
        <v>1110</v>
      </c>
      <c r="W220" s="4" t="s">
        <v>43</v>
      </c>
    </row>
    <row r="221" spans="1:23" ht="70">
      <c r="A221" s="4">
        <v>219</v>
      </c>
      <c r="B221" s="4" t="s">
        <v>1087</v>
      </c>
      <c r="C221" s="4" t="s">
        <v>1111</v>
      </c>
      <c r="D221" s="3" t="s">
        <v>1112</v>
      </c>
      <c r="E221" s="3" t="s">
        <v>46</v>
      </c>
      <c r="F221" s="4" t="s">
        <v>60</v>
      </c>
      <c r="G221" s="4" t="s">
        <v>66</v>
      </c>
      <c r="H221" s="3" t="s">
        <v>47</v>
      </c>
      <c r="I221" s="3" t="s">
        <v>48</v>
      </c>
      <c r="J221" s="4" t="s">
        <v>49</v>
      </c>
      <c r="K221" s="4" t="s">
        <v>33</v>
      </c>
      <c r="L221" s="3" t="s">
        <v>34</v>
      </c>
      <c r="M221" s="5" t="s">
        <v>1090</v>
      </c>
      <c r="N221" s="3" t="s">
        <v>36</v>
      </c>
      <c r="O221" s="16">
        <v>23.658300000000001</v>
      </c>
      <c r="P221" s="16">
        <v>119.55500000000001</v>
      </c>
      <c r="Q221" s="4" t="s">
        <v>145</v>
      </c>
      <c r="R221" s="3" t="s">
        <v>38</v>
      </c>
      <c r="S221" s="3" t="s">
        <v>39</v>
      </c>
      <c r="T221" s="5" t="s">
        <v>1113</v>
      </c>
      <c r="U221" s="5" t="s">
        <v>1114</v>
      </c>
      <c r="V221" s="3" t="s">
        <v>1115</v>
      </c>
      <c r="W221" s="4" t="s">
        <v>43</v>
      </c>
    </row>
    <row r="222" spans="1:23" ht="70">
      <c r="A222" s="4">
        <v>220</v>
      </c>
      <c r="B222" s="4" t="s">
        <v>1087</v>
      </c>
      <c r="C222" s="4" t="s">
        <v>1106</v>
      </c>
      <c r="D222" s="3" t="s">
        <v>1116</v>
      </c>
      <c r="E222" s="3" t="s">
        <v>243</v>
      </c>
      <c r="F222" s="4" t="s">
        <v>28</v>
      </c>
      <c r="G222" s="4" t="s">
        <v>29</v>
      </c>
      <c r="H222" s="3" t="s">
        <v>244</v>
      </c>
      <c r="I222" s="3" t="s">
        <v>245</v>
      </c>
      <c r="J222" s="4" t="s">
        <v>49</v>
      </c>
      <c r="K222" s="4" t="s">
        <v>143</v>
      </c>
      <c r="L222" s="3" t="s">
        <v>144</v>
      </c>
      <c r="M222" s="5" t="s">
        <v>1090</v>
      </c>
      <c r="N222" s="3" t="s">
        <v>36</v>
      </c>
      <c r="O222" s="16">
        <v>23.6021</v>
      </c>
      <c r="P222" s="16">
        <v>119.6726</v>
      </c>
      <c r="Q222" s="4" t="s">
        <v>145</v>
      </c>
      <c r="R222" s="3" t="s">
        <v>38</v>
      </c>
      <c r="S222" s="3" t="s">
        <v>146</v>
      </c>
      <c r="T222" s="5" t="s">
        <v>1117</v>
      </c>
      <c r="U222" s="5" t="s">
        <v>1118</v>
      </c>
      <c r="V222" s="3" t="s">
        <v>1119</v>
      </c>
      <c r="W222" s="4" t="s">
        <v>150</v>
      </c>
    </row>
    <row r="223" spans="1:23" ht="70">
      <c r="A223" s="4">
        <v>221</v>
      </c>
      <c r="B223" s="4" t="s">
        <v>1120</v>
      </c>
      <c r="C223" s="4" t="s">
        <v>1121</v>
      </c>
      <c r="D223" s="3" t="s">
        <v>1122</v>
      </c>
      <c r="E223" s="3" t="s">
        <v>231</v>
      </c>
      <c r="F223" s="4" t="s">
        <v>60</v>
      </c>
      <c r="G223" s="4" t="s">
        <v>29</v>
      </c>
      <c r="H223" s="3" t="s">
        <v>232</v>
      </c>
      <c r="I223" s="3" t="s">
        <v>233</v>
      </c>
      <c r="J223" s="4" t="s">
        <v>49</v>
      </c>
      <c r="K223" s="4" t="s">
        <v>33</v>
      </c>
      <c r="L223" s="3" t="s">
        <v>34</v>
      </c>
      <c r="M223" s="5" t="s">
        <v>1123</v>
      </c>
      <c r="N223" s="3" t="s">
        <v>36</v>
      </c>
      <c r="O223" s="16">
        <v>24.431999999999999</v>
      </c>
      <c r="P223" s="16">
        <v>118.3165</v>
      </c>
      <c r="Q223" s="4" t="s">
        <v>277</v>
      </c>
      <c r="R223" s="3" t="s">
        <v>38</v>
      </c>
      <c r="S223" s="3" t="s">
        <v>39</v>
      </c>
      <c r="T223" s="5" t="s">
        <v>1124</v>
      </c>
      <c r="U223" s="5" t="s">
        <v>1125</v>
      </c>
      <c r="V223" s="3" t="s">
        <v>1126</v>
      </c>
      <c r="W223" s="4" t="s">
        <v>43</v>
      </c>
    </row>
    <row r="224" spans="1:23" ht="56">
      <c r="A224" s="4">
        <v>222</v>
      </c>
      <c r="B224" s="4" t="s">
        <v>1120</v>
      </c>
      <c r="C224" s="4" t="s">
        <v>1127</v>
      </c>
      <c r="D224" s="3" t="s">
        <v>1128</v>
      </c>
      <c r="E224" s="3" t="s">
        <v>65</v>
      </c>
      <c r="F224" s="4" t="s">
        <v>28</v>
      </c>
      <c r="G224" s="4" t="s">
        <v>29</v>
      </c>
      <c r="H224" s="3" t="s">
        <v>67</v>
      </c>
      <c r="I224" s="3" t="s">
        <v>68</v>
      </c>
      <c r="J224" s="4" t="s">
        <v>49</v>
      </c>
      <c r="K224" s="4" t="s">
        <v>143</v>
      </c>
      <c r="L224" s="3" t="s">
        <v>144</v>
      </c>
      <c r="M224" s="5" t="s">
        <v>1123</v>
      </c>
      <c r="N224" s="3" t="s">
        <v>36</v>
      </c>
      <c r="O224" s="16">
        <v>24.447099999999999</v>
      </c>
      <c r="P224" s="16">
        <v>118.35599999999999</v>
      </c>
      <c r="Q224" s="4" t="s">
        <v>145</v>
      </c>
      <c r="R224" s="3" t="s">
        <v>38</v>
      </c>
      <c r="S224" s="3" t="s">
        <v>146</v>
      </c>
      <c r="T224" s="5" t="s">
        <v>1129</v>
      </c>
      <c r="U224" s="5" t="s">
        <v>1130</v>
      </c>
      <c r="V224" s="3" t="s">
        <v>1131</v>
      </c>
      <c r="W224" s="4" t="s">
        <v>150</v>
      </c>
    </row>
    <row r="225" spans="1:23" ht="56">
      <c r="A225" s="4">
        <v>223</v>
      </c>
      <c r="B225" s="4" t="s">
        <v>1120</v>
      </c>
      <c r="C225" s="4" t="s">
        <v>1132</v>
      </c>
      <c r="D225" s="3" t="s">
        <v>1133</v>
      </c>
      <c r="E225" s="3" t="s">
        <v>265</v>
      </c>
      <c r="F225" s="4" t="s">
        <v>28</v>
      </c>
      <c r="G225" s="4" t="s">
        <v>29</v>
      </c>
      <c r="H225" s="3" t="s">
        <v>266</v>
      </c>
      <c r="I225" s="3" t="s">
        <v>267</v>
      </c>
      <c r="J225" s="4" t="s">
        <v>49</v>
      </c>
      <c r="K225" s="4" t="s">
        <v>143</v>
      </c>
      <c r="L225" s="3" t="s">
        <v>144</v>
      </c>
      <c r="M225" s="5" t="s">
        <v>1123</v>
      </c>
      <c r="N225" s="3" t="s">
        <v>36</v>
      </c>
      <c r="O225" s="16">
        <v>24.436599999999999</v>
      </c>
      <c r="P225" s="16">
        <v>118.4385</v>
      </c>
      <c r="Q225" s="4" t="s">
        <v>145</v>
      </c>
      <c r="R225" s="3" t="s">
        <v>38</v>
      </c>
      <c r="S225" s="3" t="s">
        <v>146</v>
      </c>
      <c r="T225" s="5" t="s">
        <v>1134</v>
      </c>
      <c r="U225" s="5" t="s">
        <v>1135</v>
      </c>
      <c r="V225" s="3" t="s">
        <v>1136</v>
      </c>
      <c r="W225" s="4" t="s">
        <v>150</v>
      </c>
    </row>
    <row r="226" spans="1:23" ht="56">
      <c r="A226" s="4">
        <v>224</v>
      </c>
      <c r="B226" s="4" t="s">
        <v>1120</v>
      </c>
      <c r="C226" s="4" t="s">
        <v>1132</v>
      </c>
      <c r="D226" s="3" t="s">
        <v>1137</v>
      </c>
      <c r="E226" s="3" t="s">
        <v>265</v>
      </c>
      <c r="F226" s="4" t="s">
        <v>60</v>
      </c>
      <c r="G226" s="4" t="s">
        <v>66</v>
      </c>
      <c r="H226" s="3" t="s">
        <v>266</v>
      </c>
      <c r="I226" s="3" t="s">
        <v>267</v>
      </c>
      <c r="J226" s="4" t="s">
        <v>49</v>
      </c>
      <c r="K226" s="4" t="s">
        <v>143</v>
      </c>
      <c r="L226" s="3" t="s">
        <v>144</v>
      </c>
      <c r="M226" s="5" t="s">
        <v>1123</v>
      </c>
      <c r="N226" s="3" t="s">
        <v>36</v>
      </c>
      <c r="O226" s="16">
        <v>24.448</v>
      </c>
      <c r="P226" s="16">
        <v>118.3785</v>
      </c>
      <c r="Q226" s="4" t="s">
        <v>145</v>
      </c>
      <c r="R226" s="3" t="s">
        <v>38</v>
      </c>
      <c r="S226" s="3" t="s">
        <v>146</v>
      </c>
      <c r="T226" s="5" t="s">
        <v>1138</v>
      </c>
      <c r="U226" s="5" t="s">
        <v>1139</v>
      </c>
      <c r="V226" s="3" t="s">
        <v>1140</v>
      </c>
      <c r="W226" s="4" t="s">
        <v>150</v>
      </c>
    </row>
    <row r="227" spans="1:23" ht="56">
      <c r="A227" s="4">
        <v>225</v>
      </c>
      <c r="B227" s="4" t="s">
        <v>1120</v>
      </c>
      <c r="C227" s="4" t="s">
        <v>1141</v>
      </c>
      <c r="D227" s="3" t="s">
        <v>1142</v>
      </c>
      <c r="E227" s="3" t="s">
        <v>231</v>
      </c>
      <c r="F227" s="4" t="s">
        <v>60</v>
      </c>
      <c r="G227" s="4" t="s">
        <v>66</v>
      </c>
      <c r="H227" s="3" t="s">
        <v>232</v>
      </c>
      <c r="I227" s="3" t="s">
        <v>233</v>
      </c>
      <c r="J227" s="4" t="s">
        <v>49</v>
      </c>
      <c r="K227" s="4" t="s">
        <v>33</v>
      </c>
      <c r="L227" s="3" t="s">
        <v>34</v>
      </c>
      <c r="M227" s="5" t="s">
        <v>1123</v>
      </c>
      <c r="N227" s="3" t="s">
        <v>36</v>
      </c>
      <c r="O227" s="16">
        <v>24.4255</v>
      </c>
      <c r="P227" s="16">
        <v>118.2345</v>
      </c>
      <c r="Q227" s="4" t="s">
        <v>277</v>
      </c>
      <c r="R227" s="3" t="s">
        <v>38</v>
      </c>
      <c r="S227" s="3" t="s">
        <v>39</v>
      </c>
      <c r="T227" s="5" t="s">
        <v>1143</v>
      </c>
      <c r="U227" s="5" t="s">
        <v>1144</v>
      </c>
      <c r="V227" s="3" t="s">
        <v>1145</v>
      </c>
      <c r="W227" s="4" t="s">
        <v>43</v>
      </c>
    </row>
    <row r="228" spans="1:23" ht="56">
      <c r="A228" s="4">
        <v>226</v>
      </c>
      <c r="B228" s="4" t="s">
        <v>1120</v>
      </c>
      <c r="C228" s="4" t="s">
        <v>1121</v>
      </c>
      <c r="D228" s="3" t="s">
        <v>1146</v>
      </c>
      <c r="E228" s="3" t="s">
        <v>46</v>
      </c>
      <c r="F228" s="4" t="s">
        <v>28</v>
      </c>
      <c r="G228" s="4" t="s">
        <v>29</v>
      </c>
      <c r="H228" s="3" t="s">
        <v>47</v>
      </c>
      <c r="I228" s="3" t="s">
        <v>48</v>
      </c>
      <c r="J228" s="4" t="s">
        <v>49</v>
      </c>
      <c r="K228" s="4" t="s">
        <v>33</v>
      </c>
      <c r="L228" s="3" t="s">
        <v>34</v>
      </c>
      <c r="M228" s="5" t="s">
        <v>1123</v>
      </c>
      <c r="N228" s="3" t="s">
        <v>36</v>
      </c>
      <c r="O228" s="16">
        <v>24.429200000000002</v>
      </c>
      <c r="P228" s="16">
        <v>118.3198</v>
      </c>
      <c r="Q228" s="4" t="s">
        <v>145</v>
      </c>
      <c r="R228" s="3" t="s">
        <v>38</v>
      </c>
      <c r="S228" s="3" t="s">
        <v>39</v>
      </c>
      <c r="T228" s="5" t="s">
        <v>1147</v>
      </c>
      <c r="U228" s="5" t="s">
        <v>1148</v>
      </c>
      <c r="V228" s="3" t="s">
        <v>1149</v>
      </c>
      <c r="W228" s="4" t="s">
        <v>43</v>
      </c>
    </row>
    <row r="229" spans="1:23" ht="56">
      <c r="A229" s="4">
        <v>227</v>
      </c>
      <c r="B229" s="4" t="s">
        <v>1120</v>
      </c>
      <c r="C229" s="4" t="s">
        <v>1132</v>
      </c>
      <c r="D229" s="3" t="s">
        <v>1150</v>
      </c>
      <c r="E229" s="3" t="s">
        <v>46</v>
      </c>
      <c r="F229" s="4" t="s">
        <v>60</v>
      </c>
      <c r="G229" s="4" t="s">
        <v>66</v>
      </c>
      <c r="H229" s="3" t="s">
        <v>47</v>
      </c>
      <c r="I229" s="3" t="s">
        <v>48</v>
      </c>
      <c r="J229" s="4" t="s">
        <v>49</v>
      </c>
      <c r="K229" s="4" t="s">
        <v>33</v>
      </c>
      <c r="L229" s="3" t="s">
        <v>34</v>
      </c>
      <c r="M229" s="5" t="s">
        <v>1123</v>
      </c>
      <c r="N229" s="3" t="s">
        <v>36</v>
      </c>
      <c r="O229" s="16">
        <v>24.436800000000002</v>
      </c>
      <c r="P229" s="16">
        <v>118.43049999999999</v>
      </c>
      <c r="Q229" s="4" t="s">
        <v>277</v>
      </c>
      <c r="R229" s="3" t="s">
        <v>38</v>
      </c>
      <c r="S229" s="3" t="s">
        <v>39</v>
      </c>
      <c r="T229" s="5" t="s">
        <v>1151</v>
      </c>
      <c r="U229" s="5" t="s">
        <v>1152</v>
      </c>
      <c r="V229" s="3" t="s">
        <v>1153</v>
      </c>
      <c r="W229" s="4" t="s">
        <v>43</v>
      </c>
    </row>
    <row r="230" spans="1:23" ht="70">
      <c r="A230" s="4">
        <v>228</v>
      </c>
      <c r="B230" s="4" t="s">
        <v>1154</v>
      </c>
      <c r="C230" s="4" t="s">
        <v>1155</v>
      </c>
      <c r="D230" s="3" t="s">
        <v>1156</v>
      </c>
      <c r="E230" s="3" t="s">
        <v>46</v>
      </c>
      <c r="F230" s="4" t="s">
        <v>28</v>
      </c>
      <c r="G230" s="4" t="s">
        <v>29</v>
      </c>
      <c r="H230" s="3" t="s">
        <v>47</v>
      </c>
      <c r="I230" s="3" t="s">
        <v>48</v>
      </c>
      <c r="J230" s="4" t="s">
        <v>49</v>
      </c>
      <c r="K230" s="4" t="s">
        <v>33</v>
      </c>
      <c r="L230" s="3" t="s">
        <v>34</v>
      </c>
      <c r="M230" s="5" t="s">
        <v>1157</v>
      </c>
      <c r="N230" s="3" t="s">
        <v>36</v>
      </c>
      <c r="O230" s="16">
        <v>26.2166</v>
      </c>
      <c r="P230" s="16">
        <v>119.97450000000001</v>
      </c>
      <c r="Q230" s="4" t="s">
        <v>277</v>
      </c>
      <c r="R230" s="3" t="s">
        <v>38</v>
      </c>
      <c r="S230" s="3" t="s">
        <v>39</v>
      </c>
      <c r="T230" s="5" t="s">
        <v>1158</v>
      </c>
      <c r="U230" s="5" t="s">
        <v>1159</v>
      </c>
      <c r="V230" s="3" t="s">
        <v>1160</v>
      </c>
      <c r="W230" s="4" t="s">
        <v>43</v>
      </c>
    </row>
    <row r="231" spans="1:23" ht="70">
      <c r="A231" s="4">
        <v>229</v>
      </c>
      <c r="B231" s="4" t="s">
        <v>1154</v>
      </c>
      <c r="C231" s="4" t="s">
        <v>1161</v>
      </c>
      <c r="D231" s="3" t="s">
        <v>1162</v>
      </c>
      <c r="E231" s="3" t="s">
        <v>46</v>
      </c>
      <c r="F231" s="4" t="s">
        <v>28</v>
      </c>
      <c r="G231" s="4" t="s">
        <v>29</v>
      </c>
      <c r="H231" s="3" t="s">
        <v>47</v>
      </c>
      <c r="I231" s="3" t="s">
        <v>48</v>
      </c>
      <c r="J231" s="4" t="s">
        <v>49</v>
      </c>
      <c r="K231" s="4" t="s">
        <v>143</v>
      </c>
      <c r="L231" s="3" t="s">
        <v>144</v>
      </c>
      <c r="M231" s="5" t="s">
        <v>1157</v>
      </c>
      <c r="N231" s="3" t="s">
        <v>36</v>
      </c>
      <c r="O231" s="16">
        <v>26.160715</v>
      </c>
      <c r="P231" s="16">
        <v>119.916687</v>
      </c>
      <c r="Q231" s="4" t="s">
        <v>145</v>
      </c>
      <c r="R231" s="3" t="s">
        <v>38</v>
      </c>
      <c r="S231" s="3" t="s">
        <v>146</v>
      </c>
      <c r="T231" s="5" t="s">
        <v>1163</v>
      </c>
      <c r="U231" s="5" t="s">
        <v>1164</v>
      </c>
      <c r="V231" s="3" t="s">
        <v>1165</v>
      </c>
      <c r="W231" s="4" t="s">
        <v>150</v>
      </c>
    </row>
    <row r="232" spans="1:23" ht="98">
      <c r="A232" s="4">
        <v>230</v>
      </c>
      <c r="B232" s="4" t="s">
        <v>1154</v>
      </c>
      <c r="C232" s="4" t="s">
        <v>1161</v>
      </c>
      <c r="D232" s="3" t="s">
        <v>1166</v>
      </c>
      <c r="E232" s="3" t="s">
        <v>46</v>
      </c>
      <c r="F232" s="4" t="s">
        <v>60</v>
      </c>
      <c r="G232" s="4" t="s">
        <v>66</v>
      </c>
      <c r="H232" s="3" t="s">
        <v>47</v>
      </c>
      <c r="I232" s="3" t="s">
        <v>48</v>
      </c>
      <c r="J232" s="4" t="s">
        <v>49</v>
      </c>
      <c r="K232" s="4" t="s">
        <v>143</v>
      </c>
      <c r="L232" s="3" t="s">
        <v>144</v>
      </c>
      <c r="M232" s="5" t="s">
        <v>1157</v>
      </c>
      <c r="N232" s="3" t="s">
        <v>36</v>
      </c>
      <c r="O232" s="16">
        <v>26.157800000000002</v>
      </c>
      <c r="P232" s="16">
        <v>119.94929999999999</v>
      </c>
      <c r="Q232" s="4" t="s">
        <v>99</v>
      </c>
      <c r="R232" s="3" t="s">
        <v>38</v>
      </c>
      <c r="S232" s="3" t="s">
        <v>100</v>
      </c>
      <c r="T232" s="5" t="s">
        <v>1167</v>
      </c>
      <c r="U232" s="5" t="s">
        <v>1168</v>
      </c>
      <c r="V232" s="3" t="s">
        <v>1169</v>
      </c>
      <c r="W232" s="4" t="s">
        <v>104</v>
      </c>
    </row>
    <row r="233" spans="1:23" ht="70">
      <c r="A233" s="4">
        <v>231</v>
      </c>
      <c r="B233" s="4" t="s">
        <v>1154</v>
      </c>
      <c r="C233" s="4" t="s">
        <v>1161</v>
      </c>
      <c r="D233" s="3" t="s">
        <v>1170</v>
      </c>
      <c r="E233" s="3" t="s">
        <v>46</v>
      </c>
      <c r="F233" s="4" t="s">
        <v>60</v>
      </c>
      <c r="G233" s="4" t="s">
        <v>66</v>
      </c>
      <c r="H233" s="3" t="s">
        <v>47</v>
      </c>
      <c r="I233" s="3" t="s">
        <v>48</v>
      </c>
      <c r="J233" s="4" t="s">
        <v>49</v>
      </c>
      <c r="K233" s="4" t="s">
        <v>143</v>
      </c>
      <c r="L233" s="3" t="s">
        <v>144</v>
      </c>
      <c r="M233" s="5" t="s">
        <v>1157</v>
      </c>
      <c r="N233" s="3" t="s">
        <v>36</v>
      </c>
      <c r="O233" s="16">
        <v>26.1569</v>
      </c>
      <c r="P233" s="16">
        <v>119.9515</v>
      </c>
      <c r="Q233" s="4" t="s">
        <v>277</v>
      </c>
      <c r="R233" s="3" t="s">
        <v>38</v>
      </c>
      <c r="S233" s="3" t="s">
        <v>146</v>
      </c>
      <c r="T233" s="5" t="s">
        <v>1171</v>
      </c>
      <c r="U233" s="5" t="s">
        <v>1172</v>
      </c>
      <c r="V233" s="3" t="s">
        <v>1173</v>
      </c>
      <c r="W233" s="4" t="s">
        <v>150</v>
      </c>
    </row>
  </sheetData>
  <mergeCells count="1">
    <mergeCell ref="A1:W1"/>
  </mergeCells>
  <phoneticPr fontId="10" type="noConversion"/>
  <conditionalFormatting sqref="F3:F233">
    <cfRule type="expression" dxfId="21" priority="1">
      <formula>LEFT(F3,1)="S"</formula>
    </cfRule>
    <cfRule type="expression" dxfId="20" priority="2">
      <formula>LEFT(F3,1)="A"</formula>
    </cfRule>
    <cfRule type="expression" dxfId="19" priority="3">
      <formula>LEFT(F3,1)="B"</formula>
    </cfRule>
  </conditionalFormatting>
  <conditionalFormatting sqref="G3:G233">
    <cfRule type="expression" dxfId="18" priority="4">
      <formula>LEFT(G3,2)="P0"</formula>
    </cfRule>
    <cfRule type="expression" dxfId="17" priority="5">
      <formula>LEFT(G3,2)="P1"</formula>
    </cfRule>
    <cfRule type="expression" dxfId="16" priority="6">
      <formula>LEFT(G3,2)="P2"</formula>
    </cfRule>
  </conditionalFormatting>
  <conditionalFormatting sqref="Q3:Q233">
    <cfRule type="expression" dxfId="15" priority="7">
      <formula>LEFT(Q3,1)="A"</formula>
    </cfRule>
    <cfRule type="expression" dxfId="14" priority="8">
      <formula>LEFT(Q3,1)="B"</formula>
    </cfRule>
    <cfRule type="expression" dxfId="13" priority="9">
      <formula>LEFT(Q3,1)="C"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/>
  </sheetViews>
  <sheetFormatPr defaultRowHeight="14"/>
  <cols>
    <col min="1" max="1" width="12" customWidth="1"/>
    <col min="2" max="8" width="14" customWidth="1"/>
    <col min="10" max="10" width="25" customWidth="1"/>
    <col min="11" max="11" width="10" customWidth="1"/>
    <col min="12" max="12" width="11" customWidth="1"/>
    <col min="13" max="13" width="46" customWidth="1"/>
  </cols>
  <sheetData>
    <row r="1" spans="1:8" ht="19">
      <c r="A1" s="38" t="s">
        <v>1174</v>
      </c>
      <c r="B1" s="38"/>
      <c r="C1" s="38"/>
      <c r="D1" s="38"/>
      <c r="E1" s="38"/>
      <c r="F1" s="38"/>
      <c r="G1" s="38"/>
      <c r="H1" s="38"/>
    </row>
    <row r="2" spans="1:8">
      <c r="A2" s="6" t="s">
        <v>2</v>
      </c>
      <c r="B2" s="7" t="s">
        <v>1175</v>
      </c>
      <c r="C2" s="7" t="s">
        <v>28</v>
      </c>
      <c r="D2" s="7" t="s">
        <v>60</v>
      </c>
      <c r="E2" s="7" t="s">
        <v>205</v>
      </c>
      <c r="F2" s="7" t="s">
        <v>29</v>
      </c>
      <c r="G2" s="7" t="s">
        <v>66</v>
      </c>
      <c r="H2" s="8" t="s">
        <v>225</v>
      </c>
    </row>
    <row r="3" spans="1:8">
      <c r="A3" s="9" t="s">
        <v>24</v>
      </c>
      <c r="B3" s="11">
        <f>COUNTIF(知名公園清單!$B$3:$B$233,A3)</f>
        <v>18</v>
      </c>
      <c r="C3" s="11">
        <f>COUNTIFS(知名公園清單!$B$3:$B$233,A3,知名公園清單!$F$3:$F$233,"S｜全國知名")</f>
        <v>5</v>
      </c>
      <c r="D3" s="11">
        <f>COUNTIFS(知名公園清單!$B$3:$B$233,A3,知名公園清單!$F$3:$F$233,"A｜縣市代表")</f>
        <v>13</v>
      </c>
      <c r="E3" s="11">
        <f>COUNTIFS(知名公園清單!$B$3:$B$233,A3,知名公園清單!$F$3:$F$233,"B｜區域熱門")</f>
        <v>0</v>
      </c>
      <c r="F3" s="11">
        <f>COUNTIFS(知名公園清單!$B$3:$B$233,A3,知名公園清單!$G$3:$G$233,"P0｜核心")</f>
        <v>9</v>
      </c>
      <c r="G3" s="11">
        <f>COUNTIFS(知名公園清單!$B$3:$B$233,A3,知名公園清單!$G$3:$G$233,"P1｜擴充")</f>
        <v>9</v>
      </c>
      <c r="H3" s="12">
        <f>COUNTIFS(知名公園清單!$B$3:$B$233,A3,知名公園清單!$G$3:$G$233,"P2｜候補")</f>
        <v>0</v>
      </c>
    </row>
    <row r="4" spans="1:8">
      <c r="A4" s="9" t="s">
        <v>151</v>
      </c>
      <c r="B4" s="11">
        <f>COUNTIF(知名公園清單!$B$3:$B$233,A4)</f>
        <v>18</v>
      </c>
      <c r="C4" s="11">
        <f>COUNTIFS(知名公園清單!$B$3:$B$233,A4,知名公園清單!$F$3:$F$233,"S｜全國知名")</f>
        <v>3</v>
      </c>
      <c r="D4" s="11">
        <f>COUNTIFS(知名公園清單!$B$3:$B$233,A4,知名公園清單!$F$3:$F$233,"A｜縣市代表")</f>
        <v>13</v>
      </c>
      <c r="E4" s="11">
        <f>COUNTIFS(知名公園清單!$B$3:$B$233,A4,知名公園清單!$F$3:$F$233,"B｜區域熱門")</f>
        <v>2</v>
      </c>
      <c r="F4" s="11">
        <f>COUNTIFS(知名公園清單!$B$3:$B$233,A4,知名公園清單!$G$3:$G$233,"P0｜核心")</f>
        <v>6</v>
      </c>
      <c r="G4" s="11">
        <f>COUNTIFS(知名公園清單!$B$3:$B$233,A4,知名公園清單!$G$3:$G$233,"P1｜擴充")</f>
        <v>11</v>
      </c>
      <c r="H4" s="12">
        <f>COUNTIFS(知名公園清單!$B$3:$B$233,A4,知名公園清單!$G$3:$G$233,"P2｜候補")</f>
        <v>1</v>
      </c>
    </row>
    <row r="5" spans="1:8">
      <c r="A5" s="9" t="s">
        <v>241</v>
      </c>
      <c r="B5" s="11">
        <f>COUNTIF(知名公園清單!$B$3:$B$233,A5)</f>
        <v>7</v>
      </c>
      <c r="C5" s="11">
        <f>COUNTIFS(知名公園清單!$B$3:$B$233,A5,知名公園清單!$F$3:$F$233,"S｜全國知名")</f>
        <v>2</v>
      </c>
      <c r="D5" s="11">
        <f>COUNTIFS(知名公園清單!$B$3:$B$233,A5,知名公園清單!$F$3:$F$233,"A｜縣市代表")</f>
        <v>5</v>
      </c>
      <c r="E5" s="11">
        <f>COUNTIFS(知名公園清單!$B$3:$B$233,A5,知名公園清單!$F$3:$F$233,"B｜區域熱門")</f>
        <v>0</v>
      </c>
      <c r="F5" s="11">
        <f>COUNTIFS(知名公園清單!$B$3:$B$233,A5,知名公園清單!$G$3:$G$233,"P0｜核心")</f>
        <v>3</v>
      </c>
      <c r="G5" s="11">
        <f>COUNTIFS(知名公園清單!$B$3:$B$233,A5,知名公園清單!$G$3:$G$233,"P1｜擴充")</f>
        <v>4</v>
      </c>
      <c r="H5" s="12">
        <f>COUNTIFS(知名公園清單!$B$3:$B$233,A5,知名公園清單!$G$3:$G$233,"P2｜候補")</f>
        <v>0</v>
      </c>
    </row>
    <row r="6" spans="1:8">
      <c r="A6" s="9" t="s">
        <v>281</v>
      </c>
      <c r="B6" s="11">
        <f>COUNTIF(知名公園清單!$B$3:$B$233,A6)</f>
        <v>16</v>
      </c>
      <c r="C6" s="11">
        <f>COUNTIFS(知名公園清單!$B$3:$B$233,A6,知名公園清單!$F$3:$F$233,"S｜全國知名")</f>
        <v>3</v>
      </c>
      <c r="D6" s="11">
        <f>COUNTIFS(知名公園清單!$B$3:$B$233,A6,知名公園清單!$F$3:$F$233,"A｜縣市代表")</f>
        <v>11</v>
      </c>
      <c r="E6" s="11">
        <f>COUNTIFS(知名公園清單!$B$3:$B$233,A6,知名公園清單!$F$3:$F$233,"B｜區域熱門")</f>
        <v>2</v>
      </c>
      <c r="F6" s="11">
        <f>COUNTIFS(知名公園清單!$B$3:$B$233,A6,知名公園清單!$G$3:$G$233,"P0｜核心")</f>
        <v>5</v>
      </c>
      <c r="G6" s="11">
        <f>COUNTIFS(知名公園清單!$B$3:$B$233,A6,知名公園清單!$G$3:$G$233,"P1｜擴充")</f>
        <v>9</v>
      </c>
      <c r="H6" s="12">
        <f>COUNTIFS(知名公園清單!$B$3:$B$233,A6,知名公園清單!$G$3:$G$233,"P2｜候補")</f>
        <v>2</v>
      </c>
    </row>
    <row r="7" spans="1:8">
      <c r="A7" s="9" t="s">
        <v>355</v>
      </c>
      <c r="B7" s="11">
        <f>COUNTIF(知名公園清單!$B$3:$B$233,A7)</f>
        <v>10</v>
      </c>
      <c r="C7" s="11">
        <f>COUNTIFS(知名公園清單!$B$3:$B$233,A7,知名公園清單!$F$3:$F$233,"S｜全國知名")</f>
        <v>3</v>
      </c>
      <c r="D7" s="11">
        <f>COUNTIFS(知名公園清單!$B$3:$B$233,A7,知名公園清單!$F$3:$F$233,"A｜縣市代表")</f>
        <v>5</v>
      </c>
      <c r="E7" s="11">
        <f>COUNTIFS(知名公園清單!$B$3:$B$233,A7,知名公園清單!$F$3:$F$233,"B｜區域熱門")</f>
        <v>2</v>
      </c>
      <c r="F7" s="11">
        <f>COUNTIFS(知名公園清單!$B$3:$B$233,A7,知名公園清單!$G$3:$G$233,"P0｜核心")</f>
        <v>4</v>
      </c>
      <c r="G7" s="11">
        <f>COUNTIFS(知名公園清單!$B$3:$B$233,A7,知名公園清單!$G$3:$G$233,"P1｜擴充")</f>
        <v>4</v>
      </c>
      <c r="H7" s="12">
        <f>COUNTIFS(知名公園清單!$B$3:$B$233,A7,知名公園清單!$G$3:$G$233,"P2｜候補")</f>
        <v>2</v>
      </c>
    </row>
    <row r="8" spans="1:8">
      <c r="A8" s="9" t="s">
        <v>400</v>
      </c>
      <c r="B8" s="11">
        <f>COUNTIF(知名公園清單!$B$3:$B$233,A8)</f>
        <v>8</v>
      </c>
      <c r="C8" s="11">
        <f>COUNTIFS(知名公園清單!$B$3:$B$233,A8,知名公園清單!$F$3:$F$233,"S｜全國知名")</f>
        <v>0</v>
      </c>
      <c r="D8" s="11">
        <f>COUNTIFS(知名公園清單!$B$3:$B$233,A8,知名公園清單!$F$3:$F$233,"A｜縣市代表")</f>
        <v>6</v>
      </c>
      <c r="E8" s="11">
        <f>COUNTIFS(知名公園清單!$B$3:$B$233,A8,知名公園清單!$F$3:$F$233,"B｜區域熱門")</f>
        <v>2</v>
      </c>
      <c r="F8" s="11">
        <f>COUNTIFS(知名公園清單!$B$3:$B$233,A8,知名公園清單!$G$3:$G$233,"P0｜核心")</f>
        <v>2</v>
      </c>
      <c r="G8" s="11">
        <f>COUNTIFS(知名公園清單!$B$3:$B$233,A8,知名公園清單!$G$3:$G$233,"P1｜擴充")</f>
        <v>4</v>
      </c>
      <c r="H8" s="12">
        <f>COUNTIFS(知名公園清單!$B$3:$B$233,A8,知名公園清單!$G$3:$G$233,"P2｜候補")</f>
        <v>2</v>
      </c>
    </row>
    <row r="9" spans="1:8">
      <c r="A9" s="9" t="s">
        <v>436</v>
      </c>
      <c r="B9" s="11">
        <f>COUNTIF(知名公園清單!$B$3:$B$233,A9)</f>
        <v>9</v>
      </c>
      <c r="C9" s="11">
        <f>COUNTIFS(知名公園清單!$B$3:$B$233,A9,知名公園清單!$F$3:$F$233,"S｜全國知名")</f>
        <v>0</v>
      </c>
      <c r="D9" s="11">
        <f>COUNTIFS(知名公園清單!$B$3:$B$233,A9,知名公園清單!$F$3:$F$233,"A｜縣市代表")</f>
        <v>8</v>
      </c>
      <c r="E9" s="11">
        <f>COUNTIFS(知名公園清單!$B$3:$B$233,A9,知名公園清單!$F$3:$F$233,"B｜區域熱門")</f>
        <v>1</v>
      </c>
      <c r="F9" s="11">
        <f>COUNTIFS(知名公園清單!$B$3:$B$233,A9,知名公園清單!$G$3:$G$233,"P0｜核心")</f>
        <v>2</v>
      </c>
      <c r="G9" s="11">
        <f>COUNTIFS(知名公園清單!$B$3:$B$233,A9,知名公園清單!$G$3:$G$233,"P1｜擴充")</f>
        <v>6</v>
      </c>
      <c r="H9" s="12">
        <f>COUNTIFS(知名公園清單!$B$3:$B$233,A9,知名公園清單!$G$3:$G$233,"P2｜候補")</f>
        <v>1</v>
      </c>
    </row>
    <row r="10" spans="1:8">
      <c r="A10" s="9" t="s">
        <v>480</v>
      </c>
      <c r="B10" s="11">
        <f>COUNTIF(知名公園清單!$B$3:$B$233,A10)</f>
        <v>16</v>
      </c>
      <c r="C10" s="11">
        <f>COUNTIFS(知名公園清單!$B$3:$B$233,A10,知名公園清單!$F$3:$F$233,"S｜全國知名")</f>
        <v>6</v>
      </c>
      <c r="D10" s="11">
        <f>COUNTIFS(知名公園清單!$B$3:$B$233,A10,知名公園清單!$F$3:$F$233,"A｜縣市代表")</f>
        <v>9</v>
      </c>
      <c r="E10" s="11">
        <f>COUNTIFS(知名公園清單!$B$3:$B$233,A10,知名公園清單!$F$3:$F$233,"B｜區域熱門")</f>
        <v>1</v>
      </c>
      <c r="F10" s="11">
        <f>COUNTIFS(知名公園清單!$B$3:$B$233,A10,知名公園清單!$G$3:$G$233,"P0｜核心")</f>
        <v>6</v>
      </c>
      <c r="G10" s="11">
        <f>COUNTIFS(知名公園清單!$B$3:$B$233,A10,知名公園清單!$G$3:$G$233,"P1｜擴充")</f>
        <v>9</v>
      </c>
      <c r="H10" s="12">
        <f>COUNTIFS(知名公園清單!$B$3:$B$233,A10,知名公園清單!$G$3:$G$233,"P2｜候補")</f>
        <v>1</v>
      </c>
    </row>
    <row r="11" spans="1:8">
      <c r="A11" s="9" t="s">
        <v>559</v>
      </c>
      <c r="B11" s="11">
        <f>COUNTIF(知名公園清單!$B$3:$B$233,A11)</f>
        <v>9</v>
      </c>
      <c r="C11" s="11">
        <f>COUNTIFS(知名公園清單!$B$3:$B$233,A11,知名公園清單!$F$3:$F$233,"S｜全國知名")</f>
        <v>2</v>
      </c>
      <c r="D11" s="11">
        <f>COUNTIFS(知名公園清單!$B$3:$B$233,A11,知名公園清單!$F$3:$F$233,"A｜縣市代表")</f>
        <v>6</v>
      </c>
      <c r="E11" s="11">
        <f>COUNTIFS(知名公園清單!$B$3:$B$233,A11,知名公園清單!$F$3:$F$233,"B｜區域熱門")</f>
        <v>1</v>
      </c>
      <c r="F11" s="11">
        <f>COUNTIFS(知名公園清單!$B$3:$B$233,A11,知名公園清單!$G$3:$G$233,"P0｜核心")</f>
        <v>3</v>
      </c>
      <c r="G11" s="11">
        <f>COUNTIFS(知名公園清單!$B$3:$B$233,A11,知名公園清單!$G$3:$G$233,"P1｜擴充")</f>
        <v>5</v>
      </c>
      <c r="H11" s="12">
        <f>COUNTIFS(知名公園清單!$B$3:$B$233,A11,知名公園清單!$G$3:$G$233,"P2｜候補")</f>
        <v>1</v>
      </c>
    </row>
    <row r="12" spans="1:8">
      <c r="A12" s="9" t="s">
        <v>603</v>
      </c>
      <c r="B12" s="11">
        <f>COUNTIF(知名公園清單!$B$3:$B$233,A12)</f>
        <v>8</v>
      </c>
      <c r="C12" s="11">
        <f>COUNTIFS(知名公園清單!$B$3:$B$233,A12,知名公園清單!$F$3:$F$233,"S｜全國知名")</f>
        <v>0</v>
      </c>
      <c r="D12" s="11">
        <f>COUNTIFS(知名公園清單!$B$3:$B$233,A12,知名公園清單!$F$3:$F$233,"A｜縣市代表")</f>
        <v>6</v>
      </c>
      <c r="E12" s="11">
        <f>COUNTIFS(知名公園清單!$B$3:$B$233,A12,知名公園清單!$F$3:$F$233,"B｜區域熱門")</f>
        <v>2</v>
      </c>
      <c r="F12" s="11">
        <f>COUNTIFS(知名公園清單!$B$3:$B$233,A12,知名公園清單!$G$3:$G$233,"P0｜核心")</f>
        <v>1</v>
      </c>
      <c r="G12" s="11">
        <f>COUNTIFS(知名公園清單!$B$3:$B$233,A12,知名公園清單!$G$3:$G$233,"P1｜擴充")</f>
        <v>5</v>
      </c>
      <c r="H12" s="12">
        <f>COUNTIFS(知名公園清單!$B$3:$B$233,A12,知名公園清單!$G$3:$G$233,"P2｜候補")</f>
        <v>2</v>
      </c>
    </row>
    <row r="13" spans="1:8">
      <c r="A13" s="9" t="s">
        <v>643</v>
      </c>
      <c r="B13" s="11">
        <f>COUNTIF(知名公園清單!$B$3:$B$233,A13)</f>
        <v>9</v>
      </c>
      <c r="C13" s="11">
        <f>COUNTIFS(知名公園清單!$B$3:$B$233,A13,知名公園清單!$F$3:$F$233,"S｜全國知名")</f>
        <v>1</v>
      </c>
      <c r="D13" s="11">
        <f>COUNTIFS(知名公園清單!$B$3:$B$233,A13,知名公園清單!$F$3:$F$233,"A｜縣市代表")</f>
        <v>6</v>
      </c>
      <c r="E13" s="11">
        <f>COUNTIFS(知名公園清單!$B$3:$B$233,A13,知名公園清單!$F$3:$F$233,"B｜區域熱門")</f>
        <v>2</v>
      </c>
      <c r="F13" s="11">
        <f>COUNTIFS(知名公園清單!$B$3:$B$233,A13,知名公園清單!$G$3:$G$233,"P0｜核心")</f>
        <v>2</v>
      </c>
      <c r="G13" s="11">
        <f>COUNTIFS(知名公園清單!$B$3:$B$233,A13,知名公園清單!$G$3:$G$233,"P1｜擴充")</f>
        <v>5</v>
      </c>
      <c r="H13" s="12">
        <f>COUNTIFS(知名公園清單!$B$3:$B$233,A13,知名公園清單!$G$3:$G$233,"P2｜候補")</f>
        <v>2</v>
      </c>
    </row>
    <row r="14" spans="1:8">
      <c r="A14" s="9" t="s">
        <v>685</v>
      </c>
      <c r="B14" s="11">
        <f>COUNTIF(知名公園清單!$B$3:$B$233,A14)</f>
        <v>7</v>
      </c>
      <c r="C14" s="11">
        <f>COUNTIFS(知名公園清單!$B$3:$B$233,A14,知名公園清單!$F$3:$F$233,"S｜全國知名")</f>
        <v>1</v>
      </c>
      <c r="D14" s="11">
        <f>COUNTIFS(知名公園清單!$B$3:$B$233,A14,知名公園清單!$F$3:$F$233,"A｜縣市代表")</f>
        <v>5</v>
      </c>
      <c r="E14" s="11">
        <f>COUNTIFS(知名公園清單!$B$3:$B$233,A14,知名公園清單!$F$3:$F$233,"B｜區域熱門")</f>
        <v>1</v>
      </c>
      <c r="F14" s="11">
        <f>COUNTIFS(知名公園清單!$B$3:$B$233,A14,知名公園清單!$G$3:$G$233,"P0｜核心")</f>
        <v>2</v>
      </c>
      <c r="G14" s="11">
        <f>COUNTIFS(知名公園清單!$B$3:$B$233,A14,知名公園清單!$G$3:$G$233,"P1｜擴充")</f>
        <v>4</v>
      </c>
      <c r="H14" s="12">
        <f>COUNTIFS(知名公園清單!$B$3:$B$233,A14,知名公園清單!$G$3:$G$233,"P2｜候補")</f>
        <v>1</v>
      </c>
    </row>
    <row r="15" spans="1:8">
      <c r="A15" s="9" t="s">
        <v>714</v>
      </c>
      <c r="B15" s="11">
        <f>COUNTIF(知名公園清單!$B$3:$B$233,A15)</f>
        <v>7</v>
      </c>
      <c r="C15" s="11">
        <f>COUNTIFS(知名公園清單!$B$3:$B$233,A15,知名公園清單!$F$3:$F$233,"S｜全國知名")</f>
        <v>2</v>
      </c>
      <c r="D15" s="11">
        <f>COUNTIFS(知名公園清單!$B$3:$B$233,A15,知名公園清單!$F$3:$F$233,"A｜縣市代表")</f>
        <v>4</v>
      </c>
      <c r="E15" s="11">
        <f>COUNTIFS(知名公園清單!$B$3:$B$233,A15,知名公園清單!$F$3:$F$233,"B｜區域熱門")</f>
        <v>1</v>
      </c>
      <c r="F15" s="11">
        <f>COUNTIFS(知名公園清單!$B$3:$B$233,A15,知名公園清單!$G$3:$G$233,"P0｜核心")</f>
        <v>3</v>
      </c>
      <c r="G15" s="11">
        <f>COUNTIFS(知名公園清單!$B$3:$B$233,A15,知名公園清單!$G$3:$G$233,"P1｜擴充")</f>
        <v>3</v>
      </c>
      <c r="H15" s="12">
        <f>COUNTIFS(知名公園清單!$B$3:$B$233,A15,知名公園清單!$G$3:$G$233,"P2｜候補")</f>
        <v>1</v>
      </c>
    </row>
    <row r="16" spans="1:8">
      <c r="A16" s="9" t="s">
        <v>750</v>
      </c>
      <c r="B16" s="11">
        <f>COUNTIF(知名公園清單!$B$3:$B$233,A16)</f>
        <v>15</v>
      </c>
      <c r="C16" s="11">
        <f>COUNTIFS(知名公園清單!$B$3:$B$233,A16,知名公園清單!$F$3:$F$233,"S｜全國知名")</f>
        <v>5</v>
      </c>
      <c r="D16" s="11">
        <f>COUNTIFS(知名公園清單!$B$3:$B$233,A16,知名公園清單!$F$3:$F$233,"A｜縣市代表")</f>
        <v>10</v>
      </c>
      <c r="E16" s="11">
        <f>COUNTIFS(知名公園清單!$B$3:$B$233,A16,知名公園清單!$F$3:$F$233,"B｜區域熱門")</f>
        <v>0</v>
      </c>
      <c r="F16" s="11">
        <f>COUNTIFS(知名公園清單!$B$3:$B$233,A16,知名公園清單!$G$3:$G$233,"P0｜核心")</f>
        <v>7</v>
      </c>
      <c r="G16" s="11">
        <f>COUNTIFS(知名公園清單!$B$3:$B$233,A16,知名公園清單!$G$3:$G$233,"P1｜擴充")</f>
        <v>8</v>
      </c>
      <c r="H16" s="12">
        <f>COUNTIFS(知名公園清單!$B$3:$B$233,A16,知名公園清單!$G$3:$G$233,"P2｜候補")</f>
        <v>0</v>
      </c>
    </row>
    <row r="17" spans="1:13">
      <c r="A17" s="9" t="s">
        <v>819</v>
      </c>
      <c r="B17" s="11">
        <f>COUNTIF(知名公園清單!$B$3:$B$233,A17)</f>
        <v>20</v>
      </c>
      <c r="C17" s="11">
        <f>COUNTIFS(知名公園清單!$B$3:$B$233,A17,知名公園清單!$F$3:$F$233,"S｜全國知名")</f>
        <v>8</v>
      </c>
      <c r="D17" s="11">
        <f>COUNTIFS(知名公園清單!$B$3:$B$233,A17,知名公園清單!$F$3:$F$233,"A｜縣市代表")</f>
        <v>11</v>
      </c>
      <c r="E17" s="11">
        <f>COUNTIFS(知名公園清單!$B$3:$B$233,A17,知名公園清單!$F$3:$F$233,"B｜區域熱門")</f>
        <v>1</v>
      </c>
      <c r="F17" s="11">
        <f>COUNTIFS(知名公園清單!$B$3:$B$233,A17,知名公園清單!$G$3:$G$233,"P0｜核心")</f>
        <v>8</v>
      </c>
      <c r="G17" s="11">
        <f>COUNTIFS(知名公園清單!$B$3:$B$233,A17,知名公園清單!$G$3:$G$233,"P1｜擴充")</f>
        <v>11</v>
      </c>
      <c r="H17" s="12">
        <f>COUNTIFS(知名公園清單!$B$3:$B$233,A17,知名公園清單!$G$3:$G$233,"P2｜候補")</f>
        <v>1</v>
      </c>
    </row>
    <row r="18" spans="1:13">
      <c r="A18" s="9" t="s">
        <v>914</v>
      </c>
      <c r="B18" s="11">
        <f>COUNTIF(知名公園清單!$B$3:$B$233,A18)</f>
        <v>9</v>
      </c>
      <c r="C18" s="11">
        <f>COUNTIFS(知名公園清單!$B$3:$B$233,A18,知名公園清單!$F$3:$F$233,"S｜全國知名")</f>
        <v>5</v>
      </c>
      <c r="D18" s="11">
        <f>COUNTIFS(知名公園清單!$B$3:$B$233,A18,知名公園清單!$F$3:$F$233,"A｜縣市代表")</f>
        <v>3</v>
      </c>
      <c r="E18" s="11">
        <f>COUNTIFS(知名公園清單!$B$3:$B$233,A18,知名公園清單!$F$3:$F$233,"B｜區域熱門")</f>
        <v>1</v>
      </c>
      <c r="F18" s="11">
        <f>COUNTIFS(知名公園清單!$B$3:$B$233,A18,知名公園清單!$G$3:$G$233,"P0｜核心")</f>
        <v>5</v>
      </c>
      <c r="G18" s="11">
        <f>COUNTIFS(知名公園清單!$B$3:$B$233,A18,知名公園清單!$G$3:$G$233,"P1｜擴充")</f>
        <v>3</v>
      </c>
      <c r="H18" s="12">
        <f>COUNTIFS(知名公園清單!$B$3:$B$233,A18,知名公園清單!$G$3:$G$233,"P2｜候補")</f>
        <v>1</v>
      </c>
    </row>
    <row r="19" spans="1:13">
      <c r="A19" s="9" t="s">
        <v>958</v>
      </c>
      <c r="B19" s="11">
        <f>COUNTIF(知名公園清單!$B$3:$B$233,A19)</f>
        <v>11</v>
      </c>
      <c r="C19" s="11">
        <f>COUNTIFS(知名公園清單!$B$3:$B$233,A19,知名公園清單!$F$3:$F$233,"S｜全國知名")</f>
        <v>6</v>
      </c>
      <c r="D19" s="11">
        <f>COUNTIFS(知名公園清單!$B$3:$B$233,A19,知名公園清單!$F$3:$F$233,"A｜縣市代表")</f>
        <v>5</v>
      </c>
      <c r="E19" s="11">
        <f>COUNTIFS(知名公園清單!$B$3:$B$233,A19,知名公園清單!$F$3:$F$233,"B｜區域熱門")</f>
        <v>0</v>
      </c>
      <c r="F19" s="11">
        <f>COUNTIFS(知名公園清單!$B$3:$B$233,A19,知名公園清單!$G$3:$G$233,"P0｜核心")</f>
        <v>6</v>
      </c>
      <c r="G19" s="11">
        <f>COUNTIFS(知名公園清單!$B$3:$B$233,A19,知名公園清單!$G$3:$G$233,"P1｜擴充")</f>
        <v>5</v>
      </c>
      <c r="H19" s="12">
        <f>COUNTIFS(知名公園清單!$B$3:$B$233,A19,知名公園清單!$G$3:$G$233,"P2｜候補")</f>
        <v>0</v>
      </c>
    </row>
    <row r="20" spans="1:13">
      <c r="A20" s="9" t="s">
        <v>1008</v>
      </c>
      <c r="B20" s="11">
        <f>COUNTIF(知名公園清單!$B$3:$B$233,A20)</f>
        <v>8</v>
      </c>
      <c r="C20" s="11">
        <f>COUNTIFS(知名公園清單!$B$3:$B$233,A20,知名公園清單!$F$3:$F$233,"S｜全國知名")</f>
        <v>4</v>
      </c>
      <c r="D20" s="11">
        <f>COUNTIFS(知名公園清單!$B$3:$B$233,A20,知名公園清單!$F$3:$F$233,"A｜縣市代表")</f>
        <v>2</v>
      </c>
      <c r="E20" s="11">
        <f>COUNTIFS(知名公園清單!$B$3:$B$233,A20,知名公園清單!$F$3:$F$233,"B｜區域熱門")</f>
        <v>2</v>
      </c>
      <c r="F20" s="11">
        <f>COUNTIFS(知名公園清單!$B$3:$B$233,A20,知名公園清單!$G$3:$G$233,"P0｜核心")</f>
        <v>5</v>
      </c>
      <c r="G20" s="11">
        <f>COUNTIFS(知名公園清單!$B$3:$B$233,A20,知名公園清單!$G$3:$G$233,"P1｜擴充")</f>
        <v>1</v>
      </c>
      <c r="H20" s="12">
        <f>COUNTIFS(知名公園清單!$B$3:$B$233,A20,知名公園清單!$G$3:$G$233,"P2｜候補")</f>
        <v>2</v>
      </c>
    </row>
    <row r="21" spans="1:13">
      <c r="A21" s="9" t="s">
        <v>1048</v>
      </c>
      <c r="B21" s="11">
        <f>COUNTIF(知名公園清單!$B$3:$B$233,A21)</f>
        <v>8</v>
      </c>
      <c r="C21" s="11">
        <f>COUNTIFS(知名公園清單!$B$3:$B$233,A21,知名公園清單!$F$3:$F$233,"S｜全國知名")</f>
        <v>6</v>
      </c>
      <c r="D21" s="11">
        <f>COUNTIFS(知名公園清單!$B$3:$B$233,A21,知名公園清單!$F$3:$F$233,"A｜縣市代表")</f>
        <v>2</v>
      </c>
      <c r="E21" s="11">
        <f>COUNTIFS(知名公園清單!$B$3:$B$233,A21,知名公園清單!$F$3:$F$233,"B｜區域熱門")</f>
        <v>0</v>
      </c>
      <c r="F21" s="11">
        <f>COUNTIFS(知名公園清單!$B$3:$B$233,A21,知名公園清單!$G$3:$G$233,"P0｜核心")</f>
        <v>6</v>
      </c>
      <c r="G21" s="11">
        <f>COUNTIFS(知名公園清單!$B$3:$B$233,A21,知名公園清單!$G$3:$G$233,"P1｜擴充")</f>
        <v>2</v>
      </c>
      <c r="H21" s="12">
        <f>COUNTIFS(知名公園清單!$B$3:$B$233,A21,知名公園清單!$G$3:$G$233,"P2｜候補")</f>
        <v>0</v>
      </c>
    </row>
    <row r="22" spans="1:13">
      <c r="A22" s="9" t="s">
        <v>1087</v>
      </c>
      <c r="B22" s="11">
        <f>COUNTIF(知名公園清單!$B$3:$B$233,A22)</f>
        <v>7</v>
      </c>
      <c r="C22" s="11">
        <f>COUNTIFS(知名公園清單!$B$3:$B$233,A22,知名公園清單!$F$3:$F$233,"S｜全國知名")</f>
        <v>3</v>
      </c>
      <c r="D22" s="11">
        <f>COUNTIFS(知名公園清單!$B$3:$B$233,A22,知名公園清單!$F$3:$F$233,"A｜縣市代表")</f>
        <v>4</v>
      </c>
      <c r="E22" s="11">
        <f>COUNTIFS(知名公園清單!$B$3:$B$233,A22,知名公園清單!$F$3:$F$233,"B｜區域熱門")</f>
        <v>0</v>
      </c>
      <c r="F22" s="11">
        <f>COUNTIFS(知名公園清單!$B$3:$B$233,A22,知名公園清單!$G$3:$G$233,"P0｜核心")</f>
        <v>4</v>
      </c>
      <c r="G22" s="11">
        <f>COUNTIFS(知名公園清單!$B$3:$B$233,A22,知名公園清單!$G$3:$G$233,"P1｜擴充")</f>
        <v>3</v>
      </c>
      <c r="H22" s="12">
        <f>COUNTIFS(知名公園清單!$B$3:$B$233,A22,知名公園清單!$G$3:$G$233,"P2｜候補")</f>
        <v>0</v>
      </c>
    </row>
    <row r="23" spans="1:13">
      <c r="A23" s="9" t="s">
        <v>1120</v>
      </c>
      <c r="B23" s="11">
        <f>COUNTIF(知名公園清單!$B$3:$B$233,A23)</f>
        <v>7</v>
      </c>
      <c r="C23" s="11">
        <f>COUNTIFS(知名公園清單!$B$3:$B$233,A23,知名公園清單!$F$3:$F$233,"S｜全國知名")</f>
        <v>3</v>
      </c>
      <c r="D23" s="11">
        <f>COUNTIFS(知名公園清單!$B$3:$B$233,A23,知名公園清單!$F$3:$F$233,"A｜縣市代表")</f>
        <v>4</v>
      </c>
      <c r="E23" s="11">
        <f>COUNTIFS(知名公園清單!$B$3:$B$233,A23,知名公園清單!$F$3:$F$233,"B｜區域熱門")</f>
        <v>0</v>
      </c>
      <c r="F23" s="11">
        <f>COUNTIFS(知名公園清單!$B$3:$B$233,A23,知名公園清單!$G$3:$G$233,"P0｜核心")</f>
        <v>4</v>
      </c>
      <c r="G23" s="11">
        <f>COUNTIFS(知名公園清單!$B$3:$B$233,A23,知名公園清單!$G$3:$G$233,"P1｜擴充")</f>
        <v>3</v>
      </c>
      <c r="H23" s="12">
        <f>COUNTIFS(知名公園清單!$B$3:$B$233,A23,知名公園清單!$G$3:$G$233,"P2｜候補")</f>
        <v>0</v>
      </c>
    </row>
    <row r="24" spans="1:13">
      <c r="A24" s="9" t="s">
        <v>1154</v>
      </c>
      <c r="B24" s="11">
        <f>COUNTIF(知名公園清單!$B$3:$B$233,A24)</f>
        <v>4</v>
      </c>
      <c r="C24" s="11">
        <f>COUNTIFS(知名公園清單!$B$3:$B$233,A24,知名公園清單!$F$3:$F$233,"S｜全國知名")</f>
        <v>2</v>
      </c>
      <c r="D24" s="11">
        <f>COUNTIFS(知名公園清單!$B$3:$B$233,A24,知名公園清單!$F$3:$F$233,"A｜縣市代表")</f>
        <v>2</v>
      </c>
      <c r="E24" s="11">
        <f>COUNTIFS(知名公園清單!$B$3:$B$233,A24,知名公園清單!$F$3:$F$233,"B｜區域熱門")</f>
        <v>0</v>
      </c>
      <c r="F24" s="11">
        <f>COUNTIFS(知名公園清單!$B$3:$B$233,A24,知名公園清單!$G$3:$G$233,"P0｜核心")</f>
        <v>2</v>
      </c>
      <c r="G24" s="11">
        <f>COUNTIFS(知名公園清單!$B$3:$B$233,A24,知名公園清單!$G$3:$G$233,"P1｜擴充")</f>
        <v>2</v>
      </c>
      <c r="H24" s="12">
        <f>COUNTIFS(知名公園清單!$B$3:$B$233,A24,知名公園清單!$G$3:$G$233,"P2｜候補")</f>
        <v>0</v>
      </c>
      <c r="J24" s="39" t="s">
        <v>1176</v>
      </c>
      <c r="K24" s="39"/>
      <c r="L24" s="39"/>
      <c r="M24" s="39"/>
    </row>
    <row r="25" spans="1:13">
      <c r="A25" s="10" t="s">
        <v>1177</v>
      </c>
      <c r="B25" s="13">
        <f t="shared" ref="B25:H25" si="0">SUM(B3:B24)</f>
        <v>231</v>
      </c>
      <c r="C25" s="13">
        <f t="shared" si="0"/>
        <v>70</v>
      </c>
      <c r="D25" s="13">
        <f t="shared" si="0"/>
        <v>140</v>
      </c>
      <c r="E25" s="13">
        <f t="shared" si="0"/>
        <v>21</v>
      </c>
      <c r="F25" s="13">
        <f t="shared" si="0"/>
        <v>95</v>
      </c>
      <c r="G25" s="13">
        <f t="shared" si="0"/>
        <v>116</v>
      </c>
      <c r="H25" s="14">
        <f t="shared" si="0"/>
        <v>20</v>
      </c>
      <c r="J25" s="20" t="s">
        <v>1178</v>
      </c>
      <c r="K25" s="20" t="s">
        <v>1179</v>
      </c>
      <c r="L25" s="20" t="s">
        <v>1180</v>
      </c>
      <c r="M25" s="20" t="s">
        <v>1181</v>
      </c>
    </row>
    <row r="26" spans="1:13">
      <c r="J26" s="21" t="s">
        <v>1182</v>
      </c>
      <c r="K26" s="21">
        <f>COUNTIF(知名公園清單!$Q$3:$Q$233,"A｜Google Maps 單一 POI 候選")</f>
        <v>50</v>
      </c>
      <c r="L26" s="22">
        <f>K26/$B$25</f>
        <v>0.21645021645021645</v>
      </c>
      <c r="M26" s="2" t="s">
        <v>1183</v>
      </c>
    </row>
    <row r="27" spans="1:13">
      <c r="J27" s="21" t="s">
        <v>1184</v>
      </c>
      <c r="K27" s="21">
        <f>COUNTIF(知名公園清單!$Q$3:$Q$233,"B｜Google Maps 名稱搜尋待核對")</f>
        <v>92</v>
      </c>
      <c r="L27" s="22">
        <f>K27/$B$25</f>
        <v>0.39826839826839827</v>
      </c>
      <c r="M27" s="2" t="s">
        <v>1185</v>
      </c>
    </row>
    <row r="28" spans="1:13" ht="28">
      <c r="J28" s="21" t="s">
        <v>1186</v>
      </c>
      <c r="K28" s="21">
        <f>COUNTIF(知名公園清單!$Q$3:$Q$233,"C｜Google Maps 需人工選定主地標")+COUNTIF(知名公園清單!$Q$3:$Q$233,"C｜Google Maps 優先複核")</f>
        <v>89</v>
      </c>
      <c r="L28" s="22">
        <f>K28/$B$25</f>
        <v>0.38528138528138528</v>
      </c>
      <c r="M28" s="2" t="s">
        <v>1187</v>
      </c>
    </row>
  </sheetData>
  <mergeCells count="2">
    <mergeCell ref="A1:H1"/>
    <mergeCell ref="J24:M24"/>
  </mergeCells>
  <phoneticPr fontId="1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"/>
  <cols>
    <col min="1" max="1" width="18" customWidth="1"/>
    <col min="2" max="2" width="100" customWidth="1"/>
    <col min="3" max="6" width="4" customWidth="1"/>
  </cols>
  <sheetData>
    <row r="1" spans="1:6" ht="19">
      <c r="A1" s="40" t="s">
        <v>1188</v>
      </c>
      <c r="B1" s="40"/>
      <c r="C1" s="38"/>
      <c r="D1" s="38"/>
      <c r="E1" s="38"/>
      <c r="F1" s="38"/>
    </row>
    <row r="2" spans="1:6">
      <c r="A2" s="1" t="s">
        <v>1189</v>
      </c>
      <c r="B2" s="1" t="s">
        <v>1190</v>
      </c>
      <c r="C2" s="1"/>
      <c r="D2" s="1"/>
      <c r="E2" s="1"/>
      <c r="F2" s="1"/>
    </row>
    <row r="3" spans="1:6">
      <c r="A3" s="3" t="s">
        <v>1191</v>
      </c>
      <c r="B3" s="3" t="s">
        <v>1192</v>
      </c>
      <c r="C3" s="3"/>
      <c r="D3" s="3"/>
      <c r="E3" s="3"/>
      <c r="F3" s="3"/>
    </row>
    <row r="4" spans="1:6">
      <c r="A4" s="3" t="s">
        <v>1193</v>
      </c>
      <c r="B4" s="3" t="s">
        <v>1194</v>
      </c>
      <c r="C4" s="3"/>
      <c r="D4" s="3"/>
      <c r="E4" s="3"/>
      <c r="F4" s="3"/>
    </row>
    <row r="5" spans="1:6">
      <c r="A5" s="3" t="s">
        <v>1195</v>
      </c>
      <c r="B5" s="3" t="s">
        <v>1196</v>
      </c>
      <c r="C5" s="3"/>
      <c r="D5" s="3"/>
      <c r="E5" s="3"/>
      <c r="F5" s="3"/>
    </row>
    <row r="6" spans="1:6">
      <c r="A6" s="3" t="s">
        <v>1197</v>
      </c>
      <c r="B6" s="3" t="s">
        <v>1198</v>
      </c>
      <c r="C6" s="3"/>
      <c r="D6" s="3"/>
      <c r="E6" s="3"/>
      <c r="F6" s="3"/>
    </row>
    <row r="7" spans="1:6">
      <c r="A7" s="3" t="s">
        <v>28</v>
      </c>
      <c r="B7" s="3" t="s">
        <v>1199</v>
      </c>
      <c r="C7" s="3"/>
      <c r="D7" s="3"/>
      <c r="E7" s="3"/>
      <c r="F7" s="3"/>
    </row>
    <row r="8" spans="1:6">
      <c r="A8" s="3" t="s">
        <v>60</v>
      </c>
      <c r="B8" s="3" t="s">
        <v>1200</v>
      </c>
      <c r="C8" s="3"/>
      <c r="D8" s="3"/>
      <c r="E8" s="3"/>
      <c r="F8" s="3"/>
    </row>
    <row r="9" spans="1:6">
      <c r="A9" s="3" t="s">
        <v>205</v>
      </c>
      <c r="B9" s="3" t="s">
        <v>1201</v>
      </c>
      <c r="C9" s="3"/>
      <c r="D9" s="3"/>
      <c r="E9" s="3"/>
      <c r="F9" s="3"/>
    </row>
    <row r="10" spans="1:6">
      <c r="A10" s="3" t="s">
        <v>29</v>
      </c>
      <c r="B10" s="3" t="s">
        <v>1202</v>
      </c>
      <c r="C10" s="3"/>
      <c r="D10" s="3"/>
      <c r="E10" s="3"/>
      <c r="F10" s="3"/>
    </row>
    <row r="11" spans="1:6">
      <c r="A11" s="3" t="s">
        <v>66</v>
      </c>
      <c r="B11" s="3" t="s">
        <v>1203</v>
      </c>
      <c r="C11" s="3"/>
      <c r="D11" s="3"/>
      <c r="E11" s="3"/>
      <c r="F11" s="3"/>
    </row>
    <row r="12" spans="1:6">
      <c r="A12" s="3" t="s">
        <v>225</v>
      </c>
      <c r="B12" s="3" t="s">
        <v>1204</v>
      </c>
      <c r="C12" s="3"/>
      <c r="D12" s="3"/>
      <c r="E12" s="3"/>
      <c r="F12" s="3"/>
    </row>
    <row r="13" spans="1:6">
      <c r="A13" s="3" t="s">
        <v>1205</v>
      </c>
      <c r="B13" s="3" t="s">
        <v>1206</v>
      </c>
      <c r="C13" s="3"/>
      <c r="D13" s="3"/>
      <c r="E13" s="3"/>
      <c r="F13" s="3"/>
    </row>
    <row r="14" spans="1:6">
      <c r="A14" s="3" t="s">
        <v>1207</v>
      </c>
      <c r="B14" s="3" t="s">
        <v>1208</v>
      </c>
      <c r="C14" s="3"/>
      <c r="D14" s="3"/>
      <c r="E14" s="3"/>
      <c r="F14" s="3"/>
    </row>
    <row r="15" spans="1:6" ht="28">
      <c r="A15" s="3" t="s">
        <v>1209</v>
      </c>
      <c r="B15" s="3" t="s">
        <v>1210</v>
      </c>
      <c r="C15" s="3"/>
      <c r="D15" s="3"/>
      <c r="E15" s="3"/>
      <c r="F15" s="3"/>
    </row>
    <row r="16" spans="1:6">
      <c r="A16" s="17" t="s">
        <v>1211</v>
      </c>
      <c r="B16" s="18" t="s">
        <v>1212</v>
      </c>
    </row>
    <row r="17" spans="1:2">
      <c r="A17" s="17" t="s">
        <v>43</v>
      </c>
      <c r="B17" s="18" t="s">
        <v>1213</v>
      </c>
    </row>
    <row r="18" spans="1:2">
      <c r="A18" s="17" t="s">
        <v>1214</v>
      </c>
      <c r="B18" s="18" t="s">
        <v>1215</v>
      </c>
    </row>
    <row r="19" spans="1:2">
      <c r="A19" s="17" t="s">
        <v>1216</v>
      </c>
      <c r="B19" s="18" t="s">
        <v>1217</v>
      </c>
    </row>
    <row r="20" spans="1:2" ht="28">
      <c r="A20" s="17" t="s">
        <v>1218</v>
      </c>
      <c r="B20" s="18" t="s">
        <v>1219</v>
      </c>
    </row>
  </sheetData>
  <mergeCells count="1">
    <mergeCell ref="A1:F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6"/>
  <sheetViews>
    <sheetView workbookViewId="0"/>
  </sheetViews>
  <sheetFormatPr defaultRowHeight="14"/>
  <cols>
    <col min="1" max="1" width="7" customWidth="1"/>
    <col min="2" max="2" width="10" customWidth="1"/>
    <col min="3" max="3" width="11" customWidth="1"/>
    <col min="4" max="4" width="30" customWidth="1"/>
    <col min="5" max="6" width="16" customWidth="1"/>
    <col min="7" max="7" width="29" customWidth="1"/>
    <col min="8" max="8" width="25" customWidth="1"/>
    <col min="9" max="9" width="50" customWidth="1"/>
    <col min="10" max="10" width="42" customWidth="1"/>
    <col min="11" max="11" width="15" customWidth="1"/>
  </cols>
  <sheetData>
    <row r="1" spans="1:11" ht="18">
      <c r="A1" s="41" t="s">
        <v>1220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>
      <c r="A2" s="23" t="s">
        <v>1</v>
      </c>
      <c r="B2" s="23" t="s">
        <v>2</v>
      </c>
      <c r="C2" s="23" t="s">
        <v>3</v>
      </c>
      <c r="D2" s="23" t="s">
        <v>4</v>
      </c>
      <c r="E2" s="23" t="s">
        <v>1221</v>
      </c>
      <c r="F2" s="23" t="s">
        <v>1222</v>
      </c>
      <c r="G2" s="23" t="s">
        <v>17</v>
      </c>
      <c r="H2" s="23" t="s">
        <v>23</v>
      </c>
      <c r="I2" s="23" t="s">
        <v>20</v>
      </c>
      <c r="J2" s="23" t="s">
        <v>21</v>
      </c>
      <c r="K2" s="23" t="s">
        <v>1223</v>
      </c>
    </row>
    <row r="3" spans="1:11" ht="98">
      <c r="A3" s="3">
        <v>10</v>
      </c>
      <c r="B3" s="3" t="s">
        <v>24</v>
      </c>
      <c r="C3" s="3" t="s">
        <v>97</v>
      </c>
      <c r="D3" s="3" t="s">
        <v>98</v>
      </c>
      <c r="E3" s="15">
        <v>25.069099999999999</v>
      </c>
      <c r="F3" s="15">
        <v>121.53230000000001</v>
      </c>
      <c r="G3" s="3" t="s">
        <v>99</v>
      </c>
      <c r="H3" s="3" t="s">
        <v>104</v>
      </c>
      <c r="I3" s="5" t="s">
        <v>101</v>
      </c>
      <c r="J3" s="5" t="s">
        <v>102</v>
      </c>
      <c r="K3" s="3" t="s">
        <v>29</v>
      </c>
    </row>
    <row r="4" spans="1:11" ht="56">
      <c r="A4" s="3">
        <v>13</v>
      </c>
      <c r="B4" s="3" t="s">
        <v>24</v>
      </c>
      <c r="C4" s="3" t="s">
        <v>97</v>
      </c>
      <c r="D4" s="3" t="s">
        <v>113</v>
      </c>
      <c r="E4" s="15">
        <v>25.072700000000001</v>
      </c>
      <c r="F4" s="15">
        <v>121.535</v>
      </c>
      <c r="G4" s="3" t="s">
        <v>99</v>
      </c>
      <c r="H4" s="3" t="s">
        <v>121</v>
      </c>
      <c r="I4" s="5" t="s">
        <v>118</v>
      </c>
      <c r="J4" s="5" t="s">
        <v>119</v>
      </c>
      <c r="K4" s="3" t="s">
        <v>29</v>
      </c>
    </row>
    <row r="5" spans="1:11" ht="56">
      <c r="A5" s="3">
        <v>14</v>
      </c>
      <c r="B5" s="3" t="s">
        <v>24</v>
      </c>
      <c r="C5" s="3" t="s">
        <v>97</v>
      </c>
      <c r="D5" s="3" t="s">
        <v>122</v>
      </c>
      <c r="E5" s="15">
        <v>25.078399999999998</v>
      </c>
      <c r="F5" s="15">
        <v>121.55549999999999</v>
      </c>
      <c r="G5" s="3" t="s">
        <v>99</v>
      </c>
      <c r="H5" s="3" t="s">
        <v>121</v>
      </c>
      <c r="I5" s="5" t="s">
        <v>123</v>
      </c>
      <c r="J5" s="5" t="s">
        <v>124</v>
      </c>
      <c r="K5" s="3" t="s">
        <v>66</v>
      </c>
    </row>
    <row r="6" spans="1:11" ht="56">
      <c r="A6" s="3">
        <v>15</v>
      </c>
      <c r="B6" s="3" t="s">
        <v>24</v>
      </c>
      <c r="C6" s="3" t="s">
        <v>126</v>
      </c>
      <c r="D6" s="3" t="s">
        <v>127</v>
      </c>
      <c r="E6" s="15">
        <v>25.0505</v>
      </c>
      <c r="F6" s="15">
        <v>121.5775</v>
      </c>
      <c r="G6" s="3" t="s">
        <v>99</v>
      </c>
      <c r="H6" s="3" t="s">
        <v>121</v>
      </c>
      <c r="I6" s="5" t="s">
        <v>128</v>
      </c>
      <c r="J6" s="5" t="s">
        <v>129</v>
      </c>
      <c r="K6" s="3" t="s">
        <v>66</v>
      </c>
    </row>
    <row r="7" spans="1:11" ht="56">
      <c r="A7" s="3">
        <v>16</v>
      </c>
      <c r="B7" s="3" t="s">
        <v>24</v>
      </c>
      <c r="C7" s="3" t="s">
        <v>89</v>
      </c>
      <c r="D7" s="3" t="s">
        <v>131</v>
      </c>
      <c r="E7" s="15">
        <v>25.0199</v>
      </c>
      <c r="F7" s="15">
        <v>121.5046</v>
      </c>
      <c r="G7" s="3" t="s">
        <v>99</v>
      </c>
      <c r="H7" s="3" t="s">
        <v>121</v>
      </c>
      <c r="I7" s="5" t="s">
        <v>132</v>
      </c>
      <c r="J7" s="5" t="s">
        <v>133</v>
      </c>
      <c r="K7" s="3" t="s">
        <v>66</v>
      </c>
    </row>
    <row r="8" spans="1:11" ht="56">
      <c r="A8" s="3">
        <v>17</v>
      </c>
      <c r="B8" s="3" t="s">
        <v>24</v>
      </c>
      <c r="C8" s="3" t="s">
        <v>53</v>
      </c>
      <c r="D8" s="3" t="s">
        <v>135</v>
      </c>
      <c r="E8" s="15">
        <v>25.088100000000001</v>
      </c>
      <c r="F8" s="15">
        <v>121.5176</v>
      </c>
      <c r="G8" s="3" t="s">
        <v>99</v>
      </c>
      <c r="H8" s="3" t="s">
        <v>121</v>
      </c>
      <c r="I8" s="5" t="s">
        <v>136</v>
      </c>
      <c r="J8" s="5" t="s">
        <v>137</v>
      </c>
      <c r="K8" s="3" t="s">
        <v>66</v>
      </c>
    </row>
    <row r="9" spans="1:11" ht="56">
      <c r="A9" s="3">
        <v>18</v>
      </c>
      <c r="B9" s="3" t="s">
        <v>24</v>
      </c>
      <c r="C9" s="3" t="s">
        <v>58</v>
      </c>
      <c r="D9" s="3" t="s">
        <v>139</v>
      </c>
      <c r="E9" s="15">
        <v>25.119900000000001</v>
      </c>
      <c r="F9" s="15">
        <v>121.4697</v>
      </c>
      <c r="G9" s="3" t="s">
        <v>145</v>
      </c>
      <c r="H9" s="3" t="s">
        <v>150</v>
      </c>
      <c r="I9" s="5" t="s">
        <v>147</v>
      </c>
      <c r="J9" s="5" t="s">
        <v>148</v>
      </c>
      <c r="K9" s="3" t="s">
        <v>66</v>
      </c>
    </row>
    <row r="10" spans="1:11" ht="84">
      <c r="A10" s="3">
        <v>22</v>
      </c>
      <c r="B10" s="3" t="s">
        <v>151</v>
      </c>
      <c r="C10" s="3" t="s">
        <v>167</v>
      </c>
      <c r="D10" s="3" t="s">
        <v>168</v>
      </c>
      <c r="E10" s="15">
        <v>25.0016</v>
      </c>
      <c r="F10" s="15">
        <v>121.51439999999999</v>
      </c>
      <c r="G10" s="3" t="s">
        <v>99</v>
      </c>
      <c r="H10" s="3" t="s">
        <v>104</v>
      </c>
      <c r="I10" s="5" t="s">
        <v>169</v>
      </c>
      <c r="J10" s="5" t="s">
        <v>170</v>
      </c>
      <c r="K10" s="3" t="s">
        <v>29</v>
      </c>
    </row>
    <row r="11" spans="1:11" ht="70">
      <c r="A11" s="3">
        <v>23</v>
      </c>
      <c r="B11" s="3" t="s">
        <v>151</v>
      </c>
      <c r="C11" s="3" t="s">
        <v>172</v>
      </c>
      <c r="D11" s="3" t="s">
        <v>173</v>
      </c>
      <c r="E11" s="15">
        <v>25.012599999999999</v>
      </c>
      <c r="F11" s="15">
        <v>121.4628</v>
      </c>
      <c r="G11" s="3" t="s">
        <v>145</v>
      </c>
      <c r="H11" s="3" t="s">
        <v>43</v>
      </c>
      <c r="I11" s="5" t="s">
        <v>174</v>
      </c>
      <c r="J11" s="5" t="s">
        <v>175</v>
      </c>
      <c r="K11" s="3" t="s">
        <v>29</v>
      </c>
    </row>
    <row r="12" spans="1:11" ht="70">
      <c r="A12" s="3">
        <v>24</v>
      </c>
      <c r="B12" s="3" t="s">
        <v>151</v>
      </c>
      <c r="C12" s="3" t="s">
        <v>172</v>
      </c>
      <c r="D12" s="3" t="s">
        <v>177</v>
      </c>
      <c r="E12" s="15">
        <v>25.023800000000001</v>
      </c>
      <c r="F12" s="15">
        <v>121.4515</v>
      </c>
      <c r="G12" s="3" t="s">
        <v>145</v>
      </c>
      <c r="H12" s="3" t="s">
        <v>150</v>
      </c>
      <c r="I12" s="5" t="s">
        <v>178</v>
      </c>
      <c r="J12" s="5" t="s">
        <v>179</v>
      </c>
      <c r="K12" s="3" t="s">
        <v>66</v>
      </c>
    </row>
    <row r="13" spans="1:11" ht="56">
      <c r="A13" s="3">
        <v>25</v>
      </c>
      <c r="B13" s="3" t="s">
        <v>151</v>
      </c>
      <c r="C13" s="3" t="s">
        <v>181</v>
      </c>
      <c r="D13" s="3" t="s">
        <v>182</v>
      </c>
      <c r="E13" s="15">
        <v>25.009599999999999</v>
      </c>
      <c r="F13" s="15">
        <v>121.509</v>
      </c>
      <c r="G13" s="3" t="s">
        <v>145</v>
      </c>
      <c r="H13" s="3" t="s">
        <v>43</v>
      </c>
      <c r="I13" s="5" t="s">
        <v>183</v>
      </c>
      <c r="J13" s="5" t="s">
        <v>184</v>
      </c>
      <c r="K13" s="3" t="s">
        <v>66</v>
      </c>
    </row>
    <row r="14" spans="1:11" ht="70">
      <c r="A14" s="3">
        <v>29</v>
      </c>
      <c r="B14" s="3" t="s">
        <v>151</v>
      </c>
      <c r="C14" s="3" t="s">
        <v>181</v>
      </c>
      <c r="D14" s="3" t="s">
        <v>200</v>
      </c>
      <c r="E14" s="15">
        <v>25.011500000000002</v>
      </c>
      <c r="F14" s="15">
        <v>121.5116</v>
      </c>
      <c r="G14" s="3" t="s">
        <v>99</v>
      </c>
      <c r="H14" s="3" t="s">
        <v>121</v>
      </c>
      <c r="I14" s="5" t="s">
        <v>201</v>
      </c>
      <c r="J14" s="5" t="s">
        <v>202</v>
      </c>
      <c r="K14" s="3" t="s">
        <v>66</v>
      </c>
    </row>
    <row r="15" spans="1:11" ht="70">
      <c r="A15" s="3">
        <v>30</v>
      </c>
      <c r="B15" s="3" t="s">
        <v>151</v>
      </c>
      <c r="C15" s="3" t="s">
        <v>172</v>
      </c>
      <c r="D15" s="3" t="s">
        <v>204</v>
      </c>
      <c r="E15" s="15">
        <v>25.002500000000001</v>
      </c>
      <c r="F15" s="15">
        <v>121.44450000000001</v>
      </c>
      <c r="G15" s="3" t="s">
        <v>99</v>
      </c>
      <c r="H15" s="3" t="s">
        <v>121</v>
      </c>
      <c r="I15" s="5" t="s">
        <v>206</v>
      </c>
      <c r="J15" s="5" t="s">
        <v>207</v>
      </c>
      <c r="K15" s="3" t="s">
        <v>66</v>
      </c>
    </row>
    <row r="16" spans="1:11" ht="56">
      <c r="A16" s="3">
        <v>31</v>
      </c>
      <c r="B16" s="3" t="s">
        <v>151</v>
      </c>
      <c r="C16" s="3" t="s">
        <v>209</v>
      </c>
      <c r="D16" s="3" t="s">
        <v>210</v>
      </c>
      <c r="E16" s="15">
        <v>25.158000000000001</v>
      </c>
      <c r="F16" s="15">
        <v>121.434</v>
      </c>
      <c r="G16" s="3" t="s">
        <v>99</v>
      </c>
      <c r="H16" s="3" t="s">
        <v>121</v>
      </c>
      <c r="I16" s="5" t="s">
        <v>211</v>
      </c>
      <c r="J16" s="5" t="s">
        <v>212</v>
      </c>
      <c r="K16" s="3" t="s">
        <v>29</v>
      </c>
    </row>
    <row r="17" spans="1:11" ht="70">
      <c r="A17" s="3">
        <v>32</v>
      </c>
      <c r="B17" s="3" t="s">
        <v>151</v>
      </c>
      <c r="C17" s="3" t="s">
        <v>209</v>
      </c>
      <c r="D17" s="3" t="s">
        <v>214</v>
      </c>
      <c r="E17" s="15">
        <v>25.155999999999999</v>
      </c>
      <c r="F17" s="15">
        <v>121.4054</v>
      </c>
      <c r="G17" s="3" t="s">
        <v>145</v>
      </c>
      <c r="H17" s="3" t="s">
        <v>43</v>
      </c>
      <c r="I17" s="5" t="s">
        <v>215</v>
      </c>
      <c r="J17" s="5" t="s">
        <v>216</v>
      </c>
      <c r="K17" s="3" t="s">
        <v>66</v>
      </c>
    </row>
    <row r="18" spans="1:11" ht="70">
      <c r="A18" s="3">
        <v>34</v>
      </c>
      <c r="B18" s="3" t="s">
        <v>151</v>
      </c>
      <c r="C18" s="3" t="s">
        <v>223</v>
      </c>
      <c r="D18" s="3" t="s">
        <v>224</v>
      </c>
      <c r="E18" s="15">
        <v>24.937999999999999</v>
      </c>
      <c r="F18" s="15">
        <v>121.36799999999999</v>
      </c>
      <c r="G18" s="3" t="s">
        <v>99</v>
      </c>
      <c r="H18" s="3" t="s">
        <v>121</v>
      </c>
      <c r="I18" s="5" t="s">
        <v>226</v>
      </c>
      <c r="J18" s="5" t="s">
        <v>227</v>
      </c>
      <c r="K18" s="3" t="s">
        <v>225</v>
      </c>
    </row>
    <row r="19" spans="1:11" ht="84">
      <c r="A19" s="3">
        <v>35</v>
      </c>
      <c r="B19" s="3" t="s">
        <v>151</v>
      </c>
      <c r="C19" s="3" t="s">
        <v>229</v>
      </c>
      <c r="D19" s="3" t="s">
        <v>230</v>
      </c>
      <c r="E19" s="15">
        <v>25.067799999999998</v>
      </c>
      <c r="F19" s="15">
        <v>121.65940000000001</v>
      </c>
      <c r="G19" s="3" t="s">
        <v>99</v>
      </c>
      <c r="H19" s="3" t="s">
        <v>104</v>
      </c>
      <c r="I19" s="5" t="s">
        <v>234</v>
      </c>
      <c r="J19" s="5" t="s">
        <v>235</v>
      </c>
      <c r="K19" s="3" t="s">
        <v>66</v>
      </c>
    </row>
    <row r="20" spans="1:11" ht="56">
      <c r="A20" s="3">
        <v>36</v>
      </c>
      <c r="B20" s="3" t="s">
        <v>151</v>
      </c>
      <c r="C20" s="3" t="s">
        <v>167</v>
      </c>
      <c r="D20" s="3" t="s">
        <v>237</v>
      </c>
      <c r="E20" s="15">
        <v>25.001300000000001</v>
      </c>
      <c r="F20" s="15">
        <v>121.48</v>
      </c>
      <c r="G20" s="3" t="s">
        <v>145</v>
      </c>
      <c r="H20" s="3" t="s">
        <v>43</v>
      </c>
      <c r="I20" s="5" t="s">
        <v>238</v>
      </c>
      <c r="J20" s="5" t="s">
        <v>239</v>
      </c>
      <c r="K20" s="3" t="s">
        <v>66</v>
      </c>
    </row>
    <row r="21" spans="1:11" ht="56">
      <c r="A21" s="3">
        <v>39</v>
      </c>
      <c r="B21" s="3" t="s">
        <v>241</v>
      </c>
      <c r="C21" s="3" t="s">
        <v>44</v>
      </c>
      <c r="D21" s="3" t="s">
        <v>254</v>
      </c>
      <c r="E21" s="15">
        <v>25.162800000000001</v>
      </c>
      <c r="F21" s="15">
        <v>121.76390000000001</v>
      </c>
      <c r="G21" s="3" t="s">
        <v>145</v>
      </c>
      <c r="H21" s="3" t="s">
        <v>150</v>
      </c>
      <c r="I21" s="5" t="s">
        <v>255</v>
      </c>
      <c r="J21" s="5" t="s">
        <v>256</v>
      </c>
      <c r="K21" s="3" t="s">
        <v>29</v>
      </c>
    </row>
    <row r="22" spans="1:11" ht="56">
      <c r="A22" s="3">
        <v>41</v>
      </c>
      <c r="B22" s="3" t="s">
        <v>241</v>
      </c>
      <c r="C22" s="3" t="s">
        <v>263</v>
      </c>
      <c r="D22" s="3" t="s">
        <v>264</v>
      </c>
      <c r="E22" s="15">
        <v>25.157800000000002</v>
      </c>
      <c r="F22" s="15">
        <v>121.70650000000001</v>
      </c>
      <c r="G22" s="3" t="s">
        <v>145</v>
      </c>
      <c r="H22" s="3" t="s">
        <v>43</v>
      </c>
      <c r="I22" s="5" t="s">
        <v>268</v>
      </c>
      <c r="J22" s="5" t="s">
        <v>269</v>
      </c>
      <c r="K22" s="3" t="s">
        <v>66</v>
      </c>
    </row>
    <row r="23" spans="1:11" ht="84">
      <c r="A23" s="3">
        <v>42</v>
      </c>
      <c r="B23" s="3" t="s">
        <v>241</v>
      </c>
      <c r="C23" s="3" t="s">
        <v>263</v>
      </c>
      <c r="D23" s="3" t="s">
        <v>271</v>
      </c>
      <c r="E23" s="15">
        <v>25.128900000000002</v>
      </c>
      <c r="F23" s="15">
        <v>121.7105</v>
      </c>
      <c r="G23" s="3" t="s">
        <v>99</v>
      </c>
      <c r="H23" s="3" t="s">
        <v>104</v>
      </c>
      <c r="I23" s="5" t="s">
        <v>272</v>
      </c>
      <c r="J23" s="5" t="s">
        <v>273</v>
      </c>
      <c r="K23" s="3" t="s">
        <v>66</v>
      </c>
    </row>
    <row r="24" spans="1:11" ht="70">
      <c r="A24" s="3">
        <v>43</v>
      </c>
      <c r="B24" s="3" t="s">
        <v>241</v>
      </c>
      <c r="C24" s="3" t="s">
        <v>275</v>
      </c>
      <c r="D24" s="3" t="s">
        <v>276</v>
      </c>
      <c r="E24" s="15">
        <v>25.127800000000001</v>
      </c>
      <c r="F24" s="15">
        <v>121.75700000000001</v>
      </c>
      <c r="G24" s="3" t="s">
        <v>277</v>
      </c>
      <c r="H24" s="3" t="s">
        <v>43</v>
      </c>
      <c r="I24" s="5" t="s">
        <v>278</v>
      </c>
      <c r="J24" s="5" t="s">
        <v>279</v>
      </c>
      <c r="K24" s="3" t="s">
        <v>66</v>
      </c>
    </row>
    <row r="25" spans="1:11" ht="56">
      <c r="A25" s="3">
        <v>45</v>
      </c>
      <c r="B25" s="3" t="s">
        <v>281</v>
      </c>
      <c r="C25" s="3" t="s">
        <v>288</v>
      </c>
      <c r="D25" s="3" t="s">
        <v>289</v>
      </c>
      <c r="E25" s="15">
        <v>25.012</v>
      </c>
      <c r="F25" s="15">
        <v>121.206</v>
      </c>
      <c r="G25" s="3" t="s">
        <v>145</v>
      </c>
      <c r="H25" s="3" t="s">
        <v>43</v>
      </c>
      <c r="I25" s="5" t="s">
        <v>290</v>
      </c>
      <c r="J25" s="5" t="s">
        <v>291</v>
      </c>
      <c r="K25" s="3" t="s">
        <v>29</v>
      </c>
    </row>
    <row r="26" spans="1:11" ht="70">
      <c r="A26" s="3">
        <v>46</v>
      </c>
      <c r="B26" s="3" t="s">
        <v>281</v>
      </c>
      <c r="C26" s="3" t="s">
        <v>293</v>
      </c>
      <c r="D26" s="3" t="s">
        <v>294</v>
      </c>
      <c r="E26" s="15">
        <v>25.0153</v>
      </c>
      <c r="F26" s="15">
        <v>121.214</v>
      </c>
      <c r="G26" s="3" t="s">
        <v>145</v>
      </c>
      <c r="H26" s="3" t="s">
        <v>43</v>
      </c>
      <c r="I26" s="5" t="s">
        <v>295</v>
      </c>
      <c r="J26" s="5" t="s">
        <v>296</v>
      </c>
      <c r="K26" s="3" t="s">
        <v>29</v>
      </c>
    </row>
    <row r="27" spans="1:11" ht="56">
      <c r="A27" s="3">
        <v>47</v>
      </c>
      <c r="B27" s="3" t="s">
        <v>281</v>
      </c>
      <c r="C27" s="3" t="s">
        <v>282</v>
      </c>
      <c r="D27" s="3" t="s">
        <v>298</v>
      </c>
      <c r="E27" s="15">
        <v>25.003399999999999</v>
      </c>
      <c r="F27" s="15">
        <v>121.2867</v>
      </c>
      <c r="G27" s="3" t="s">
        <v>145</v>
      </c>
      <c r="H27" s="3" t="s">
        <v>43</v>
      </c>
      <c r="I27" s="5" t="s">
        <v>299</v>
      </c>
      <c r="J27" s="5" t="s">
        <v>300</v>
      </c>
      <c r="K27" s="3" t="s">
        <v>29</v>
      </c>
    </row>
    <row r="28" spans="1:11" ht="56">
      <c r="A28" s="3">
        <v>48</v>
      </c>
      <c r="B28" s="3" t="s">
        <v>281</v>
      </c>
      <c r="C28" s="3" t="s">
        <v>282</v>
      </c>
      <c r="D28" s="3" t="s">
        <v>302</v>
      </c>
      <c r="E28" s="15">
        <v>24.9803</v>
      </c>
      <c r="F28" s="15">
        <v>121.31059999999999</v>
      </c>
      <c r="G28" s="3" t="s">
        <v>145</v>
      </c>
      <c r="H28" s="3" t="s">
        <v>43</v>
      </c>
      <c r="I28" s="5" t="s">
        <v>303</v>
      </c>
      <c r="J28" s="5" t="s">
        <v>304</v>
      </c>
      <c r="K28" s="3" t="s">
        <v>66</v>
      </c>
    </row>
    <row r="29" spans="1:11" ht="56">
      <c r="A29" s="3">
        <v>49</v>
      </c>
      <c r="B29" s="3" t="s">
        <v>281</v>
      </c>
      <c r="C29" s="3" t="s">
        <v>282</v>
      </c>
      <c r="D29" s="3" t="s">
        <v>306</v>
      </c>
      <c r="E29" s="15">
        <v>25.003399999999999</v>
      </c>
      <c r="F29" s="15">
        <v>121.319</v>
      </c>
      <c r="G29" s="3" t="s">
        <v>145</v>
      </c>
      <c r="H29" s="3" t="s">
        <v>43</v>
      </c>
      <c r="I29" s="5" t="s">
        <v>307</v>
      </c>
      <c r="J29" s="5" t="s">
        <v>308</v>
      </c>
      <c r="K29" s="3" t="s">
        <v>66</v>
      </c>
    </row>
    <row r="30" spans="1:11" ht="56">
      <c r="A30" s="3">
        <v>51</v>
      </c>
      <c r="B30" s="3" t="s">
        <v>281</v>
      </c>
      <c r="C30" s="3" t="s">
        <v>288</v>
      </c>
      <c r="D30" s="3" t="s">
        <v>314</v>
      </c>
      <c r="E30" s="15">
        <v>24.959</v>
      </c>
      <c r="F30" s="15">
        <v>121.214</v>
      </c>
      <c r="G30" s="3" t="s">
        <v>145</v>
      </c>
      <c r="H30" s="3" t="s">
        <v>43</v>
      </c>
      <c r="I30" s="5" t="s">
        <v>315</v>
      </c>
      <c r="J30" s="5" t="s">
        <v>316</v>
      </c>
      <c r="K30" s="3" t="s">
        <v>66</v>
      </c>
    </row>
    <row r="31" spans="1:11" ht="56">
      <c r="A31" s="3">
        <v>53</v>
      </c>
      <c r="B31" s="3" t="s">
        <v>281</v>
      </c>
      <c r="C31" s="3" t="s">
        <v>322</v>
      </c>
      <c r="D31" s="3" t="s">
        <v>323</v>
      </c>
      <c r="E31" s="15">
        <v>24.947500000000002</v>
      </c>
      <c r="F31" s="15">
        <v>121.215</v>
      </c>
      <c r="G31" s="3" t="s">
        <v>145</v>
      </c>
      <c r="H31" s="3" t="s">
        <v>43</v>
      </c>
      <c r="I31" s="5" t="s">
        <v>324</v>
      </c>
      <c r="J31" s="5" t="s">
        <v>325</v>
      </c>
      <c r="K31" s="3" t="s">
        <v>66</v>
      </c>
    </row>
    <row r="32" spans="1:11" ht="70">
      <c r="A32" s="3">
        <v>57</v>
      </c>
      <c r="B32" s="3" t="s">
        <v>281</v>
      </c>
      <c r="C32" s="3" t="s">
        <v>282</v>
      </c>
      <c r="D32" s="3" t="s">
        <v>341</v>
      </c>
      <c r="E32" s="15">
        <v>25.013999999999999</v>
      </c>
      <c r="F32" s="15">
        <v>121.3167</v>
      </c>
      <c r="G32" s="3" t="s">
        <v>145</v>
      </c>
      <c r="H32" s="3" t="s">
        <v>43</v>
      </c>
      <c r="I32" s="5" t="s">
        <v>342</v>
      </c>
      <c r="J32" s="5" t="s">
        <v>343</v>
      </c>
      <c r="K32" s="3" t="s">
        <v>66</v>
      </c>
    </row>
    <row r="33" spans="1:11" ht="56">
      <c r="A33" s="3">
        <v>58</v>
      </c>
      <c r="B33" s="3" t="s">
        <v>281</v>
      </c>
      <c r="C33" s="3" t="s">
        <v>345</v>
      </c>
      <c r="D33" s="3" t="s">
        <v>346</v>
      </c>
      <c r="E33" s="15">
        <v>24.8172</v>
      </c>
      <c r="F33" s="15">
        <v>121.3505</v>
      </c>
      <c r="G33" s="3" t="s">
        <v>145</v>
      </c>
      <c r="H33" s="3" t="s">
        <v>43</v>
      </c>
      <c r="I33" s="5" t="s">
        <v>347</v>
      </c>
      <c r="J33" s="5" t="s">
        <v>348</v>
      </c>
      <c r="K33" s="3" t="s">
        <v>66</v>
      </c>
    </row>
    <row r="34" spans="1:11" ht="56">
      <c r="A34" s="3">
        <v>59</v>
      </c>
      <c r="B34" s="3" t="s">
        <v>281</v>
      </c>
      <c r="C34" s="3" t="s">
        <v>350</v>
      </c>
      <c r="D34" s="3" t="s">
        <v>351</v>
      </c>
      <c r="E34" s="15">
        <v>24.912299999999998</v>
      </c>
      <c r="F34" s="15">
        <v>121.1476</v>
      </c>
      <c r="G34" s="3" t="s">
        <v>277</v>
      </c>
      <c r="H34" s="3" t="s">
        <v>43</v>
      </c>
      <c r="I34" s="5" t="s">
        <v>352</v>
      </c>
      <c r="J34" s="5" t="s">
        <v>353</v>
      </c>
      <c r="K34" s="3" t="s">
        <v>66</v>
      </c>
    </row>
    <row r="35" spans="1:11" ht="56">
      <c r="A35" s="3">
        <v>60</v>
      </c>
      <c r="B35" s="3" t="s">
        <v>355</v>
      </c>
      <c r="C35" s="3" t="s">
        <v>356</v>
      </c>
      <c r="D35" s="3" t="s">
        <v>357</v>
      </c>
      <c r="E35" s="15">
        <v>24.8004</v>
      </c>
      <c r="F35" s="15">
        <v>120.97839999999999</v>
      </c>
      <c r="G35" s="3" t="s">
        <v>145</v>
      </c>
      <c r="H35" s="3" t="s">
        <v>43</v>
      </c>
      <c r="I35" s="5" t="s">
        <v>359</v>
      </c>
      <c r="J35" s="5" t="s">
        <v>360</v>
      </c>
      <c r="K35" s="3" t="s">
        <v>29</v>
      </c>
    </row>
    <row r="36" spans="1:11" ht="70">
      <c r="A36" s="3">
        <v>62</v>
      </c>
      <c r="B36" s="3" t="s">
        <v>355</v>
      </c>
      <c r="C36" s="3" t="s">
        <v>366</v>
      </c>
      <c r="D36" s="3" t="s">
        <v>367</v>
      </c>
      <c r="E36" s="15">
        <v>24.815000000000001</v>
      </c>
      <c r="F36" s="15">
        <v>120.967</v>
      </c>
      <c r="G36" s="3" t="s">
        <v>99</v>
      </c>
      <c r="H36" s="3" t="s">
        <v>121</v>
      </c>
      <c r="I36" s="5" t="s">
        <v>368</v>
      </c>
      <c r="J36" s="5" t="s">
        <v>369</v>
      </c>
      <c r="K36" s="3" t="s">
        <v>29</v>
      </c>
    </row>
    <row r="37" spans="1:11" ht="56">
      <c r="A37" s="3">
        <v>63</v>
      </c>
      <c r="B37" s="3" t="s">
        <v>355</v>
      </c>
      <c r="C37" s="3" t="s">
        <v>371</v>
      </c>
      <c r="D37" s="3" t="s">
        <v>372</v>
      </c>
      <c r="E37" s="15">
        <v>24.7317</v>
      </c>
      <c r="F37" s="15">
        <v>120.923</v>
      </c>
      <c r="G37" s="3" t="s">
        <v>145</v>
      </c>
      <c r="H37" s="3" t="s">
        <v>150</v>
      </c>
      <c r="I37" s="5" t="s">
        <v>373</v>
      </c>
      <c r="J37" s="5" t="s">
        <v>374</v>
      </c>
      <c r="K37" s="3" t="s">
        <v>29</v>
      </c>
    </row>
    <row r="38" spans="1:11" ht="56">
      <c r="A38" s="3">
        <v>64</v>
      </c>
      <c r="B38" s="3" t="s">
        <v>355</v>
      </c>
      <c r="C38" s="3" t="s">
        <v>366</v>
      </c>
      <c r="D38" s="3" t="s">
        <v>376</v>
      </c>
      <c r="E38" s="15">
        <v>24.846299999999999</v>
      </c>
      <c r="F38" s="15">
        <v>120.93049999999999</v>
      </c>
      <c r="G38" s="3" t="s">
        <v>145</v>
      </c>
      <c r="H38" s="3" t="s">
        <v>43</v>
      </c>
      <c r="I38" s="5" t="s">
        <v>377</v>
      </c>
      <c r="J38" s="5" t="s">
        <v>378</v>
      </c>
      <c r="K38" s="3" t="s">
        <v>66</v>
      </c>
    </row>
    <row r="39" spans="1:11" ht="56">
      <c r="A39" s="3">
        <v>65</v>
      </c>
      <c r="B39" s="3" t="s">
        <v>355</v>
      </c>
      <c r="C39" s="3" t="s">
        <v>356</v>
      </c>
      <c r="D39" s="3" t="s">
        <v>380</v>
      </c>
      <c r="E39" s="15">
        <v>24.807500000000001</v>
      </c>
      <c r="F39" s="15">
        <v>120.9682</v>
      </c>
      <c r="G39" s="3" t="s">
        <v>145</v>
      </c>
      <c r="H39" s="3" t="s">
        <v>43</v>
      </c>
      <c r="I39" s="5" t="s">
        <v>381</v>
      </c>
      <c r="J39" s="5" t="s">
        <v>382</v>
      </c>
      <c r="K39" s="3" t="s">
        <v>66</v>
      </c>
    </row>
    <row r="40" spans="1:11" ht="56">
      <c r="A40" s="3">
        <v>66</v>
      </c>
      <c r="B40" s="3" t="s">
        <v>355</v>
      </c>
      <c r="C40" s="3" t="s">
        <v>356</v>
      </c>
      <c r="D40" s="3" t="s">
        <v>384</v>
      </c>
      <c r="E40" s="15">
        <v>24.786799999999999</v>
      </c>
      <c r="F40" s="15">
        <v>121.01819999999999</v>
      </c>
      <c r="G40" s="3" t="s">
        <v>145</v>
      </c>
      <c r="H40" s="3" t="s">
        <v>43</v>
      </c>
      <c r="I40" s="5" t="s">
        <v>385</v>
      </c>
      <c r="J40" s="5" t="s">
        <v>386</v>
      </c>
      <c r="K40" s="3" t="s">
        <v>66</v>
      </c>
    </row>
    <row r="41" spans="1:11" ht="56">
      <c r="A41" s="3">
        <v>67</v>
      </c>
      <c r="B41" s="3" t="s">
        <v>355</v>
      </c>
      <c r="C41" s="3" t="s">
        <v>366</v>
      </c>
      <c r="D41" s="3" t="s">
        <v>388</v>
      </c>
      <c r="E41" s="15">
        <v>24.823699999999999</v>
      </c>
      <c r="F41" s="15">
        <v>120.9601</v>
      </c>
      <c r="G41" s="3" t="s">
        <v>145</v>
      </c>
      <c r="H41" s="3" t="s">
        <v>43</v>
      </c>
      <c r="I41" s="5" t="s">
        <v>389</v>
      </c>
      <c r="J41" s="5" t="s">
        <v>390</v>
      </c>
      <c r="K41" s="3" t="s">
        <v>66</v>
      </c>
    </row>
    <row r="42" spans="1:11" ht="56">
      <c r="A42" s="3">
        <v>68</v>
      </c>
      <c r="B42" s="3" t="s">
        <v>355</v>
      </c>
      <c r="C42" s="3" t="s">
        <v>366</v>
      </c>
      <c r="D42" s="3" t="s">
        <v>392</v>
      </c>
      <c r="E42" s="15">
        <v>24.819700000000001</v>
      </c>
      <c r="F42" s="15">
        <v>120.96599999999999</v>
      </c>
      <c r="G42" s="3" t="s">
        <v>145</v>
      </c>
      <c r="H42" s="3" t="s">
        <v>43</v>
      </c>
      <c r="I42" s="5" t="s">
        <v>393</v>
      </c>
      <c r="J42" s="5" t="s">
        <v>394</v>
      </c>
      <c r="K42" s="3" t="s">
        <v>225</v>
      </c>
    </row>
    <row r="43" spans="1:11" ht="56">
      <c r="A43" s="3">
        <v>69</v>
      </c>
      <c r="B43" s="3" t="s">
        <v>355</v>
      </c>
      <c r="C43" s="3" t="s">
        <v>371</v>
      </c>
      <c r="D43" s="3" t="s">
        <v>396</v>
      </c>
      <c r="E43" s="15">
        <v>24.819400000000002</v>
      </c>
      <c r="F43" s="15">
        <v>120.91889999999999</v>
      </c>
      <c r="G43" s="3" t="s">
        <v>277</v>
      </c>
      <c r="H43" s="3" t="s">
        <v>43</v>
      </c>
      <c r="I43" s="5" t="s">
        <v>397</v>
      </c>
      <c r="J43" s="5" t="s">
        <v>398</v>
      </c>
      <c r="K43" s="3" t="s">
        <v>225</v>
      </c>
    </row>
    <row r="44" spans="1:11" ht="56">
      <c r="A44" s="3">
        <v>71</v>
      </c>
      <c r="B44" s="3" t="s">
        <v>400</v>
      </c>
      <c r="C44" s="3" t="s">
        <v>401</v>
      </c>
      <c r="D44" s="3" t="s">
        <v>407</v>
      </c>
      <c r="E44" s="15">
        <v>24.831</v>
      </c>
      <c r="F44" s="15">
        <v>121.01300000000001</v>
      </c>
      <c r="G44" s="3" t="s">
        <v>277</v>
      </c>
      <c r="H44" s="3" t="s">
        <v>43</v>
      </c>
      <c r="I44" s="5" t="s">
        <v>408</v>
      </c>
      <c r="J44" s="5" t="s">
        <v>409</v>
      </c>
      <c r="K44" s="3" t="s">
        <v>66</v>
      </c>
    </row>
    <row r="45" spans="1:11" ht="70">
      <c r="A45" s="3">
        <v>72</v>
      </c>
      <c r="B45" s="3" t="s">
        <v>400</v>
      </c>
      <c r="C45" s="3" t="s">
        <v>401</v>
      </c>
      <c r="D45" s="3" t="s">
        <v>411</v>
      </c>
      <c r="E45" s="15">
        <v>24.814</v>
      </c>
      <c r="F45" s="15">
        <v>120.999</v>
      </c>
      <c r="G45" s="3" t="s">
        <v>99</v>
      </c>
      <c r="H45" s="3" t="s">
        <v>121</v>
      </c>
      <c r="I45" s="5" t="s">
        <v>412</v>
      </c>
      <c r="J45" s="5" t="s">
        <v>413</v>
      </c>
      <c r="K45" s="3" t="s">
        <v>29</v>
      </c>
    </row>
    <row r="46" spans="1:11" ht="56">
      <c r="A46" s="3">
        <v>73</v>
      </c>
      <c r="B46" s="3" t="s">
        <v>400</v>
      </c>
      <c r="C46" s="3" t="s">
        <v>401</v>
      </c>
      <c r="D46" s="3" t="s">
        <v>415</v>
      </c>
      <c r="E46" s="15">
        <v>24.838999999999999</v>
      </c>
      <c r="F46" s="15">
        <v>121.02419999999999</v>
      </c>
      <c r="G46" s="3" t="s">
        <v>277</v>
      </c>
      <c r="H46" s="3" t="s">
        <v>150</v>
      </c>
      <c r="I46" s="5" t="s">
        <v>416</v>
      </c>
      <c r="J46" s="5" t="s">
        <v>417</v>
      </c>
      <c r="K46" s="3" t="s">
        <v>66</v>
      </c>
    </row>
    <row r="47" spans="1:11" ht="70">
      <c r="A47" s="3">
        <v>74</v>
      </c>
      <c r="B47" s="3" t="s">
        <v>400</v>
      </c>
      <c r="C47" s="3" t="s">
        <v>401</v>
      </c>
      <c r="D47" s="3" t="s">
        <v>419</v>
      </c>
      <c r="E47" s="15">
        <v>24.816500000000001</v>
      </c>
      <c r="F47" s="15">
        <v>121.0175</v>
      </c>
      <c r="G47" s="3" t="s">
        <v>99</v>
      </c>
      <c r="H47" s="3" t="s">
        <v>104</v>
      </c>
      <c r="I47" s="5" t="s">
        <v>420</v>
      </c>
      <c r="J47" s="5" t="s">
        <v>421</v>
      </c>
      <c r="K47" s="3" t="s">
        <v>66</v>
      </c>
    </row>
    <row r="48" spans="1:11" ht="56">
      <c r="A48" s="3">
        <v>75</v>
      </c>
      <c r="B48" s="3" t="s">
        <v>400</v>
      </c>
      <c r="C48" s="3" t="s">
        <v>401</v>
      </c>
      <c r="D48" s="3" t="s">
        <v>423</v>
      </c>
      <c r="E48" s="15">
        <v>24.8383</v>
      </c>
      <c r="F48" s="15">
        <v>121.0087</v>
      </c>
      <c r="G48" s="3" t="s">
        <v>277</v>
      </c>
      <c r="H48" s="3" t="s">
        <v>43</v>
      </c>
      <c r="I48" s="5" t="s">
        <v>424</v>
      </c>
      <c r="J48" s="5" t="s">
        <v>425</v>
      </c>
      <c r="K48" s="3" t="s">
        <v>66</v>
      </c>
    </row>
    <row r="49" spans="1:11" ht="70">
      <c r="A49" s="3">
        <v>76</v>
      </c>
      <c r="B49" s="3" t="s">
        <v>400</v>
      </c>
      <c r="C49" s="3" t="s">
        <v>401</v>
      </c>
      <c r="D49" s="3" t="s">
        <v>427</v>
      </c>
      <c r="E49" s="15">
        <v>24.809200000000001</v>
      </c>
      <c r="F49" s="15">
        <v>121.03919999999999</v>
      </c>
      <c r="G49" s="3" t="s">
        <v>277</v>
      </c>
      <c r="H49" s="3" t="s">
        <v>43</v>
      </c>
      <c r="I49" s="5" t="s">
        <v>428</v>
      </c>
      <c r="J49" s="5" t="s">
        <v>429</v>
      </c>
      <c r="K49" s="3" t="s">
        <v>225</v>
      </c>
    </row>
    <row r="50" spans="1:11" ht="70">
      <c r="A50" s="3">
        <v>78</v>
      </c>
      <c r="B50" s="3" t="s">
        <v>436</v>
      </c>
      <c r="C50" s="3" t="s">
        <v>437</v>
      </c>
      <c r="D50" s="3" t="s">
        <v>438</v>
      </c>
      <c r="E50" s="15">
        <v>24.5654</v>
      </c>
      <c r="F50" s="15">
        <v>120.81480000000001</v>
      </c>
      <c r="G50" s="3" t="s">
        <v>277</v>
      </c>
      <c r="H50" s="3" t="s">
        <v>43</v>
      </c>
      <c r="I50" s="5" t="s">
        <v>440</v>
      </c>
      <c r="J50" s="5" t="s">
        <v>441</v>
      </c>
      <c r="K50" s="3" t="s">
        <v>29</v>
      </c>
    </row>
    <row r="51" spans="1:11" ht="56">
      <c r="A51" s="3">
        <v>79</v>
      </c>
      <c r="B51" s="3" t="s">
        <v>436</v>
      </c>
      <c r="C51" s="3" t="s">
        <v>437</v>
      </c>
      <c r="D51" s="3" t="s">
        <v>443</v>
      </c>
      <c r="E51" s="15">
        <v>24.5595</v>
      </c>
      <c r="F51" s="15">
        <v>120.8095</v>
      </c>
      <c r="G51" s="3" t="s">
        <v>145</v>
      </c>
      <c r="H51" s="3" t="s">
        <v>43</v>
      </c>
      <c r="I51" s="5" t="s">
        <v>444</v>
      </c>
      <c r="J51" s="5" t="s">
        <v>445</v>
      </c>
      <c r="K51" s="3" t="s">
        <v>66</v>
      </c>
    </row>
    <row r="52" spans="1:11" ht="56">
      <c r="A52" s="3">
        <v>81</v>
      </c>
      <c r="B52" s="3" t="s">
        <v>436</v>
      </c>
      <c r="C52" s="3" t="s">
        <v>447</v>
      </c>
      <c r="D52" s="3" t="s">
        <v>452</v>
      </c>
      <c r="E52" s="15">
        <v>24.692</v>
      </c>
      <c r="F52" s="15">
        <v>120.872</v>
      </c>
      <c r="G52" s="3" t="s">
        <v>277</v>
      </c>
      <c r="H52" s="3" t="s">
        <v>43</v>
      </c>
      <c r="I52" s="5" t="s">
        <v>453</v>
      </c>
      <c r="J52" s="5" t="s">
        <v>454</v>
      </c>
      <c r="K52" s="3" t="s">
        <v>66</v>
      </c>
    </row>
    <row r="53" spans="1:11" ht="56">
      <c r="A53" s="3">
        <v>83</v>
      </c>
      <c r="B53" s="3" t="s">
        <v>436</v>
      </c>
      <c r="C53" s="3" t="s">
        <v>456</v>
      </c>
      <c r="D53" s="3" t="s">
        <v>461</v>
      </c>
      <c r="E53" s="15">
        <v>24.6875</v>
      </c>
      <c r="F53" s="15">
        <v>120.907</v>
      </c>
      <c r="G53" s="3" t="s">
        <v>277</v>
      </c>
      <c r="H53" s="3" t="s">
        <v>43</v>
      </c>
      <c r="I53" s="5" t="s">
        <v>462</v>
      </c>
      <c r="J53" s="5" t="s">
        <v>463</v>
      </c>
      <c r="K53" s="3" t="s">
        <v>66</v>
      </c>
    </row>
    <row r="54" spans="1:11" ht="70">
      <c r="A54" s="3">
        <v>84</v>
      </c>
      <c r="B54" s="3" t="s">
        <v>436</v>
      </c>
      <c r="C54" s="3" t="s">
        <v>465</v>
      </c>
      <c r="D54" s="3" t="s">
        <v>466</v>
      </c>
      <c r="E54" s="15">
        <v>24.61</v>
      </c>
      <c r="F54" s="15">
        <v>120.79</v>
      </c>
      <c r="G54" s="3" t="s">
        <v>99</v>
      </c>
      <c r="H54" s="3" t="s">
        <v>121</v>
      </c>
      <c r="I54" s="5" t="s">
        <v>467</v>
      </c>
      <c r="J54" s="5" t="s">
        <v>468</v>
      </c>
      <c r="K54" s="3" t="s">
        <v>225</v>
      </c>
    </row>
    <row r="55" spans="1:11" ht="56">
      <c r="A55" s="3">
        <v>85</v>
      </c>
      <c r="B55" s="3" t="s">
        <v>436</v>
      </c>
      <c r="C55" s="3" t="s">
        <v>470</v>
      </c>
      <c r="D55" s="3" t="s">
        <v>471</v>
      </c>
      <c r="E55" s="15">
        <v>24.441800000000001</v>
      </c>
      <c r="F55" s="15">
        <v>120.6557</v>
      </c>
      <c r="G55" s="3" t="s">
        <v>277</v>
      </c>
      <c r="H55" s="3" t="s">
        <v>43</v>
      </c>
      <c r="I55" s="5" t="s">
        <v>472</v>
      </c>
      <c r="J55" s="5" t="s">
        <v>473</v>
      </c>
      <c r="K55" s="3" t="s">
        <v>66</v>
      </c>
    </row>
    <row r="56" spans="1:11" ht="56">
      <c r="A56" s="3">
        <v>89</v>
      </c>
      <c r="B56" s="3" t="s">
        <v>480</v>
      </c>
      <c r="C56" s="3" t="s">
        <v>491</v>
      </c>
      <c r="D56" s="3" t="s">
        <v>492</v>
      </c>
      <c r="E56" s="15">
        <v>24.1448</v>
      </c>
      <c r="F56" s="15">
        <v>120.6836</v>
      </c>
      <c r="G56" s="3" t="s">
        <v>145</v>
      </c>
      <c r="H56" s="3" t="s">
        <v>43</v>
      </c>
      <c r="I56" s="5" t="s">
        <v>493</v>
      </c>
      <c r="J56" s="5" t="s">
        <v>494</v>
      </c>
      <c r="K56" s="3" t="s">
        <v>29</v>
      </c>
    </row>
    <row r="57" spans="1:11" ht="70">
      <c r="A57" s="3">
        <v>91</v>
      </c>
      <c r="B57" s="3" t="s">
        <v>480</v>
      </c>
      <c r="C57" s="3" t="s">
        <v>481</v>
      </c>
      <c r="D57" s="3" t="s">
        <v>501</v>
      </c>
      <c r="E57" s="15">
        <v>24.1676</v>
      </c>
      <c r="F57" s="15">
        <v>120.6382</v>
      </c>
      <c r="G57" s="3" t="s">
        <v>145</v>
      </c>
      <c r="H57" s="3" t="s">
        <v>43</v>
      </c>
      <c r="I57" s="5" t="s">
        <v>502</v>
      </c>
      <c r="J57" s="5" t="s">
        <v>503</v>
      </c>
      <c r="K57" s="3" t="s">
        <v>29</v>
      </c>
    </row>
    <row r="58" spans="1:11" ht="56">
      <c r="A58" s="3">
        <v>93</v>
      </c>
      <c r="B58" s="3" t="s">
        <v>480</v>
      </c>
      <c r="C58" s="3" t="s">
        <v>505</v>
      </c>
      <c r="D58" s="3" t="s">
        <v>510</v>
      </c>
      <c r="E58" s="15">
        <v>24.131799999999998</v>
      </c>
      <c r="F58" s="15">
        <v>120.7146</v>
      </c>
      <c r="G58" s="3" t="s">
        <v>277</v>
      </c>
      <c r="H58" s="3" t="s">
        <v>43</v>
      </c>
      <c r="I58" s="5" t="s">
        <v>511</v>
      </c>
      <c r="J58" s="5" t="s">
        <v>512</v>
      </c>
      <c r="K58" s="3" t="s">
        <v>66</v>
      </c>
    </row>
    <row r="59" spans="1:11" ht="56">
      <c r="A59" s="3">
        <v>95</v>
      </c>
      <c r="B59" s="3" t="s">
        <v>480</v>
      </c>
      <c r="C59" s="3" t="s">
        <v>496</v>
      </c>
      <c r="D59" s="3" t="s">
        <v>519</v>
      </c>
      <c r="E59" s="15">
        <v>24.131900000000002</v>
      </c>
      <c r="F59" s="15">
        <v>120.6414</v>
      </c>
      <c r="G59" s="3" t="s">
        <v>145</v>
      </c>
      <c r="H59" s="3" t="s">
        <v>43</v>
      </c>
      <c r="I59" s="5" t="s">
        <v>520</v>
      </c>
      <c r="J59" s="5" t="s">
        <v>521</v>
      </c>
      <c r="K59" s="3" t="s">
        <v>66</v>
      </c>
    </row>
    <row r="60" spans="1:11" ht="56">
      <c r="A60" s="3">
        <v>96</v>
      </c>
      <c r="B60" s="3" t="s">
        <v>480</v>
      </c>
      <c r="C60" s="3" t="s">
        <v>523</v>
      </c>
      <c r="D60" s="3" t="s">
        <v>524</v>
      </c>
      <c r="E60" s="15">
        <v>24.151800000000001</v>
      </c>
      <c r="F60" s="15">
        <v>120.6636</v>
      </c>
      <c r="G60" s="3" t="s">
        <v>145</v>
      </c>
      <c r="H60" s="3" t="s">
        <v>150</v>
      </c>
      <c r="I60" s="5" t="s">
        <v>525</v>
      </c>
      <c r="J60" s="5" t="s">
        <v>526</v>
      </c>
      <c r="K60" s="3" t="s">
        <v>66</v>
      </c>
    </row>
    <row r="61" spans="1:11" ht="42">
      <c r="A61" s="3">
        <v>97</v>
      </c>
      <c r="B61" s="3" t="s">
        <v>480</v>
      </c>
      <c r="C61" s="3" t="s">
        <v>523</v>
      </c>
      <c r="D61" s="3" t="s">
        <v>528</v>
      </c>
      <c r="E61" s="15">
        <v>24.1508</v>
      </c>
      <c r="F61" s="15">
        <v>120.6647</v>
      </c>
      <c r="G61" s="3" t="s">
        <v>99</v>
      </c>
      <c r="H61" s="3" t="s">
        <v>121</v>
      </c>
      <c r="I61" s="5" t="s">
        <v>532</v>
      </c>
      <c r="J61" s="5" t="s">
        <v>533</v>
      </c>
      <c r="K61" s="3" t="s">
        <v>29</v>
      </c>
    </row>
    <row r="62" spans="1:11" ht="70">
      <c r="A62" s="3">
        <v>98</v>
      </c>
      <c r="B62" s="3" t="s">
        <v>480</v>
      </c>
      <c r="C62" s="3" t="s">
        <v>535</v>
      </c>
      <c r="D62" s="3" t="s">
        <v>536</v>
      </c>
      <c r="E62" s="15">
        <v>24.269500000000001</v>
      </c>
      <c r="F62" s="15">
        <v>120.5765</v>
      </c>
      <c r="G62" s="3" t="s">
        <v>277</v>
      </c>
      <c r="H62" s="3" t="s">
        <v>43</v>
      </c>
      <c r="I62" s="5" t="s">
        <v>537</v>
      </c>
      <c r="J62" s="5" t="s">
        <v>538</v>
      </c>
      <c r="K62" s="3" t="s">
        <v>66</v>
      </c>
    </row>
    <row r="63" spans="1:11" ht="56">
      <c r="A63" s="3">
        <v>99</v>
      </c>
      <c r="B63" s="3" t="s">
        <v>480</v>
      </c>
      <c r="C63" s="3" t="s">
        <v>540</v>
      </c>
      <c r="D63" s="3" t="s">
        <v>541</v>
      </c>
      <c r="E63" s="15">
        <v>24.104900000000001</v>
      </c>
      <c r="F63" s="15">
        <v>120.6819</v>
      </c>
      <c r="G63" s="3" t="s">
        <v>145</v>
      </c>
      <c r="H63" s="3" t="s">
        <v>43</v>
      </c>
      <c r="I63" s="5" t="s">
        <v>542</v>
      </c>
      <c r="J63" s="5" t="s">
        <v>543</v>
      </c>
      <c r="K63" s="3" t="s">
        <v>66</v>
      </c>
    </row>
    <row r="64" spans="1:11" ht="56">
      <c r="A64" s="3">
        <v>100</v>
      </c>
      <c r="B64" s="3" t="s">
        <v>480</v>
      </c>
      <c r="C64" s="3" t="s">
        <v>505</v>
      </c>
      <c r="D64" s="3" t="s">
        <v>545</v>
      </c>
      <c r="E64" s="15">
        <v>24.1356</v>
      </c>
      <c r="F64" s="15">
        <v>120.7217</v>
      </c>
      <c r="G64" s="3" t="s">
        <v>277</v>
      </c>
      <c r="H64" s="3" t="s">
        <v>43</v>
      </c>
      <c r="I64" s="5" t="s">
        <v>546</v>
      </c>
      <c r="J64" s="5" t="s">
        <v>547</v>
      </c>
      <c r="K64" s="3" t="s">
        <v>225</v>
      </c>
    </row>
    <row r="65" spans="1:11" ht="56">
      <c r="A65" s="3">
        <v>101</v>
      </c>
      <c r="B65" s="3" t="s">
        <v>480</v>
      </c>
      <c r="C65" s="3" t="s">
        <v>549</v>
      </c>
      <c r="D65" s="3" t="s">
        <v>550</v>
      </c>
      <c r="E65" s="15">
        <v>24.120799999999999</v>
      </c>
      <c r="F65" s="15">
        <v>120.6635</v>
      </c>
      <c r="G65" s="3" t="s">
        <v>145</v>
      </c>
      <c r="H65" s="3" t="s">
        <v>43</v>
      </c>
      <c r="I65" s="5" t="s">
        <v>551</v>
      </c>
      <c r="J65" s="5" t="s">
        <v>552</v>
      </c>
      <c r="K65" s="3" t="s">
        <v>66</v>
      </c>
    </row>
    <row r="66" spans="1:11" ht="56">
      <c r="A66" s="3">
        <v>102</v>
      </c>
      <c r="B66" s="3" t="s">
        <v>480</v>
      </c>
      <c r="C66" s="3" t="s">
        <v>554</v>
      </c>
      <c r="D66" s="3" t="s">
        <v>555</v>
      </c>
      <c r="E66" s="15">
        <v>24.1721</v>
      </c>
      <c r="F66" s="15">
        <v>120.6925</v>
      </c>
      <c r="G66" s="3" t="s">
        <v>277</v>
      </c>
      <c r="H66" s="3" t="s">
        <v>43</v>
      </c>
      <c r="I66" s="5" t="s">
        <v>556</v>
      </c>
      <c r="J66" s="5" t="s">
        <v>557</v>
      </c>
      <c r="K66" s="3" t="s">
        <v>66</v>
      </c>
    </row>
    <row r="67" spans="1:11" ht="56">
      <c r="A67" s="3">
        <v>103</v>
      </c>
      <c r="B67" s="3" t="s">
        <v>559</v>
      </c>
      <c r="C67" s="3" t="s">
        <v>560</v>
      </c>
      <c r="D67" s="3" t="s">
        <v>561</v>
      </c>
      <c r="E67" s="15">
        <v>24.078099999999999</v>
      </c>
      <c r="F67" s="15">
        <v>120.5506</v>
      </c>
      <c r="G67" s="3" t="s">
        <v>145</v>
      </c>
      <c r="H67" s="3" t="s">
        <v>43</v>
      </c>
      <c r="I67" s="5" t="s">
        <v>563</v>
      </c>
      <c r="J67" s="5" t="s">
        <v>564</v>
      </c>
      <c r="K67" s="3" t="s">
        <v>29</v>
      </c>
    </row>
    <row r="68" spans="1:11" ht="56">
      <c r="A68" s="3">
        <v>104</v>
      </c>
      <c r="B68" s="3" t="s">
        <v>559</v>
      </c>
      <c r="C68" s="3" t="s">
        <v>560</v>
      </c>
      <c r="D68" s="3" t="s">
        <v>566</v>
      </c>
      <c r="E68" s="15">
        <v>24.073499999999999</v>
      </c>
      <c r="F68" s="15">
        <v>120.5595</v>
      </c>
      <c r="G68" s="3" t="s">
        <v>145</v>
      </c>
      <c r="H68" s="3" t="s">
        <v>43</v>
      </c>
      <c r="I68" s="5" t="s">
        <v>567</v>
      </c>
      <c r="J68" s="5" t="s">
        <v>568</v>
      </c>
      <c r="K68" s="3" t="s">
        <v>29</v>
      </c>
    </row>
    <row r="69" spans="1:11" ht="56">
      <c r="A69" s="3">
        <v>105</v>
      </c>
      <c r="B69" s="3" t="s">
        <v>559</v>
      </c>
      <c r="C69" s="3" t="s">
        <v>570</v>
      </c>
      <c r="D69" s="3" t="s">
        <v>571</v>
      </c>
      <c r="E69" s="15">
        <v>23.851900000000001</v>
      </c>
      <c r="F69" s="15">
        <v>120.4897</v>
      </c>
      <c r="G69" s="3" t="s">
        <v>145</v>
      </c>
      <c r="H69" s="3" t="s">
        <v>43</v>
      </c>
      <c r="I69" s="5" t="s">
        <v>572</v>
      </c>
      <c r="J69" s="5" t="s">
        <v>573</v>
      </c>
      <c r="K69" s="3" t="s">
        <v>29</v>
      </c>
    </row>
    <row r="70" spans="1:11" ht="56">
      <c r="A70" s="3">
        <v>106</v>
      </c>
      <c r="B70" s="3" t="s">
        <v>559</v>
      </c>
      <c r="C70" s="3" t="s">
        <v>575</v>
      </c>
      <c r="D70" s="3" t="s">
        <v>576</v>
      </c>
      <c r="E70" s="15">
        <v>23.956499999999998</v>
      </c>
      <c r="F70" s="15">
        <v>120.57599999999999</v>
      </c>
      <c r="G70" s="3" t="s">
        <v>145</v>
      </c>
      <c r="H70" s="3" t="s">
        <v>43</v>
      </c>
      <c r="I70" s="5" t="s">
        <v>577</v>
      </c>
      <c r="J70" s="5" t="s">
        <v>578</v>
      </c>
      <c r="K70" s="3" t="s">
        <v>66</v>
      </c>
    </row>
    <row r="71" spans="1:11" ht="70">
      <c r="A71" s="3">
        <v>107</v>
      </c>
      <c r="B71" s="3" t="s">
        <v>559</v>
      </c>
      <c r="C71" s="3" t="s">
        <v>575</v>
      </c>
      <c r="D71" s="3" t="s">
        <v>580</v>
      </c>
      <c r="E71" s="15">
        <v>23.957799999999999</v>
      </c>
      <c r="F71" s="15">
        <v>120.602</v>
      </c>
      <c r="G71" s="3" t="s">
        <v>145</v>
      </c>
      <c r="H71" s="3" t="s">
        <v>150</v>
      </c>
      <c r="I71" s="5" t="s">
        <v>581</v>
      </c>
      <c r="J71" s="5" t="s">
        <v>582</v>
      </c>
      <c r="K71" s="3" t="s">
        <v>66</v>
      </c>
    </row>
    <row r="72" spans="1:11" ht="56">
      <c r="A72" s="3">
        <v>108</v>
      </c>
      <c r="B72" s="3" t="s">
        <v>559</v>
      </c>
      <c r="C72" s="3" t="s">
        <v>575</v>
      </c>
      <c r="D72" s="3" t="s">
        <v>584</v>
      </c>
      <c r="E72" s="15">
        <v>23.955500000000001</v>
      </c>
      <c r="F72" s="15">
        <v>120.59399999999999</v>
      </c>
      <c r="G72" s="3" t="s">
        <v>277</v>
      </c>
      <c r="H72" s="3" t="s">
        <v>43</v>
      </c>
      <c r="I72" s="5" t="s">
        <v>585</v>
      </c>
      <c r="J72" s="5" t="s">
        <v>586</v>
      </c>
      <c r="K72" s="3" t="s">
        <v>66</v>
      </c>
    </row>
    <row r="73" spans="1:11" ht="56">
      <c r="A73" s="3">
        <v>109</v>
      </c>
      <c r="B73" s="3" t="s">
        <v>559</v>
      </c>
      <c r="C73" s="3" t="s">
        <v>588</v>
      </c>
      <c r="D73" s="3" t="s">
        <v>589</v>
      </c>
      <c r="E73" s="15">
        <v>24.0595</v>
      </c>
      <c r="F73" s="15">
        <v>120.4385</v>
      </c>
      <c r="G73" s="3" t="s">
        <v>145</v>
      </c>
      <c r="H73" s="3" t="s">
        <v>43</v>
      </c>
      <c r="I73" s="5" t="s">
        <v>590</v>
      </c>
      <c r="J73" s="5" t="s">
        <v>591</v>
      </c>
      <c r="K73" s="3" t="s">
        <v>66</v>
      </c>
    </row>
    <row r="74" spans="1:11" ht="56">
      <c r="A74" s="3">
        <v>110</v>
      </c>
      <c r="B74" s="3" t="s">
        <v>559</v>
      </c>
      <c r="C74" s="3" t="s">
        <v>593</v>
      </c>
      <c r="D74" s="3" t="s">
        <v>594</v>
      </c>
      <c r="E74" s="15">
        <v>24.166699999999999</v>
      </c>
      <c r="F74" s="15">
        <v>120.485</v>
      </c>
      <c r="G74" s="3" t="s">
        <v>277</v>
      </c>
      <c r="H74" s="3" t="s">
        <v>43</v>
      </c>
      <c r="I74" s="5" t="s">
        <v>595</v>
      </c>
      <c r="J74" s="5" t="s">
        <v>596</v>
      </c>
      <c r="K74" s="3" t="s">
        <v>66</v>
      </c>
    </row>
    <row r="75" spans="1:11" ht="56">
      <c r="A75" s="3">
        <v>111</v>
      </c>
      <c r="B75" s="3" t="s">
        <v>559</v>
      </c>
      <c r="C75" s="3" t="s">
        <v>598</v>
      </c>
      <c r="D75" s="3" t="s">
        <v>599</v>
      </c>
      <c r="E75" s="15">
        <v>23.874300000000002</v>
      </c>
      <c r="F75" s="15">
        <v>120.518</v>
      </c>
      <c r="G75" s="3" t="s">
        <v>99</v>
      </c>
      <c r="H75" s="3" t="s">
        <v>121</v>
      </c>
      <c r="I75" s="5" t="s">
        <v>600</v>
      </c>
      <c r="J75" s="5" t="s">
        <v>601</v>
      </c>
      <c r="K75" s="3" t="s">
        <v>225</v>
      </c>
    </row>
    <row r="76" spans="1:11" ht="70">
      <c r="A76" s="3">
        <v>112</v>
      </c>
      <c r="B76" s="3" t="s">
        <v>603</v>
      </c>
      <c r="C76" s="3" t="s">
        <v>604</v>
      </c>
      <c r="D76" s="3" t="s">
        <v>605</v>
      </c>
      <c r="E76" s="15">
        <v>23.9848</v>
      </c>
      <c r="F76" s="15">
        <v>120.68</v>
      </c>
      <c r="G76" s="3" t="s">
        <v>277</v>
      </c>
      <c r="H76" s="3" t="s">
        <v>43</v>
      </c>
      <c r="I76" s="5" t="s">
        <v>607</v>
      </c>
      <c r="J76" s="5" t="s">
        <v>608</v>
      </c>
      <c r="K76" s="3" t="s">
        <v>29</v>
      </c>
    </row>
    <row r="77" spans="1:11" ht="70">
      <c r="A77" s="3">
        <v>113</v>
      </c>
      <c r="B77" s="3" t="s">
        <v>603</v>
      </c>
      <c r="C77" s="3" t="s">
        <v>610</v>
      </c>
      <c r="D77" s="3" t="s">
        <v>611</v>
      </c>
      <c r="E77" s="15">
        <v>24.003699999999998</v>
      </c>
      <c r="F77" s="15">
        <v>120.9465</v>
      </c>
      <c r="G77" s="3" t="s">
        <v>277</v>
      </c>
      <c r="H77" s="3" t="s">
        <v>43</v>
      </c>
      <c r="I77" s="5" t="s">
        <v>612</v>
      </c>
      <c r="J77" s="5" t="s">
        <v>613</v>
      </c>
      <c r="K77" s="3" t="s">
        <v>66</v>
      </c>
    </row>
    <row r="78" spans="1:11" ht="70">
      <c r="A78" s="3">
        <v>114</v>
      </c>
      <c r="B78" s="3" t="s">
        <v>603</v>
      </c>
      <c r="C78" s="3" t="s">
        <v>615</v>
      </c>
      <c r="D78" s="3" t="s">
        <v>616</v>
      </c>
      <c r="E78" s="15">
        <v>23.8385</v>
      </c>
      <c r="F78" s="15">
        <v>120.70050000000001</v>
      </c>
      <c r="G78" s="3" t="s">
        <v>277</v>
      </c>
      <c r="H78" s="3" t="s">
        <v>150</v>
      </c>
      <c r="I78" s="5" t="s">
        <v>617</v>
      </c>
      <c r="J78" s="5" t="s">
        <v>618</v>
      </c>
      <c r="K78" s="3" t="s">
        <v>66</v>
      </c>
    </row>
    <row r="79" spans="1:11" ht="70">
      <c r="A79" s="3">
        <v>115</v>
      </c>
      <c r="B79" s="3" t="s">
        <v>603</v>
      </c>
      <c r="C79" s="3" t="s">
        <v>620</v>
      </c>
      <c r="D79" s="3" t="s">
        <v>621</v>
      </c>
      <c r="E79" s="15">
        <v>23.955200000000001</v>
      </c>
      <c r="F79" s="15">
        <v>120.6875</v>
      </c>
      <c r="G79" s="3" t="s">
        <v>145</v>
      </c>
      <c r="H79" s="3" t="s">
        <v>43</v>
      </c>
      <c r="I79" s="5" t="s">
        <v>622</v>
      </c>
      <c r="J79" s="5" t="s">
        <v>623</v>
      </c>
      <c r="K79" s="3" t="s">
        <v>66</v>
      </c>
    </row>
    <row r="80" spans="1:11" ht="56">
      <c r="A80" s="3">
        <v>116</v>
      </c>
      <c r="B80" s="3" t="s">
        <v>603</v>
      </c>
      <c r="C80" s="3" t="s">
        <v>604</v>
      </c>
      <c r="D80" s="3" t="s">
        <v>625</v>
      </c>
      <c r="E80" s="15">
        <v>23.976500000000001</v>
      </c>
      <c r="F80" s="15">
        <v>120.679</v>
      </c>
      <c r="G80" s="3" t="s">
        <v>277</v>
      </c>
      <c r="H80" s="3" t="s">
        <v>43</v>
      </c>
      <c r="I80" s="5" t="s">
        <v>626</v>
      </c>
      <c r="J80" s="5" t="s">
        <v>627</v>
      </c>
      <c r="K80" s="3" t="s">
        <v>225</v>
      </c>
    </row>
    <row r="81" spans="1:11" ht="56">
      <c r="A81" s="3">
        <v>117</v>
      </c>
      <c r="B81" s="3" t="s">
        <v>603</v>
      </c>
      <c r="C81" s="3" t="s">
        <v>604</v>
      </c>
      <c r="D81" s="3" t="s">
        <v>629</v>
      </c>
      <c r="E81" s="15">
        <v>23.983000000000001</v>
      </c>
      <c r="F81" s="15">
        <v>120.68300000000001</v>
      </c>
      <c r="G81" s="3" t="s">
        <v>277</v>
      </c>
      <c r="H81" s="3" t="s">
        <v>43</v>
      </c>
      <c r="I81" s="5" t="s">
        <v>630</v>
      </c>
      <c r="J81" s="5" t="s">
        <v>631</v>
      </c>
      <c r="K81" s="3" t="s">
        <v>225</v>
      </c>
    </row>
    <row r="82" spans="1:11" ht="56">
      <c r="A82" s="3">
        <v>118</v>
      </c>
      <c r="B82" s="3" t="s">
        <v>603</v>
      </c>
      <c r="C82" s="3" t="s">
        <v>633</v>
      </c>
      <c r="D82" s="3" t="s">
        <v>634</v>
      </c>
      <c r="E82" s="15">
        <v>23.813500000000001</v>
      </c>
      <c r="F82" s="15">
        <v>120.8535</v>
      </c>
      <c r="G82" s="3" t="s">
        <v>145</v>
      </c>
      <c r="H82" s="3" t="s">
        <v>43</v>
      </c>
      <c r="I82" s="5" t="s">
        <v>635</v>
      </c>
      <c r="J82" s="5" t="s">
        <v>636</v>
      </c>
      <c r="K82" s="3" t="s">
        <v>66</v>
      </c>
    </row>
    <row r="83" spans="1:11" ht="56">
      <c r="A83" s="3">
        <v>119</v>
      </c>
      <c r="B83" s="3" t="s">
        <v>603</v>
      </c>
      <c r="C83" s="3" t="s">
        <v>638</v>
      </c>
      <c r="D83" s="3" t="s">
        <v>639</v>
      </c>
      <c r="E83" s="15">
        <v>23.826000000000001</v>
      </c>
      <c r="F83" s="15">
        <v>120.78449999999999</v>
      </c>
      <c r="G83" s="3" t="s">
        <v>145</v>
      </c>
      <c r="H83" s="3" t="s">
        <v>43</v>
      </c>
      <c r="I83" s="5" t="s">
        <v>640</v>
      </c>
      <c r="J83" s="5" t="s">
        <v>641</v>
      </c>
      <c r="K83" s="3" t="s">
        <v>66</v>
      </c>
    </row>
    <row r="84" spans="1:11" ht="56">
      <c r="A84" s="3">
        <v>120</v>
      </c>
      <c r="B84" s="3" t="s">
        <v>643</v>
      </c>
      <c r="C84" s="3" t="s">
        <v>644</v>
      </c>
      <c r="D84" s="3" t="s">
        <v>645</v>
      </c>
      <c r="E84" s="15">
        <v>23.702200000000001</v>
      </c>
      <c r="F84" s="15">
        <v>120.5321</v>
      </c>
      <c r="G84" s="3" t="s">
        <v>145</v>
      </c>
      <c r="H84" s="3" t="s">
        <v>43</v>
      </c>
      <c r="I84" s="5" t="s">
        <v>647</v>
      </c>
      <c r="J84" s="5" t="s">
        <v>648</v>
      </c>
      <c r="K84" s="3" t="s">
        <v>29</v>
      </c>
    </row>
    <row r="85" spans="1:11" ht="56">
      <c r="A85" s="3">
        <v>121</v>
      </c>
      <c r="B85" s="3" t="s">
        <v>643</v>
      </c>
      <c r="C85" s="3" t="s">
        <v>644</v>
      </c>
      <c r="D85" s="3" t="s">
        <v>650</v>
      </c>
      <c r="E85" s="15">
        <v>23.707999999999998</v>
      </c>
      <c r="F85" s="15">
        <v>120.52800000000001</v>
      </c>
      <c r="G85" s="3" t="s">
        <v>99</v>
      </c>
      <c r="H85" s="3" t="s">
        <v>121</v>
      </c>
      <c r="I85" s="5" t="s">
        <v>651</v>
      </c>
      <c r="J85" s="5" t="s">
        <v>652</v>
      </c>
      <c r="K85" s="3" t="s">
        <v>29</v>
      </c>
    </row>
    <row r="86" spans="1:11" ht="56">
      <c r="A86" s="3">
        <v>122</v>
      </c>
      <c r="B86" s="3" t="s">
        <v>643</v>
      </c>
      <c r="C86" s="3" t="s">
        <v>644</v>
      </c>
      <c r="D86" s="3" t="s">
        <v>654</v>
      </c>
      <c r="E86" s="15">
        <v>23.71</v>
      </c>
      <c r="F86" s="15">
        <v>120.53100000000001</v>
      </c>
      <c r="G86" s="3" t="s">
        <v>277</v>
      </c>
      <c r="H86" s="3" t="s">
        <v>43</v>
      </c>
      <c r="I86" s="5" t="s">
        <v>655</v>
      </c>
      <c r="J86" s="5" t="s">
        <v>656</v>
      </c>
      <c r="K86" s="3" t="s">
        <v>66</v>
      </c>
    </row>
    <row r="87" spans="1:11" ht="70">
      <c r="A87" s="3">
        <v>123</v>
      </c>
      <c r="B87" s="3" t="s">
        <v>643</v>
      </c>
      <c r="C87" s="3" t="s">
        <v>658</v>
      </c>
      <c r="D87" s="3" t="s">
        <v>659</v>
      </c>
      <c r="E87" s="15">
        <v>23.7315</v>
      </c>
      <c r="F87" s="15">
        <v>120.40349999999999</v>
      </c>
      <c r="G87" s="3" t="s">
        <v>145</v>
      </c>
      <c r="H87" s="3" t="s">
        <v>43</v>
      </c>
      <c r="I87" s="5" t="s">
        <v>660</v>
      </c>
      <c r="J87" s="5" t="s">
        <v>661</v>
      </c>
      <c r="K87" s="3" t="s">
        <v>66</v>
      </c>
    </row>
    <row r="88" spans="1:11" ht="56">
      <c r="A88" s="3">
        <v>124</v>
      </c>
      <c r="B88" s="3" t="s">
        <v>643</v>
      </c>
      <c r="C88" s="3" t="s">
        <v>658</v>
      </c>
      <c r="D88" s="3" t="s">
        <v>663</v>
      </c>
      <c r="E88" s="15">
        <v>23.713000000000001</v>
      </c>
      <c r="F88" s="15">
        <v>120.431</v>
      </c>
      <c r="G88" s="3" t="s">
        <v>277</v>
      </c>
      <c r="H88" s="3" t="s">
        <v>43</v>
      </c>
      <c r="I88" s="5" t="s">
        <v>664</v>
      </c>
      <c r="J88" s="5" t="s">
        <v>665</v>
      </c>
      <c r="K88" s="3" t="s">
        <v>66</v>
      </c>
    </row>
    <row r="89" spans="1:11" ht="56">
      <c r="A89" s="3">
        <v>125</v>
      </c>
      <c r="B89" s="3" t="s">
        <v>643</v>
      </c>
      <c r="C89" s="3" t="s">
        <v>658</v>
      </c>
      <c r="D89" s="3" t="s">
        <v>667</v>
      </c>
      <c r="E89" s="15">
        <v>23.709800000000001</v>
      </c>
      <c r="F89" s="15">
        <v>120.435</v>
      </c>
      <c r="G89" s="3" t="s">
        <v>145</v>
      </c>
      <c r="H89" s="3" t="s">
        <v>43</v>
      </c>
      <c r="I89" s="5" t="s">
        <v>668</v>
      </c>
      <c r="J89" s="5" t="s">
        <v>669</v>
      </c>
      <c r="K89" s="3" t="s">
        <v>66</v>
      </c>
    </row>
    <row r="90" spans="1:11" ht="56">
      <c r="A90" s="3">
        <v>126</v>
      </c>
      <c r="B90" s="3" t="s">
        <v>643</v>
      </c>
      <c r="C90" s="3" t="s">
        <v>671</v>
      </c>
      <c r="D90" s="3" t="s">
        <v>672</v>
      </c>
      <c r="E90" s="15">
        <v>23.568999999999999</v>
      </c>
      <c r="F90" s="15">
        <v>120.3035</v>
      </c>
      <c r="G90" s="3" t="s">
        <v>145</v>
      </c>
      <c r="H90" s="3" t="s">
        <v>43</v>
      </c>
      <c r="I90" s="5" t="s">
        <v>673</v>
      </c>
      <c r="J90" s="5" t="s">
        <v>674</v>
      </c>
      <c r="K90" s="3" t="s">
        <v>225</v>
      </c>
    </row>
    <row r="91" spans="1:11" ht="70">
      <c r="A91" s="3">
        <v>127</v>
      </c>
      <c r="B91" s="3" t="s">
        <v>643</v>
      </c>
      <c r="C91" s="3" t="s">
        <v>676</v>
      </c>
      <c r="D91" s="3" t="s">
        <v>677</v>
      </c>
      <c r="E91" s="15">
        <v>23.650300000000001</v>
      </c>
      <c r="F91" s="15">
        <v>120.5531</v>
      </c>
      <c r="G91" s="3" t="s">
        <v>145</v>
      </c>
      <c r="H91" s="3" t="s">
        <v>150</v>
      </c>
      <c r="I91" s="5" t="s">
        <v>678</v>
      </c>
      <c r="J91" s="5" t="s">
        <v>679</v>
      </c>
      <c r="K91" s="3" t="s">
        <v>66</v>
      </c>
    </row>
    <row r="92" spans="1:11" ht="56">
      <c r="A92" s="3">
        <v>128</v>
      </c>
      <c r="B92" s="3" t="s">
        <v>643</v>
      </c>
      <c r="C92" s="3" t="s">
        <v>658</v>
      </c>
      <c r="D92" s="3" t="s">
        <v>681</v>
      </c>
      <c r="E92" s="15">
        <v>23.709499999999998</v>
      </c>
      <c r="F92" s="15">
        <v>120.428</v>
      </c>
      <c r="G92" s="3" t="s">
        <v>277</v>
      </c>
      <c r="H92" s="3" t="s">
        <v>43</v>
      </c>
      <c r="I92" s="5" t="s">
        <v>682</v>
      </c>
      <c r="J92" s="5" t="s">
        <v>683</v>
      </c>
      <c r="K92" s="3" t="s">
        <v>225</v>
      </c>
    </row>
    <row r="93" spans="1:11" ht="56">
      <c r="A93" s="3">
        <v>130</v>
      </c>
      <c r="B93" s="3" t="s">
        <v>685</v>
      </c>
      <c r="C93" s="3" t="s">
        <v>356</v>
      </c>
      <c r="D93" s="3" t="s">
        <v>407</v>
      </c>
      <c r="E93" s="15">
        <v>23.475999999999999</v>
      </c>
      <c r="F93" s="15">
        <v>120.4494</v>
      </c>
      <c r="G93" s="3" t="s">
        <v>145</v>
      </c>
      <c r="H93" s="3" t="s">
        <v>43</v>
      </c>
      <c r="I93" s="5" t="s">
        <v>691</v>
      </c>
      <c r="J93" s="5" t="s">
        <v>692</v>
      </c>
      <c r="K93" s="3" t="s">
        <v>29</v>
      </c>
    </row>
    <row r="94" spans="1:11" ht="56">
      <c r="A94" s="3">
        <v>131</v>
      </c>
      <c r="B94" s="3" t="s">
        <v>685</v>
      </c>
      <c r="C94" s="3" t="s">
        <v>356</v>
      </c>
      <c r="D94" s="3" t="s">
        <v>694</v>
      </c>
      <c r="E94" s="15">
        <v>23.480599999999999</v>
      </c>
      <c r="F94" s="15">
        <v>120.44929999999999</v>
      </c>
      <c r="G94" s="3" t="s">
        <v>277</v>
      </c>
      <c r="H94" s="3" t="s">
        <v>150</v>
      </c>
      <c r="I94" s="5" t="s">
        <v>695</v>
      </c>
      <c r="J94" s="5" t="s">
        <v>696</v>
      </c>
      <c r="K94" s="3" t="s">
        <v>66</v>
      </c>
    </row>
    <row r="95" spans="1:11" ht="56">
      <c r="A95" s="3">
        <v>132</v>
      </c>
      <c r="B95" s="3" t="s">
        <v>685</v>
      </c>
      <c r="C95" s="3" t="s">
        <v>523</v>
      </c>
      <c r="D95" s="3" t="s">
        <v>698</v>
      </c>
      <c r="E95" s="15">
        <v>23.479299999999999</v>
      </c>
      <c r="F95" s="15">
        <v>120.4209</v>
      </c>
      <c r="G95" s="3" t="s">
        <v>145</v>
      </c>
      <c r="H95" s="3" t="s">
        <v>43</v>
      </c>
      <c r="I95" s="5" t="s">
        <v>699</v>
      </c>
      <c r="J95" s="5" t="s">
        <v>700</v>
      </c>
      <c r="K95" s="3" t="s">
        <v>66</v>
      </c>
    </row>
    <row r="96" spans="1:11" ht="56">
      <c r="A96" s="3">
        <v>133</v>
      </c>
      <c r="B96" s="3" t="s">
        <v>685</v>
      </c>
      <c r="C96" s="3" t="s">
        <v>523</v>
      </c>
      <c r="D96" s="3" t="s">
        <v>702</v>
      </c>
      <c r="E96" s="15">
        <v>23.495799999999999</v>
      </c>
      <c r="F96" s="15">
        <v>120.4378</v>
      </c>
      <c r="G96" s="3" t="s">
        <v>145</v>
      </c>
      <c r="H96" s="3" t="s">
        <v>43</v>
      </c>
      <c r="I96" s="5" t="s">
        <v>703</v>
      </c>
      <c r="J96" s="5" t="s">
        <v>704</v>
      </c>
      <c r="K96" s="3" t="s">
        <v>66</v>
      </c>
    </row>
    <row r="97" spans="1:11" ht="70">
      <c r="A97" s="3">
        <v>134</v>
      </c>
      <c r="B97" s="3" t="s">
        <v>685</v>
      </c>
      <c r="C97" s="3" t="s">
        <v>356</v>
      </c>
      <c r="D97" s="3" t="s">
        <v>706</v>
      </c>
      <c r="E97" s="15">
        <v>23.462</v>
      </c>
      <c r="F97" s="15">
        <v>120.4635</v>
      </c>
      <c r="G97" s="3" t="s">
        <v>277</v>
      </c>
      <c r="H97" s="3" t="s">
        <v>43</v>
      </c>
      <c r="I97" s="5" t="s">
        <v>707</v>
      </c>
      <c r="J97" s="5" t="s">
        <v>708</v>
      </c>
      <c r="K97" s="3" t="s">
        <v>66</v>
      </c>
    </row>
    <row r="98" spans="1:11" ht="56">
      <c r="A98" s="3">
        <v>135</v>
      </c>
      <c r="B98" s="3" t="s">
        <v>685</v>
      </c>
      <c r="C98" s="3" t="s">
        <v>356</v>
      </c>
      <c r="D98" s="3" t="s">
        <v>710</v>
      </c>
      <c r="E98" s="15">
        <v>23.468</v>
      </c>
      <c r="F98" s="15">
        <v>120.4725</v>
      </c>
      <c r="G98" s="3" t="s">
        <v>277</v>
      </c>
      <c r="H98" s="3" t="s">
        <v>43</v>
      </c>
      <c r="I98" s="5" t="s">
        <v>711</v>
      </c>
      <c r="J98" s="5" t="s">
        <v>712</v>
      </c>
      <c r="K98" s="3" t="s">
        <v>225</v>
      </c>
    </row>
    <row r="99" spans="1:11" ht="56">
      <c r="A99" s="3">
        <v>136</v>
      </c>
      <c r="B99" s="3" t="s">
        <v>714</v>
      </c>
      <c r="C99" s="3" t="s">
        <v>715</v>
      </c>
      <c r="D99" s="3" t="s">
        <v>716</v>
      </c>
      <c r="E99" s="15">
        <v>23.550999999999998</v>
      </c>
      <c r="F99" s="15">
        <v>120.429</v>
      </c>
      <c r="G99" s="3" t="s">
        <v>277</v>
      </c>
      <c r="H99" s="3" t="s">
        <v>43</v>
      </c>
      <c r="I99" s="5" t="s">
        <v>718</v>
      </c>
      <c r="J99" s="5" t="s">
        <v>719</v>
      </c>
      <c r="K99" s="3" t="s">
        <v>29</v>
      </c>
    </row>
    <row r="100" spans="1:11" ht="56">
      <c r="A100" s="3">
        <v>137</v>
      </c>
      <c r="B100" s="3" t="s">
        <v>714</v>
      </c>
      <c r="C100" s="3" t="s">
        <v>721</v>
      </c>
      <c r="D100" s="3" t="s">
        <v>722</v>
      </c>
      <c r="E100" s="15">
        <v>23.582899999999999</v>
      </c>
      <c r="F100" s="15">
        <v>120.556</v>
      </c>
      <c r="G100" s="3" t="s">
        <v>145</v>
      </c>
      <c r="H100" s="3" t="s">
        <v>43</v>
      </c>
      <c r="I100" s="5" t="s">
        <v>723</v>
      </c>
      <c r="J100" s="5" t="s">
        <v>724</v>
      </c>
      <c r="K100" s="3" t="s">
        <v>66</v>
      </c>
    </row>
    <row r="101" spans="1:11" ht="56">
      <c r="A101" s="3">
        <v>138</v>
      </c>
      <c r="B101" s="3" t="s">
        <v>714</v>
      </c>
      <c r="C101" s="3" t="s">
        <v>726</v>
      </c>
      <c r="D101" s="3" t="s">
        <v>727</v>
      </c>
      <c r="E101" s="15">
        <v>23.463000000000001</v>
      </c>
      <c r="F101" s="15">
        <v>120.248</v>
      </c>
      <c r="G101" s="3" t="s">
        <v>277</v>
      </c>
      <c r="H101" s="3" t="s">
        <v>43</v>
      </c>
      <c r="I101" s="5" t="s">
        <v>728</v>
      </c>
      <c r="J101" s="5" t="s">
        <v>729</v>
      </c>
      <c r="K101" s="3" t="s">
        <v>66</v>
      </c>
    </row>
    <row r="102" spans="1:11" ht="70">
      <c r="A102" s="3">
        <v>139</v>
      </c>
      <c r="B102" s="3" t="s">
        <v>714</v>
      </c>
      <c r="C102" s="3" t="s">
        <v>726</v>
      </c>
      <c r="D102" s="3" t="s">
        <v>731</v>
      </c>
      <c r="E102" s="15">
        <v>23.458500000000001</v>
      </c>
      <c r="F102" s="15">
        <v>120.247</v>
      </c>
      <c r="G102" s="3" t="s">
        <v>277</v>
      </c>
      <c r="H102" s="3" t="s">
        <v>43</v>
      </c>
      <c r="I102" s="5" t="s">
        <v>732</v>
      </c>
      <c r="J102" s="5" t="s">
        <v>733</v>
      </c>
      <c r="K102" s="3" t="s">
        <v>66</v>
      </c>
    </row>
    <row r="103" spans="1:11" ht="70">
      <c r="A103" s="3">
        <v>140</v>
      </c>
      <c r="B103" s="3" t="s">
        <v>714</v>
      </c>
      <c r="C103" s="3" t="s">
        <v>735</v>
      </c>
      <c r="D103" s="3" t="s">
        <v>736</v>
      </c>
      <c r="E103" s="15">
        <v>23.452300000000001</v>
      </c>
      <c r="F103" s="15">
        <v>120.1438</v>
      </c>
      <c r="G103" s="3" t="s">
        <v>145</v>
      </c>
      <c r="H103" s="3" t="s">
        <v>43</v>
      </c>
      <c r="I103" s="5" t="s">
        <v>737</v>
      </c>
      <c r="J103" s="5" t="s">
        <v>738</v>
      </c>
      <c r="K103" s="3" t="s">
        <v>29</v>
      </c>
    </row>
    <row r="104" spans="1:11" ht="56">
      <c r="A104" s="3">
        <v>141</v>
      </c>
      <c r="B104" s="3" t="s">
        <v>714</v>
      </c>
      <c r="C104" s="3" t="s">
        <v>740</v>
      </c>
      <c r="D104" s="3" t="s">
        <v>741</v>
      </c>
      <c r="E104" s="15">
        <v>23.603000000000002</v>
      </c>
      <c r="F104" s="15">
        <v>120.455</v>
      </c>
      <c r="G104" s="3" t="s">
        <v>277</v>
      </c>
      <c r="H104" s="3" t="s">
        <v>43</v>
      </c>
      <c r="I104" s="5" t="s">
        <v>742</v>
      </c>
      <c r="J104" s="5" t="s">
        <v>743</v>
      </c>
      <c r="K104" s="3" t="s">
        <v>225</v>
      </c>
    </row>
    <row r="105" spans="1:11" ht="70">
      <c r="A105" s="3">
        <v>142</v>
      </c>
      <c r="B105" s="3" t="s">
        <v>714</v>
      </c>
      <c r="C105" s="3" t="s">
        <v>745</v>
      </c>
      <c r="D105" s="3" t="s">
        <v>746</v>
      </c>
      <c r="E105" s="15">
        <v>23.378</v>
      </c>
      <c r="F105" s="15">
        <v>120.148</v>
      </c>
      <c r="G105" s="3" t="s">
        <v>145</v>
      </c>
      <c r="H105" s="3" t="s">
        <v>150</v>
      </c>
      <c r="I105" s="5" t="s">
        <v>747</v>
      </c>
      <c r="J105" s="5" t="s">
        <v>748</v>
      </c>
      <c r="K105" s="3" t="s">
        <v>29</v>
      </c>
    </row>
    <row r="106" spans="1:11" ht="56">
      <c r="A106" s="3">
        <v>143</v>
      </c>
      <c r="B106" s="3" t="s">
        <v>750</v>
      </c>
      <c r="C106" s="3" t="s">
        <v>751</v>
      </c>
      <c r="D106" s="3" t="s">
        <v>752</v>
      </c>
      <c r="E106" s="15">
        <v>23.003699999999998</v>
      </c>
      <c r="F106" s="15">
        <v>120.211</v>
      </c>
      <c r="G106" s="3" t="s">
        <v>145</v>
      </c>
      <c r="H106" s="3" t="s">
        <v>43</v>
      </c>
      <c r="I106" s="5" t="s">
        <v>754</v>
      </c>
      <c r="J106" s="5" t="s">
        <v>755</v>
      </c>
      <c r="K106" s="3" t="s">
        <v>29</v>
      </c>
    </row>
    <row r="107" spans="1:11" ht="56">
      <c r="A107" s="3">
        <v>145</v>
      </c>
      <c r="B107" s="3" t="s">
        <v>750</v>
      </c>
      <c r="C107" s="3" t="s">
        <v>356</v>
      </c>
      <c r="D107" s="3" t="s">
        <v>761</v>
      </c>
      <c r="E107" s="15">
        <v>22.998799999999999</v>
      </c>
      <c r="F107" s="15">
        <v>120.22669999999999</v>
      </c>
      <c r="G107" s="3" t="s">
        <v>145</v>
      </c>
      <c r="H107" s="3" t="s">
        <v>43</v>
      </c>
      <c r="I107" s="5" t="s">
        <v>762</v>
      </c>
      <c r="J107" s="5" t="s">
        <v>763</v>
      </c>
      <c r="K107" s="3" t="s">
        <v>29</v>
      </c>
    </row>
    <row r="108" spans="1:11" ht="56">
      <c r="A108" s="3">
        <v>146</v>
      </c>
      <c r="B108" s="3" t="s">
        <v>750</v>
      </c>
      <c r="C108" s="3" t="s">
        <v>765</v>
      </c>
      <c r="D108" s="3" t="s">
        <v>766</v>
      </c>
      <c r="E108" s="15">
        <v>22.993500000000001</v>
      </c>
      <c r="F108" s="15">
        <v>120.1585</v>
      </c>
      <c r="G108" s="3" t="s">
        <v>145</v>
      </c>
      <c r="H108" s="3" t="s">
        <v>43</v>
      </c>
      <c r="I108" s="5" t="s">
        <v>767</v>
      </c>
      <c r="J108" s="5" t="s">
        <v>768</v>
      </c>
      <c r="K108" s="3" t="s">
        <v>29</v>
      </c>
    </row>
    <row r="109" spans="1:11" ht="56">
      <c r="A109" s="3">
        <v>147</v>
      </c>
      <c r="B109" s="3" t="s">
        <v>750</v>
      </c>
      <c r="C109" s="3" t="s">
        <v>765</v>
      </c>
      <c r="D109" s="3" t="s">
        <v>770</v>
      </c>
      <c r="E109" s="15">
        <v>22.994</v>
      </c>
      <c r="F109" s="15">
        <v>120.16</v>
      </c>
      <c r="G109" s="3" t="s">
        <v>277</v>
      </c>
      <c r="H109" s="3" t="s">
        <v>43</v>
      </c>
      <c r="I109" s="5" t="s">
        <v>771</v>
      </c>
      <c r="J109" s="5" t="s">
        <v>772</v>
      </c>
      <c r="K109" s="3" t="s">
        <v>66</v>
      </c>
    </row>
    <row r="110" spans="1:11" ht="56">
      <c r="A110" s="3">
        <v>148</v>
      </c>
      <c r="B110" s="3" t="s">
        <v>750</v>
      </c>
      <c r="C110" s="3" t="s">
        <v>765</v>
      </c>
      <c r="D110" s="3" t="s">
        <v>774</v>
      </c>
      <c r="E110" s="15">
        <v>22.988</v>
      </c>
      <c r="F110" s="15">
        <v>120.16070000000001</v>
      </c>
      <c r="G110" s="3" t="s">
        <v>145</v>
      </c>
      <c r="H110" s="3" t="s">
        <v>43</v>
      </c>
      <c r="I110" s="5" t="s">
        <v>775</v>
      </c>
      <c r="J110" s="5" t="s">
        <v>776</v>
      </c>
      <c r="K110" s="3" t="s">
        <v>66</v>
      </c>
    </row>
    <row r="111" spans="1:11" ht="56">
      <c r="A111" s="3">
        <v>149</v>
      </c>
      <c r="B111" s="3" t="s">
        <v>750</v>
      </c>
      <c r="C111" s="3" t="s">
        <v>549</v>
      </c>
      <c r="D111" s="3" t="s">
        <v>778</v>
      </c>
      <c r="E111" s="15">
        <v>22.985600000000002</v>
      </c>
      <c r="F111" s="15">
        <v>120.1887</v>
      </c>
      <c r="G111" s="3" t="s">
        <v>145</v>
      </c>
      <c r="H111" s="3" t="s">
        <v>43</v>
      </c>
      <c r="I111" s="5" t="s">
        <v>779</v>
      </c>
      <c r="J111" s="5" t="s">
        <v>780</v>
      </c>
      <c r="K111" s="3" t="s">
        <v>66</v>
      </c>
    </row>
    <row r="112" spans="1:11" ht="56">
      <c r="A112" s="3">
        <v>150</v>
      </c>
      <c r="B112" s="3" t="s">
        <v>750</v>
      </c>
      <c r="C112" s="3" t="s">
        <v>549</v>
      </c>
      <c r="D112" s="3" t="s">
        <v>782</v>
      </c>
      <c r="E112" s="15">
        <v>22.9757</v>
      </c>
      <c r="F112" s="15">
        <v>120.2085</v>
      </c>
      <c r="G112" s="3" t="s">
        <v>99</v>
      </c>
      <c r="H112" s="3" t="s">
        <v>121</v>
      </c>
      <c r="I112" s="5" t="s">
        <v>783</v>
      </c>
      <c r="J112" s="5" t="s">
        <v>784</v>
      </c>
      <c r="K112" s="3" t="s">
        <v>66</v>
      </c>
    </row>
    <row r="113" spans="1:11" ht="70">
      <c r="A113" s="3">
        <v>151</v>
      </c>
      <c r="B113" s="3" t="s">
        <v>750</v>
      </c>
      <c r="C113" s="3" t="s">
        <v>786</v>
      </c>
      <c r="D113" s="3" t="s">
        <v>787</v>
      </c>
      <c r="E113" s="15">
        <v>23.3065</v>
      </c>
      <c r="F113" s="15">
        <v>120.316</v>
      </c>
      <c r="G113" s="3" t="s">
        <v>145</v>
      </c>
      <c r="H113" s="3" t="s">
        <v>43</v>
      </c>
      <c r="I113" s="5" t="s">
        <v>788</v>
      </c>
      <c r="J113" s="5" t="s">
        <v>789</v>
      </c>
      <c r="K113" s="3" t="s">
        <v>29</v>
      </c>
    </row>
    <row r="114" spans="1:11" ht="56">
      <c r="A114" s="3">
        <v>152</v>
      </c>
      <c r="B114" s="3" t="s">
        <v>750</v>
      </c>
      <c r="C114" s="3" t="s">
        <v>786</v>
      </c>
      <c r="D114" s="3" t="s">
        <v>791</v>
      </c>
      <c r="E114" s="15">
        <v>23.332000000000001</v>
      </c>
      <c r="F114" s="15">
        <v>120.319</v>
      </c>
      <c r="G114" s="3" t="s">
        <v>277</v>
      </c>
      <c r="H114" s="3" t="s">
        <v>43</v>
      </c>
      <c r="I114" s="5" t="s">
        <v>792</v>
      </c>
      <c r="J114" s="5" t="s">
        <v>793</v>
      </c>
      <c r="K114" s="3" t="s">
        <v>66</v>
      </c>
    </row>
    <row r="115" spans="1:11" ht="56">
      <c r="A115" s="3">
        <v>154</v>
      </c>
      <c r="B115" s="3" t="s">
        <v>750</v>
      </c>
      <c r="C115" s="3" t="s">
        <v>800</v>
      </c>
      <c r="D115" s="3" t="s">
        <v>801</v>
      </c>
      <c r="E115" s="15">
        <v>22.938199999999998</v>
      </c>
      <c r="F115" s="15">
        <v>120.2243</v>
      </c>
      <c r="G115" s="3" t="s">
        <v>145</v>
      </c>
      <c r="H115" s="3" t="s">
        <v>43</v>
      </c>
      <c r="I115" s="5" t="s">
        <v>802</v>
      </c>
      <c r="J115" s="5" t="s">
        <v>803</v>
      </c>
      <c r="K115" s="3" t="s">
        <v>29</v>
      </c>
    </row>
    <row r="116" spans="1:11" ht="70">
      <c r="A116" s="3">
        <v>155</v>
      </c>
      <c r="B116" s="3" t="s">
        <v>750</v>
      </c>
      <c r="C116" s="3" t="s">
        <v>805</v>
      </c>
      <c r="D116" s="3" t="s">
        <v>806</v>
      </c>
      <c r="E116" s="15">
        <v>23.194600000000001</v>
      </c>
      <c r="F116" s="15">
        <v>120.322</v>
      </c>
      <c r="G116" s="3" t="s">
        <v>277</v>
      </c>
      <c r="H116" s="3" t="s">
        <v>43</v>
      </c>
      <c r="I116" s="5" t="s">
        <v>807</v>
      </c>
      <c r="J116" s="5" t="s">
        <v>808</v>
      </c>
      <c r="K116" s="3" t="s">
        <v>66</v>
      </c>
    </row>
    <row r="117" spans="1:11" ht="56">
      <c r="A117" s="3">
        <v>156</v>
      </c>
      <c r="B117" s="3" t="s">
        <v>750</v>
      </c>
      <c r="C117" s="3" t="s">
        <v>810</v>
      </c>
      <c r="D117" s="3" t="s">
        <v>811</v>
      </c>
      <c r="E117" s="15">
        <v>23.026800000000001</v>
      </c>
      <c r="F117" s="15">
        <v>120.343</v>
      </c>
      <c r="G117" s="3" t="s">
        <v>145</v>
      </c>
      <c r="H117" s="3" t="s">
        <v>150</v>
      </c>
      <c r="I117" s="5" t="s">
        <v>812</v>
      </c>
      <c r="J117" s="5" t="s">
        <v>813</v>
      </c>
      <c r="K117" s="3" t="s">
        <v>29</v>
      </c>
    </row>
    <row r="118" spans="1:11" ht="56">
      <c r="A118" s="3">
        <v>157</v>
      </c>
      <c r="B118" s="3" t="s">
        <v>750</v>
      </c>
      <c r="C118" s="3" t="s">
        <v>549</v>
      </c>
      <c r="D118" s="3" t="s">
        <v>815</v>
      </c>
      <c r="E118" s="15">
        <v>22.9802</v>
      </c>
      <c r="F118" s="15">
        <v>120.19750000000001</v>
      </c>
      <c r="G118" s="3" t="s">
        <v>277</v>
      </c>
      <c r="H118" s="3" t="s">
        <v>150</v>
      </c>
      <c r="I118" s="5" t="s">
        <v>816</v>
      </c>
      <c r="J118" s="5" t="s">
        <v>817</v>
      </c>
      <c r="K118" s="3" t="s">
        <v>66</v>
      </c>
    </row>
    <row r="119" spans="1:11" ht="70">
      <c r="A119" s="3">
        <v>159</v>
      </c>
      <c r="B119" s="3" t="s">
        <v>819</v>
      </c>
      <c r="C119" s="3" t="s">
        <v>825</v>
      </c>
      <c r="D119" s="3" t="s">
        <v>826</v>
      </c>
      <c r="E119" s="15">
        <v>22.657900000000001</v>
      </c>
      <c r="F119" s="15">
        <v>120.3018</v>
      </c>
      <c r="G119" s="3" t="s">
        <v>145</v>
      </c>
      <c r="H119" s="3" t="s">
        <v>43</v>
      </c>
      <c r="I119" s="5" t="s">
        <v>827</v>
      </c>
      <c r="J119" s="5" t="s">
        <v>828</v>
      </c>
      <c r="K119" s="3" t="s">
        <v>29</v>
      </c>
    </row>
    <row r="120" spans="1:11" ht="56">
      <c r="A120" s="3">
        <v>160</v>
      </c>
      <c r="B120" s="3" t="s">
        <v>819</v>
      </c>
      <c r="C120" s="3" t="s">
        <v>830</v>
      </c>
      <c r="D120" s="3" t="s">
        <v>831</v>
      </c>
      <c r="E120" s="15">
        <v>22.7271</v>
      </c>
      <c r="F120" s="15">
        <v>120.3155</v>
      </c>
      <c r="G120" s="3" t="s">
        <v>145</v>
      </c>
      <c r="H120" s="3" t="s">
        <v>43</v>
      </c>
      <c r="I120" s="5" t="s">
        <v>832</v>
      </c>
      <c r="J120" s="5" t="s">
        <v>833</v>
      </c>
      <c r="K120" s="3" t="s">
        <v>29</v>
      </c>
    </row>
    <row r="121" spans="1:11" ht="70">
      <c r="A121" s="3">
        <v>161</v>
      </c>
      <c r="B121" s="3" t="s">
        <v>819</v>
      </c>
      <c r="C121" s="3" t="s">
        <v>835</v>
      </c>
      <c r="D121" s="3" t="s">
        <v>836</v>
      </c>
      <c r="E121" s="15">
        <v>22.625299999999999</v>
      </c>
      <c r="F121" s="15">
        <v>120.34</v>
      </c>
      <c r="G121" s="3" t="s">
        <v>145</v>
      </c>
      <c r="H121" s="3" t="s">
        <v>43</v>
      </c>
      <c r="I121" s="5" t="s">
        <v>837</v>
      </c>
      <c r="J121" s="5" t="s">
        <v>838</v>
      </c>
      <c r="K121" s="3" t="s">
        <v>29</v>
      </c>
    </row>
    <row r="122" spans="1:11" ht="70">
      <c r="A122" s="3">
        <v>162</v>
      </c>
      <c r="B122" s="3" t="s">
        <v>819</v>
      </c>
      <c r="C122" s="3" t="s">
        <v>825</v>
      </c>
      <c r="D122" s="3" t="s">
        <v>840</v>
      </c>
      <c r="E122" s="15">
        <v>22.656300000000002</v>
      </c>
      <c r="F122" s="15">
        <v>120.286</v>
      </c>
      <c r="G122" s="3" t="s">
        <v>277</v>
      </c>
      <c r="H122" s="3" t="s">
        <v>150</v>
      </c>
      <c r="I122" s="5" t="s">
        <v>841</v>
      </c>
      <c r="J122" s="5" t="s">
        <v>842</v>
      </c>
      <c r="K122" s="3" t="s">
        <v>29</v>
      </c>
    </row>
    <row r="123" spans="1:11" ht="56">
      <c r="A123" s="3">
        <v>163</v>
      </c>
      <c r="B123" s="3" t="s">
        <v>819</v>
      </c>
      <c r="C123" s="3" t="s">
        <v>835</v>
      </c>
      <c r="D123" s="3" t="s">
        <v>844</v>
      </c>
      <c r="E123" s="15">
        <v>22.625399999999999</v>
      </c>
      <c r="F123" s="15">
        <v>120.357</v>
      </c>
      <c r="G123" s="3" t="s">
        <v>145</v>
      </c>
      <c r="H123" s="3" t="s">
        <v>43</v>
      </c>
      <c r="I123" s="5" t="s">
        <v>845</v>
      </c>
      <c r="J123" s="5" t="s">
        <v>846</v>
      </c>
      <c r="K123" s="3" t="s">
        <v>66</v>
      </c>
    </row>
    <row r="124" spans="1:11" ht="56">
      <c r="A124" s="3">
        <v>164</v>
      </c>
      <c r="B124" s="3" t="s">
        <v>819</v>
      </c>
      <c r="C124" s="3" t="s">
        <v>848</v>
      </c>
      <c r="D124" s="3" t="s">
        <v>849</v>
      </c>
      <c r="E124" s="15">
        <v>22.681100000000001</v>
      </c>
      <c r="F124" s="15">
        <v>120.30119999999999</v>
      </c>
      <c r="G124" s="3" t="s">
        <v>145</v>
      </c>
      <c r="H124" s="3" t="s">
        <v>43</v>
      </c>
      <c r="I124" s="5" t="s">
        <v>850</v>
      </c>
      <c r="J124" s="5" t="s">
        <v>851</v>
      </c>
      <c r="K124" s="3" t="s">
        <v>66</v>
      </c>
    </row>
    <row r="125" spans="1:11" ht="70">
      <c r="A125" s="3">
        <v>165</v>
      </c>
      <c r="B125" s="3" t="s">
        <v>819</v>
      </c>
      <c r="C125" s="3" t="s">
        <v>848</v>
      </c>
      <c r="D125" s="3" t="s">
        <v>853</v>
      </c>
      <c r="E125" s="15">
        <v>22.681799999999999</v>
      </c>
      <c r="F125" s="15">
        <v>120.2945</v>
      </c>
      <c r="G125" s="3" t="s">
        <v>99</v>
      </c>
      <c r="H125" s="3" t="s">
        <v>104</v>
      </c>
      <c r="I125" s="5" t="s">
        <v>854</v>
      </c>
      <c r="J125" s="5" t="s">
        <v>855</v>
      </c>
      <c r="K125" s="3" t="s">
        <v>29</v>
      </c>
    </row>
    <row r="126" spans="1:11" ht="56">
      <c r="A126" s="3">
        <v>166</v>
      </c>
      <c r="B126" s="3" t="s">
        <v>819</v>
      </c>
      <c r="C126" s="3" t="s">
        <v>857</v>
      </c>
      <c r="D126" s="3" t="s">
        <v>858</v>
      </c>
      <c r="E126" s="15">
        <v>22.594999999999999</v>
      </c>
      <c r="F126" s="15">
        <v>120.3068</v>
      </c>
      <c r="G126" s="3" t="s">
        <v>277</v>
      </c>
      <c r="H126" s="3" t="s">
        <v>43</v>
      </c>
      <c r="I126" s="5" t="s">
        <v>859</v>
      </c>
      <c r="J126" s="5" t="s">
        <v>860</v>
      </c>
      <c r="K126" s="3" t="s">
        <v>66</v>
      </c>
    </row>
    <row r="127" spans="1:11" ht="56">
      <c r="A127" s="3">
        <v>167</v>
      </c>
      <c r="B127" s="3" t="s">
        <v>819</v>
      </c>
      <c r="C127" s="3" t="s">
        <v>857</v>
      </c>
      <c r="D127" s="3" t="s">
        <v>862</v>
      </c>
      <c r="E127" s="15">
        <v>22.604700000000001</v>
      </c>
      <c r="F127" s="15">
        <v>120.3265</v>
      </c>
      <c r="G127" s="3" t="s">
        <v>277</v>
      </c>
      <c r="H127" s="3" t="s">
        <v>43</v>
      </c>
      <c r="I127" s="5" t="s">
        <v>863</v>
      </c>
      <c r="J127" s="5" t="s">
        <v>864</v>
      </c>
      <c r="K127" s="3" t="s">
        <v>66</v>
      </c>
    </row>
    <row r="128" spans="1:11" ht="56">
      <c r="A128" s="3">
        <v>168</v>
      </c>
      <c r="B128" s="3" t="s">
        <v>819</v>
      </c>
      <c r="C128" s="3" t="s">
        <v>866</v>
      </c>
      <c r="D128" s="3" t="s">
        <v>867</v>
      </c>
      <c r="E128" s="15">
        <v>22.648599999999998</v>
      </c>
      <c r="F128" s="15">
        <v>120.2825</v>
      </c>
      <c r="G128" s="3" t="s">
        <v>145</v>
      </c>
      <c r="H128" s="3" t="s">
        <v>43</v>
      </c>
      <c r="I128" s="5" t="s">
        <v>868</v>
      </c>
      <c r="J128" s="5" t="s">
        <v>869</v>
      </c>
      <c r="K128" s="3" t="s">
        <v>66</v>
      </c>
    </row>
    <row r="129" spans="1:11" ht="56">
      <c r="A129" s="3">
        <v>169</v>
      </c>
      <c r="B129" s="3" t="s">
        <v>819</v>
      </c>
      <c r="C129" s="3" t="s">
        <v>848</v>
      </c>
      <c r="D129" s="3" t="s">
        <v>871</v>
      </c>
      <c r="E129" s="15">
        <v>22.6816</v>
      </c>
      <c r="F129" s="15">
        <v>120.2997</v>
      </c>
      <c r="G129" s="3" t="s">
        <v>145</v>
      </c>
      <c r="H129" s="3" t="s">
        <v>43</v>
      </c>
      <c r="I129" s="5" t="s">
        <v>872</v>
      </c>
      <c r="J129" s="5" t="s">
        <v>873</v>
      </c>
      <c r="K129" s="3" t="s">
        <v>66</v>
      </c>
    </row>
    <row r="130" spans="1:11" ht="56">
      <c r="A130" s="3">
        <v>170</v>
      </c>
      <c r="B130" s="3" t="s">
        <v>819</v>
      </c>
      <c r="C130" s="3" t="s">
        <v>830</v>
      </c>
      <c r="D130" s="3" t="s">
        <v>875</v>
      </c>
      <c r="E130" s="15">
        <v>22.7182</v>
      </c>
      <c r="F130" s="15">
        <v>120.2885</v>
      </c>
      <c r="G130" s="3" t="s">
        <v>277</v>
      </c>
      <c r="H130" s="3" t="s">
        <v>43</v>
      </c>
      <c r="I130" s="5" t="s">
        <v>876</v>
      </c>
      <c r="J130" s="5" t="s">
        <v>877</v>
      </c>
      <c r="K130" s="3" t="s">
        <v>66</v>
      </c>
    </row>
    <row r="131" spans="1:11" ht="56">
      <c r="A131" s="3">
        <v>171</v>
      </c>
      <c r="B131" s="3" t="s">
        <v>819</v>
      </c>
      <c r="C131" s="3" t="s">
        <v>879</v>
      </c>
      <c r="D131" s="3" t="s">
        <v>880</v>
      </c>
      <c r="E131" s="15">
        <v>22.685300000000002</v>
      </c>
      <c r="F131" s="15">
        <v>120.34350000000001</v>
      </c>
      <c r="G131" s="3" t="s">
        <v>277</v>
      </c>
      <c r="H131" s="3" t="s">
        <v>43</v>
      </c>
      <c r="I131" s="5" t="s">
        <v>881</v>
      </c>
      <c r="J131" s="5" t="s">
        <v>882</v>
      </c>
      <c r="K131" s="3" t="s">
        <v>66</v>
      </c>
    </row>
    <row r="132" spans="1:11" ht="56">
      <c r="A132" s="3">
        <v>172</v>
      </c>
      <c r="B132" s="3" t="s">
        <v>819</v>
      </c>
      <c r="C132" s="3" t="s">
        <v>884</v>
      </c>
      <c r="D132" s="3" t="s">
        <v>885</v>
      </c>
      <c r="E132" s="15">
        <v>22.794</v>
      </c>
      <c r="F132" s="15">
        <v>120.291</v>
      </c>
      <c r="G132" s="3" t="s">
        <v>277</v>
      </c>
      <c r="H132" s="3" t="s">
        <v>43</v>
      </c>
      <c r="I132" s="5" t="s">
        <v>886</v>
      </c>
      <c r="J132" s="5" t="s">
        <v>887</v>
      </c>
      <c r="K132" s="3" t="s">
        <v>225</v>
      </c>
    </row>
    <row r="133" spans="1:11" ht="70">
      <c r="A133" s="3">
        <v>173</v>
      </c>
      <c r="B133" s="3" t="s">
        <v>819</v>
      </c>
      <c r="C133" s="3" t="s">
        <v>889</v>
      </c>
      <c r="D133" s="3" t="s">
        <v>890</v>
      </c>
      <c r="E133" s="15">
        <v>22.872599999999998</v>
      </c>
      <c r="F133" s="15">
        <v>120.2055</v>
      </c>
      <c r="G133" s="3" t="s">
        <v>145</v>
      </c>
      <c r="H133" s="3" t="s">
        <v>43</v>
      </c>
      <c r="I133" s="5" t="s">
        <v>891</v>
      </c>
      <c r="J133" s="5" t="s">
        <v>892</v>
      </c>
      <c r="K133" s="3" t="s">
        <v>66</v>
      </c>
    </row>
    <row r="134" spans="1:11" ht="70">
      <c r="A134" s="3">
        <v>174</v>
      </c>
      <c r="B134" s="3" t="s">
        <v>819</v>
      </c>
      <c r="C134" s="3" t="s">
        <v>894</v>
      </c>
      <c r="D134" s="3" t="s">
        <v>895</v>
      </c>
      <c r="E134" s="15">
        <v>22.785799999999998</v>
      </c>
      <c r="F134" s="15">
        <v>120.244</v>
      </c>
      <c r="G134" s="3" t="s">
        <v>277</v>
      </c>
      <c r="H134" s="3" t="s">
        <v>43</v>
      </c>
      <c r="I134" s="5" t="s">
        <v>896</v>
      </c>
      <c r="J134" s="5" t="s">
        <v>897</v>
      </c>
      <c r="K134" s="3" t="s">
        <v>66</v>
      </c>
    </row>
    <row r="135" spans="1:11" ht="56">
      <c r="A135" s="3">
        <v>175</v>
      </c>
      <c r="B135" s="3" t="s">
        <v>819</v>
      </c>
      <c r="C135" s="3" t="s">
        <v>899</v>
      </c>
      <c r="D135" s="3" t="s">
        <v>900</v>
      </c>
      <c r="E135" s="15">
        <v>22.611499999999999</v>
      </c>
      <c r="F135" s="15">
        <v>120.264</v>
      </c>
      <c r="G135" s="3" t="s">
        <v>99</v>
      </c>
      <c r="H135" s="3" t="s">
        <v>121</v>
      </c>
      <c r="I135" s="5" t="s">
        <v>901</v>
      </c>
      <c r="J135" s="5" t="s">
        <v>902</v>
      </c>
      <c r="K135" s="3" t="s">
        <v>29</v>
      </c>
    </row>
    <row r="136" spans="1:11" ht="70">
      <c r="A136" s="3">
        <v>176</v>
      </c>
      <c r="B136" s="3" t="s">
        <v>819</v>
      </c>
      <c r="C136" s="3" t="s">
        <v>904</v>
      </c>
      <c r="D136" s="3" t="s">
        <v>905</v>
      </c>
      <c r="E136" s="15">
        <v>22.668700000000001</v>
      </c>
      <c r="F136" s="15">
        <v>120.4233</v>
      </c>
      <c r="G136" s="3" t="s">
        <v>145</v>
      </c>
      <c r="H136" s="3" t="s">
        <v>43</v>
      </c>
      <c r="I136" s="5" t="s">
        <v>906</v>
      </c>
      <c r="J136" s="5" t="s">
        <v>907</v>
      </c>
      <c r="K136" s="3" t="s">
        <v>66</v>
      </c>
    </row>
    <row r="137" spans="1:11" ht="56">
      <c r="A137" s="3">
        <v>177</v>
      </c>
      <c r="B137" s="3" t="s">
        <v>819</v>
      </c>
      <c r="C137" s="3" t="s">
        <v>909</v>
      </c>
      <c r="D137" s="3" t="s">
        <v>910</v>
      </c>
      <c r="E137" s="15">
        <v>22.656700000000001</v>
      </c>
      <c r="F137" s="15">
        <v>120.349</v>
      </c>
      <c r="G137" s="3" t="s">
        <v>145</v>
      </c>
      <c r="H137" s="3" t="s">
        <v>150</v>
      </c>
      <c r="I137" s="5" t="s">
        <v>911</v>
      </c>
      <c r="J137" s="5" t="s">
        <v>912</v>
      </c>
      <c r="K137" s="3" t="s">
        <v>29</v>
      </c>
    </row>
    <row r="138" spans="1:11" ht="56">
      <c r="A138" s="3">
        <v>178</v>
      </c>
      <c r="B138" s="3" t="s">
        <v>914</v>
      </c>
      <c r="C138" s="3" t="s">
        <v>915</v>
      </c>
      <c r="D138" s="3" t="s">
        <v>916</v>
      </c>
      <c r="E138" s="15">
        <v>22.672499999999999</v>
      </c>
      <c r="F138" s="15">
        <v>120.48950000000001</v>
      </c>
      <c r="G138" s="3" t="s">
        <v>145</v>
      </c>
      <c r="H138" s="3" t="s">
        <v>43</v>
      </c>
      <c r="I138" s="5" t="s">
        <v>918</v>
      </c>
      <c r="J138" s="5" t="s">
        <v>919</v>
      </c>
      <c r="K138" s="3" t="s">
        <v>29</v>
      </c>
    </row>
    <row r="139" spans="1:11" ht="56">
      <c r="A139" s="3">
        <v>179</v>
      </c>
      <c r="B139" s="3" t="s">
        <v>914</v>
      </c>
      <c r="C139" s="3" t="s">
        <v>915</v>
      </c>
      <c r="D139" s="3" t="s">
        <v>921</v>
      </c>
      <c r="E139" s="15">
        <v>22.654</v>
      </c>
      <c r="F139" s="15">
        <v>120.474</v>
      </c>
      <c r="G139" s="3" t="s">
        <v>145</v>
      </c>
      <c r="H139" s="3" t="s">
        <v>43</v>
      </c>
      <c r="I139" s="5" t="s">
        <v>922</v>
      </c>
      <c r="J139" s="5" t="s">
        <v>923</v>
      </c>
      <c r="K139" s="3" t="s">
        <v>29</v>
      </c>
    </row>
    <row r="140" spans="1:11" ht="56">
      <c r="A140" s="3">
        <v>180</v>
      </c>
      <c r="B140" s="3" t="s">
        <v>914</v>
      </c>
      <c r="C140" s="3" t="s">
        <v>915</v>
      </c>
      <c r="D140" s="3" t="s">
        <v>925</v>
      </c>
      <c r="E140" s="15">
        <v>22.667000000000002</v>
      </c>
      <c r="F140" s="15">
        <v>120.48350000000001</v>
      </c>
      <c r="G140" s="3" t="s">
        <v>277</v>
      </c>
      <c r="H140" s="3" t="s">
        <v>43</v>
      </c>
      <c r="I140" s="5" t="s">
        <v>926</v>
      </c>
      <c r="J140" s="5" t="s">
        <v>927</v>
      </c>
      <c r="K140" s="3" t="s">
        <v>66</v>
      </c>
    </row>
    <row r="141" spans="1:11" ht="56">
      <c r="A141" s="3">
        <v>181</v>
      </c>
      <c r="B141" s="3" t="s">
        <v>914</v>
      </c>
      <c r="C141" s="3" t="s">
        <v>929</v>
      </c>
      <c r="D141" s="3" t="s">
        <v>930</v>
      </c>
      <c r="E141" s="15">
        <v>22.547999999999998</v>
      </c>
      <c r="F141" s="15">
        <v>120.536</v>
      </c>
      <c r="G141" s="3" t="s">
        <v>145</v>
      </c>
      <c r="H141" s="3" t="s">
        <v>43</v>
      </c>
      <c r="I141" s="5" t="s">
        <v>931</v>
      </c>
      <c r="J141" s="5" t="s">
        <v>932</v>
      </c>
      <c r="K141" s="3" t="s">
        <v>66</v>
      </c>
    </row>
    <row r="142" spans="1:11" ht="70">
      <c r="A142" s="3">
        <v>182</v>
      </c>
      <c r="B142" s="3" t="s">
        <v>914</v>
      </c>
      <c r="C142" s="3" t="s">
        <v>929</v>
      </c>
      <c r="D142" s="3" t="s">
        <v>934</v>
      </c>
      <c r="E142" s="15">
        <v>22.584499999999998</v>
      </c>
      <c r="F142" s="15">
        <v>120.6093</v>
      </c>
      <c r="G142" s="3" t="s">
        <v>145</v>
      </c>
      <c r="H142" s="3" t="s">
        <v>150</v>
      </c>
      <c r="I142" s="5" t="s">
        <v>935</v>
      </c>
      <c r="J142" s="5" t="s">
        <v>936</v>
      </c>
      <c r="K142" s="3" t="s">
        <v>29</v>
      </c>
    </row>
    <row r="143" spans="1:11" ht="70">
      <c r="A143" s="3">
        <v>183</v>
      </c>
      <c r="B143" s="3" t="s">
        <v>914</v>
      </c>
      <c r="C143" s="3" t="s">
        <v>938</v>
      </c>
      <c r="D143" s="3" t="s">
        <v>939</v>
      </c>
      <c r="E143" s="15">
        <v>22.4514</v>
      </c>
      <c r="F143" s="15">
        <v>120.4897</v>
      </c>
      <c r="G143" s="3" t="s">
        <v>145</v>
      </c>
      <c r="H143" s="3" t="s">
        <v>150</v>
      </c>
      <c r="I143" s="5" t="s">
        <v>940</v>
      </c>
      <c r="J143" s="5" t="s">
        <v>941</v>
      </c>
      <c r="K143" s="3" t="s">
        <v>29</v>
      </c>
    </row>
    <row r="144" spans="1:11" ht="56">
      <c r="A144" s="3">
        <v>184</v>
      </c>
      <c r="B144" s="3" t="s">
        <v>914</v>
      </c>
      <c r="C144" s="3" t="s">
        <v>943</v>
      </c>
      <c r="D144" s="3" t="s">
        <v>944</v>
      </c>
      <c r="E144" s="15">
        <v>22.0045</v>
      </c>
      <c r="F144" s="15">
        <v>120.7443</v>
      </c>
      <c r="G144" s="3" t="s">
        <v>277</v>
      </c>
      <c r="H144" s="3" t="s">
        <v>43</v>
      </c>
      <c r="I144" s="5" t="s">
        <v>945</v>
      </c>
      <c r="J144" s="5" t="s">
        <v>946</v>
      </c>
      <c r="K144" s="3" t="s">
        <v>66</v>
      </c>
    </row>
    <row r="145" spans="1:11" ht="70">
      <c r="A145" s="3">
        <v>185</v>
      </c>
      <c r="B145" s="3" t="s">
        <v>914</v>
      </c>
      <c r="C145" s="3" t="s">
        <v>948</v>
      </c>
      <c r="D145" s="3" t="s">
        <v>949</v>
      </c>
      <c r="E145" s="15">
        <v>22.660399999999999</v>
      </c>
      <c r="F145" s="15">
        <v>120.58629999999999</v>
      </c>
      <c r="G145" s="3" t="s">
        <v>145</v>
      </c>
      <c r="H145" s="3" t="s">
        <v>150</v>
      </c>
      <c r="I145" s="5" t="s">
        <v>950</v>
      </c>
      <c r="J145" s="5" t="s">
        <v>951</v>
      </c>
      <c r="K145" s="3" t="s">
        <v>29</v>
      </c>
    </row>
    <row r="146" spans="1:11" ht="56">
      <c r="A146" s="3">
        <v>186</v>
      </c>
      <c r="B146" s="3" t="s">
        <v>914</v>
      </c>
      <c r="C146" s="3" t="s">
        <v>953</v>
      </c>
      <c r="D146" s="3" t="s">
        <v>954</v>
      </c>
      <c r="E146" s="15">
        <v>22.5883</v>
      </c>
      <c r="F146" s="15">
        <v>120.489</v>
      </c>
      <c r="G146" s="3" t="s">
        <v>277</v>
      </c>
      <c r="H146" s="3" t="s">
        <v>43</v>
      </c>
      <c r="I146" s="5" t="s">
        <v>955</v>
      </c>
      <c r="J146" s="5" t="s">
        <v>956</v>
      </c>
      <c r="K146" s="3" t="s">
        <v>225</v>
      </c>
    </row>
    <row r="147" spans="1:11" ht="56">
      <c r="A147" s="3">
        <v>187</v>
      </c>
      <c r="B147" s="3" t="s">
        <v>958</v>
      </c>
      <c r="C147" s="3" t="s">
        <v>959</v>
      </c>
      <c r="D147" s="3" t="s">
        <v>960</v>
      </c>
      <c r="E147" s="15">
        <v>24.744499999999999</v>
      </c>
      <c r="F147" s="15">
        <v>121.75660000000001</v>
      </c>
      <c r="G147" s="3" t="s">
        <v>145</v>
      </c>
      <c r="H147" s="3" t="s">
        <v>43</v>
      </c>
      <c r="I147" s="5" t="s">
        <v>962</v>
      </c>
      <c r="J147" s="5" t="s">
        <v>963</v>
      </c>
      <c r="K147" s="3" t="s">
        <v>29</v>
      </c>
    </row>
    <row r="148" spans="1:11" ht="56">
      <c r="A148" s="3">
        <v>188</v>
      </c>
      <c r="B148" s="3" t="s">
        <v>958</v>
      </c>
      <c r="C148" s="3" t="s">
        <v>959</v>
      </c>
      <c r="D148" s="3" t="s">
        <v>965</v>
      </c>
      <c r="E148" s="15">
        <v>24.763000000000002</v>
      </c>
      <c r="F148" s="15">
        <v>121.759</v>
      </c>
      <c r="G148" s="3" t="s">
        <v>99</v>
      </c>
      <c r="H148" s="3" t="s">
        <v>121</v>
      </c>
      <c r="I148" s="5" t="s">
        <v>966</v>
      </c>
      <c r="J148" s="5" t="s">
        <v>967</v>
      </c>
      <c r="K148" s="3" t="s">
        <v>66</v>
      </c>
    </row>
    <row r="149" spans="1:11" ht="56">
      <c r="A149" s="3">
        <v>189</v>
      </c>
      <c r="B149" s="3" t="s">
        <v>958</v>
      </c>
      <c r="C149" s="3" t="s">
        <v>959</v>
      </c>
      <c r="D149" s="3" t="s">
        <v>969</v>
      </c>
      <c r="E149" s="15">
        <v>24.752500000000001</v>
      </c>
      <c r="F149" s="15">
        <v>121.758</v>
      </c>
      <c r="G149" s="3" t="s">
        <v>145</v>
      </c>
      <c r="H149" s="3" t="s">
        <v>43</v>
      </c>
      <c r="I149" s="5" t="s">
        <v>970</v>
      </c>
      <c r="J149" s="5" t="s">
        <v>971</v>
      </c>
      <c r="K149" s="3" t="s">
        <v>29</v>
      </c>
    </row>
    <row r="150" spans="1:11" ht="56">
      <c r="A150" s="3">
        <v>190</v>
      </c>
      <c r="B150" s="3" t="s">
        <v>958</v>
      </c>
      <c r="C150" s="3" t="s">
        <v>959</v>
      </c>
      <c r="D150" s="3" t="s">
        <v>64</v>
      </c>
      <c r="E150" s="15">
        <v>24.75</v>
      </c>
      <c r="F150" s="15">
        <v>121.746</v>
      </c>
      <c r="G150" s="3" t="s">
        <v>277</v>
      </c>
      <c r="H150" s="3" t="s">
        <v>43</v>
      </c>
      <c r="I150" s="5" t="s">
        <v>973</v>
      </c>
      <c r="J150" s="5" t="s">
        <v>974</v>
      </c>
      <c r="K150" s="3" t="s">
        <v>66</v>
      </c>
    </row>
    <row r="151" spans="1:11" ht="56">
      <c r="A151" s="3">
        <v>191</v>
      </c>
      <c r="B151" s="3" t="s">
        <v>958</v>
      </c>
      <c r="C151" s="3" t="s">
        <v>976</v>
      </c>
      <c r="D151" s="3" t="s">
        <v>977</v>
      </c>
      <c r="E151" s="15">
        <v>24.683</v>
      </c>
      <c r="F151" s="15">
        <v>121.754</v>
      </c>
      <c r="G151" s="3" t="s">
        <v>145</v>
      </c>
      <c r="H151" s="3" t="s">
        <v>43</v>
      </c>
      <c r="I151" s="5" t="s">
        <v>978</v>
      </c>
      <c r="J151" s="5" t="s">
        <v>979</v>
      </c>
      <c r="K151" s="3" t="s">
        <v>29</v>
      </c>
    </row>
    <row r="152" spans="1:11" ht="84">
      <c r="A152" s="3">
        <v>192</v>
      </c>
      <c r="B152" s="3" t="s">
        <v>958</v>
      </c>
      <c r="C152" s="3" t="s">
        <v>976</v>
      </c>
      <c r="D152" s="3" t="s">
        <v>981</v>
      </c>
      <c r="E152" s="15">
        <v>24.680499999999999</v>
      </c>
      <c r="F152" s="15">
        <v>121.765</v>
      </c>
      <c r="G152" s="3" t="s">
        <v>277</v>
      </c>
      <c r="H152" s="3" t="s">
        <v>43</v>
      </c>
      <c r="I152" s="5" t="s">
        <v>982</v>
      </c>
      <c r="J152" s="5" t="s">
        <v>983</v>
      </c>
      <c r="K152" s="3" t="s">
        <v>66</v>
      </c>
    </row>
    <row r="153" spans="1:11" ht="70">
      <c r="A153" s="3">
        <v>193</v>
      </c>
      <c r="B153" s="3" t="s">
        <v>958</v>
      </c>
      <c r="C153" s="3" t="s">
        <v>985</v>
      </c>
      <c r="D153" s="3" t="s">
        <v>986</v>
      </c>
      <c r="E153" s="15">
        <v>24.674399999999999</v>
      </c>
      <c r="F153" s="15">
        <v>121.8125</v>
      </c>
      <c r="G153" s="3" t="s">
        <v>145</v>
      </c>
      <c r="H153" s="3" t="s">
        <v>43</v>
      </c>
      <c r="I153" s="5" t="s">
        <v>987</v>
      </c>
      <c r="J153" s="5" t="s">
        <v>988</v>
      </c>
      <c r="K153" s="3" t="s">
        <v>29</v>
      </c>
    </row>
    <row r="154" spans="1:11" ht="56">
      <c r="A154" s="3">
        <v>194</v>
      </c>
      <c r="B154" s="3" t="s">
        <v>958</v>
      </c>
      <c r="C154" s="3" t="s">
        <v>985</v>
      </c>
      <c r="D154" s="3" t="s">
        <v>990</v>
      </c>
      <c r="E154" s="15">
        <v>24.6325</v>
      </c>
      <c r="F154" s="15">
        <v>121.7928</v>
      </c>
      <c r="G154" s="3" t="s">
        <v>145</v>
      </c>
      <c r="H154" s="3" t="s">
        <v>150</v>
      </c>
      <c r="I154" s="5" t="s">
        <v>991</v>
      </c>
      <c r="J154" s="5" t="s">
        <v>992</v>
      </c>
      <c r="K154" s="3" t="s">
        <v>29</v>
      </c>
    </row>
    <row r="155" spans="1:11" ht="56">
      <c r="A155" s="3">
        <v>195</v>
      </c>
      <c r="B155" s="3" t="s">
        <v>958</v>
      </c>
      <c r="C155" s="3" t="s">
        <v>994</v>
      </c>
      <c r="D155" s="3" t="s">
        <v>995</v>
      </c>
      <c r="E155" s="15">
        <v>24.614799999999999</v>
      </c>
      <c r="F155" s="15">
        <v>121.7324</v>
      </c>
      <c r="G155" s="3" t="s">
        <v>145</v>
      </c>
      <c r="H155" s="3" t="s">
        <v>150</v>
      </c>
      <c r="I155" s="5" t="s">
        <v>996</v>
      </c>
      <c r="J155" s="5" t="s">
        <v>997</v>
      </c>
      <c r="K155" s="3" t="s">
        <v>66</v>
      </c>
    </row>
    <row r="156" spans="1:11" ht="56">
      <c r="A156" s="3">
        <v>196</v>
      </c>
      <c r="B156" s="3" t="s">
        <v>958</v>
      </c>
      <c r="C156" s="3" t="s">
        <v>999</v>
      </c>
      <c r="D156" s="3" t="s">
        <v>1000</v>
      </c>
      <c r="E156" s="15">
        <v>24.831700000000001</v>
      </c>
      <c r="F156" s="15">
        <v>121.774</v>
      </c>
      <c r="G156" s="3" t="s">
        <v>145</v>
      </c>
      <c r="H156" s="3" t="s">
        <v>43</v>
      </c>
      <c r="I156" s="5" t="s">
        <v>1001</v>
      </c>
      <c r="J156" s="5" t="s">
        <v>1002</v>
      </c>
      <c r="K156" s="3" t="s">
        <v>66</v>
      </c>
    </row>
    <row r="157" spans="1:11" ht="70">
      <c r="A157" s="3">
        <v>197</v>
      </c>
      <c r="B157" s="3" t="s">
        <v>958</v>
      </c>
      <c r="C157" s="3" t="s">
        <v>999</v>
      </c>
      <c r="D157" s="3" t="s">
        <v>1004</v>
      </c>
      <c r="E157" s="15">
        <v>24.827200000000001</v>
      </c>
      <c r="F157" s="15">
        <v>121.77249999999999</v>
      </c>
      <c r="G157" s="3" t="s">
        <v>145</v>
      </c>
      <c r="H157" s="3" t="s">
        <v>43</v>
      </c>
      <c r="I157" s="5" t="s">
        <v>1005</v>
      </c>
      <c r="J157" s="5" t="s">
        <v>1006</v>
      </c>
      <c r="K157" s="3" t="s">
        <v>29</v>
      </c>
    </row>
    <row r="158" spans="1:11" ht="84">
      <c r="A158" s="3">
        <v>198</v>
      </c>
      <c r="B158" s="3" t="s">
        <v>1008</v>
      </c>
      <c r="C158" s="3" t="s">
        <v>1009</v>
      </c>
      <c r="D158" s="3" t="s">
        <v>1010</v>
      </c>
      <c r="E158" s="15">
        <v>23.966387999999998</v>
      </c>
      <c r="F158" s="15">
        <v>121.60916</v>
      </c>
      <c r="G158" s="3" t="s">
        <v>99</v>
      </c>
      <c r="H158" s="3" t="s">
        <v>104</v>
      </c>
      <c r="I158" s="5" t="s">
        <v>1012</v>
      </c>
      <c r="J158" s="5" t="s">
        <v>1013</v>
      </c>
      <c r="K158" s="3" t="s">
        <v>29</v>
      </c>
    </row>
    <row r="159" spans="1:11" ht="70">
      <c r="A159" s="3">
        <v>200</v>
      </c>
      <c r="B159" s="3" t="s">
        <v>1008</v>
      </c>
      <c r="C159" s="3" t="s">
        <v>1019</v>
      </c>
      <c r="D159" s="3" t="s">
        <v>1020</v>
      </c>
      <c r="E159" s="15">
        <v>23.946300000000001</v>
      </c>
      <c r="F159" s="15">
        <v>121.57550000000001</v>
      </c>
      <c r="G159" s="3" t="s">
        <v>277</v>
      </c>
      <c r="H159" s="3" t="s">
        <v>43</v>
      </c>
      <c r="I159" s="5" t="s">
        <v>1021</v>
      </c>
      <c r="J159" s="5" t="s">
        <v>1022</v>
      </c>
      <c r="K159" s="3" t="s">
        <v>29</v>
      </c>
    </row>
    <row r="160" spans="1:11" ht="56">
      <c r="A160" s="3">
        <v>201</v>
      </c>
      <c r="B160" s="3" t="s">
        <v>1008</v>
      </c>
      <c r="C160" s="3" t="s">
        <v>1009</v>
      </c>
      <c r="D160" s="3" t="s">
        <v>1024</v>
      </c>
      <c r="E160" s="15">
        <v>24.003499999999999</v>
      </c>
      <c r="F160" s="15">
        <v>121.59099999999999</v>
      </c>
      <c r="G160" s="3" t="s">
        <v>277</v>
      </c>
      <c r="H160" s="3" t="s">
        <v>43</v>
      </c>
      <c r="I160" s="5" t="s">
        <v>1025</v>
      </c>
      <c r="J160" s="5" t="s">
        <v>1026</v>
      </c>
      <c r="K160" s="3" t="s">
        <v>66</v>
      </c>
    </row>
    <row r="161" spans="1:11" ht="70">
      <c r="A161" s="3">
        <v>203</v>
      </c>
      <c r="B161" s="3" t="s">
        <v>1008</v>
      </c>
      <c r="C161" s="3" t="s">
        <v>1033</v>
      </c>
      <c r="D161" s="3" t="s">
        <v>1034</v>
      </c>
      <c r="E161" s="15">
        <v>23.927826</v>
      </c>
      <c r="F161" s="15">
        <v>121.50987000000001</v>
      </c>
      <c r="G161" s="3" t="s">
        <v>99</v>
      </c>
      <c r="H161" s="3" t="s">
        <v>104</v>
      </c>
      <c r="I161" s="5" t="s">
        <v>1035</v>
      </c>
      <c r="J161" s="5" t="s">
        <v>1036</v>
      </c>
      <c r="K161" s="3" t="s">
        <v>29</v>
      </c>
    </row>
    <row r="162" spans="1:11" ht="56">
      <c r="A162" s="3">
        <v>204</v>
      </c>
      <c r="B162" s="3" t="s">
        <v>1008</v>
      </c>
      <c r="C162" s="3" t="s">
        <v>1038</v>
      </c>
      <c r="D162" s="3" t="s">
        <v>1039</v>
      </c>
      <c r="E162" s="15">
        <v>23.495999999999999</v>
      </c>
      <c r="F162" s="15">
        <v>121.37649999999999</v>
      </c>
      <c r="G162" s="3" t="s">
        <v>277</v>
      </c>
      <c r="H162" s="3" t="s">
        <v>43</v>
      </c>
      <c r="I162" s="5" t="s">
        <v>1040</v>
      </c>
      <c r="J162" s="5" t="s">
        <v>1041</v>
      </c>
      <c r="K162" s="3" t="s">
        <v>225</v>
      </c>
    </row>
    <row r="163" spans="1:11" ht="56">
      <c r="A163" s="3">
        <v>205</v>
      </c>
      <c r="B163" s="3" t="s">
        <v>1008</v>
      </c>
      <c r="C163" s="3" t="s">
        <v>1043</v>
      </c>
      <c r="D163" s="3" t="s">
        <v>1044</v>
      </c>
      <c r="E163" s="15">
        <v>23.330500000000001</v>
      </c>
      <c r="F163" s="15">
        <v>121.3135</v>
      </c>
      <c r="G163" s="3" t="s">
        <v>277</v>
      </c>
      <c r="H163" s="3" t="s">
        <v>43</v>
      </c>
      <c r="I163" s="5" t="s">
        <v>1045</v>
      </c>
      <c r="J163" s="5" t="s">
        <v>1046</v>
      </c>
      <c r="K163" s="3" t="s">
        <v>225</v>
      </c>
    </row>
    <row r="164" spans="1:11" ht="56">
      <c r="A164" s="3">
        <v>207</v>
      </c>
      <c r="B164" s="3" t="s">
        <v>1048</v>
      </c>
      <c r="C164" s="3" t="s">
        <v>1049</v>
      </c>
      <c r="D164" s="3" t="s">
        <v>1055</v>
      </c>
      <c r="E164" s="15">
        <v>22.754999999999999</v>
      </c>
      <c r="F164" s="15">
        <v>121.1675</v>
      </c>
      <c r="G164" s="3" t="s">
        <v>277</v>
      </c>
      <c r="H164" s="3" t="s">
        <v>43</v>
      </c>
      <c r="I164" s="5" t="s">
        <v>1056</v>
      </c>
      <c r="J164" s="5" t="s">
        <v>1057</v>
      </c>
      <c r="K164" s="3" t="s">
        <v>29</v>
      </c>
    </row>
    <row r="165" spans="1:11" ht="56">
      <c r="A165" s="3">
        <v>209</v>
      </c>
      <c r="B165" s="3" t="s">
        <v>1048</v>
      </c>
      <c r="C165" s="3" t="s">
        <v>1049</v>
      </c>
      <c r="D165" s="3" t="s">
        <v>1063</v>
      </c>
      <c r="E165" s="15">
        <v>22.792165000000001</v>
      </c>
      <c r="F165" s="15">
        <v>121.11593000000001</v>
      </c>
      <c r="G165" s="3" t="s">
        <v>37</v>
      </c>
      <c r="H165" s="3" t="s">
        <v>150</v>
      </c>
      <c r="I165" s="5" t="s">
        <v>1064</v>
      </c>
      <c r="J165" s="5" t="s">
        <v>1065</v>
      </c>
      <c r="K165" s="3" t="s">
        <v>29</v>
      </c>
    </row>
    <row r="166" spans="1:11" ht="56">
      <c r="A166" s="3">
        <v>211</v>
      </c>
      <c r="B166" s="3" t="s">
        <v>1048</v>
      </c>
      <c r="C166" s="3" t="s">
        <v>1072</v>
      </c>
      <c r="D166" s="3" t="s">
        <v>1073</v>
      </c>
      <c r="E166" s="15">
        <v>23.119910999999998</v>
      </c>
      <c r="F166" s="15">
        <v>121.22404</v>
      </c>
      <c r="G166" s="3" t="s">
        <v>37</v>
      </c>
      <c r="H166" s="3" t="s">
        <v>150</v>
      </c>
      <c r="I166" s="5" t="s">
        <v>1074</v>
      </c>
      <c r="J166" s="5" t="s">
        <v>1075</v>
      </c>
      <c r="K166" s="3" t="s">
        <v>29</v>
      </c>
    </row>
    <row r="167" spans="1:11" ht="56">
      <c r="A167" s="3">
        <v>212</v>
      </c>
      <c r="B167" s="3" t="s">
        <v>1048</v>
      </c>
      <c r="C167" s="3" t="s">
        <v>1077</v>
      </c>
      <c r="D167" s="3" t="s">
        <v>1078</v>
      </c>
      <c r="E167" s="15">
        <v>22.916449</v>
      </c>
      <c r="F167" s="15">
        <v>121.12159</v>
      </c>
      <c r="G167" s="3" t="s">
        <v>37</v>
      </c>
      <c r="H167" s="3" t="s">
        <v>150</v>
      </c>
      <c r="I167" s="5" t="s">
        <v>1079</v>
      </c>
      <c r="J167" s="5" t="s">
        <v>1080</v>
      </c>
      <c r="K167" s="3" t="s">
        <v>29</v>
      </c>
    </row>
    <row r="168" spans="1:11" ht="70">
      <c r="A168" s="3">
        <v>213</v>
      </c>
      <c r="B168" s="3" t="s">
        <v>1048</v>
      </c>
      <c r="C168" s="3" t="s">
        <v>1082</v>
      </c>
      <c r="D168" s="3" t="s">
        <v>1083</v>
      </c>
      <c r="E168" s="15">
        <v>22.6187</v>
      </c>
      <c r="F168" s="15">
        <v>121.0042</v>
      </c>
      <c r="G168" s="3" t="s">
        <v>277</v>
      </c>
      <c r="H168" s="3" t="s">
        <v>150</v>
      </c>
      <c r="I168" s="5" t="s">
        <v>1084</v>
      </c>
      <c r="J168" s="5" t="s">
        <v>1085</v>
      </c>
      <c r="K168" s="3" t="s">
        <v>66</v>
      </c>
    </row>
    <row r="169" spans="1:11" ht="70">
      <c r="A169" s="3">
        <v>214</v>
      </c>
      <c r="B169" s="3" t="s">
        <v>1087</v>
      </c>
      <c r="C169" s="3" t="s">
        <v>1088</v>
      </c>
      <c r="D169" s="3" t="s">
        <v>1089</v>
      </c>
      <c r="E169" s="15">
        <v>23.5688</v>
      </c>
      <c r="F169" s="15">
        <v>119.56100000000001</v>
      </c>
      <c r="G169" s="3" t="s">
        <v>145</v>
      </c>
      <c r="H169" s="3" t="s">
        <v>150</v>
      </c>
      <c r="I169" s="5" t="s">
        <v>1091</v>
      </c>
      <c r="J169" s="5" t="s">
        <v>1092</v>
      </c>
      <c r="K169" s="3" t="s">
        <v>29</v>
      </c>
    </row>
    <row r="170" spans="1:11" ht="56">
      <c r="A170" s="3">
        <v>215</v>
      </c>
      <c r="B170" s="3" t="s">
        <v>1087</v>
      </c>
      <c r="C170" s="3" t="s">
        <v>1088</v>
      </c>
      <c r="D170" s="3" t="s">
        <v>1094</v>
      </c>
      <c r="E170" s="15">
        <v>23.567799999999998</v>
      </c>
      <c r="F170" s="15">
        <v>119.5825</v>
      </c>
      <c r="G170" s="3" t="s">
        <v>277</v>
      </c>
      <c r="H170" s="3" t="s">
        <v>150</v>
      </c>
      <c r="I170" s="5" t="s">
        <v>1095</v>
      </c>
      <c r="J170" s="5" t="s">
        <v>1096</v>
      </c>
      <c r="K170" s="3" t="s">
        <v>29</v>
      </c>
    </row>
    <row r="171" spans="1:11" ht="70">
      <c r="A171" s="3">
        <v>216</v>
      </c>
      <c r="B171" s="3" t="s">
        <v>1087</v>
      </c>
      <c r="C171" s="3" t="s">
        <v>1088</v>
      </c>
      <c r="D171" s="3" t="s">
        <v>1098</v>
      </c>
      <c r="E171" s="15">
        <v>23.526800000000001</v>
      </c>
      <c r="F171" s="15">
        <v>119.5645</v>
      </c>
      <c r="G171" s="3" t="s">
        <v>277</v>
      </c>
      <c r="H171" s="3" t="s">
        <v>43</v>
      </c>
      <c r="I171" s="5" t="s">
        <v>1099</v>
      </c>
      <c r="J171" s="5" t="s">
        <v>1100</v>
      </c>
      <c r="K171" s="3" t="s">
        <v>66</v>
      </c>
    </row>
    <row r="172" spans="1:11" ht="56">
      <c r="A172" s="3">
        <v>217</v>
      </c>
      <c r="B172" s="3" t="s">
        <v>1087</v>
      </c>
      <c r="C172" s="3" t="s">
        <v>1088</v>
      </c>
      <c r="D172" s="3" t="s">
        <v>1102</v>
      </c>
      <c r="E172" s="15">
        <v>23.512499999999999</v>
      </c>
      <c r="F172" s="15">
        <v>119.5885</v>
      </c>
      <c r="G172" s="3" t="s">
        <v>277</v>
      </c>
      <c r="H172" s="3" t="s">
        <v>43</v>
      </c>
      <c r="I172" s="5" t="s">
        <v>1103</v>
      </c>
      <c r="J172" s="5" t="s">
        <v>1104</v>
      </c>
      <c r="K172" s="3" t="s">
        <v>66</v>
      </c>
    </row>
    <row r="173" spans="1:11" ht="56">
      <c r="A173" s="3">
        <v>218</v>
      </c>
      <c r="B173" s="3" t="s">
        <v>1087</v>
      </c>
      <c r="C173" s="3" t="s">
        <v>1106</v>
      </c>
      <c r="D173" s="3" t="s">
        <v>1107</v>
      </c>
      <c r="E173" s="15">
        <v>23.560300000000002</v>
      </c>
      <c r="F173" s="15">
        <v>119.646</v>
      </c>
      <c r="G173" s="3" t="s">
        <v>145</v>
      </c>
      <c r="H173" s="3" t="s">
        <v>43</v>
      </c>
      <c r="I173" s="5" t="s">
        <v>1108</v>
      </c>
      <c r="J173" s="5" t="s">
        <v>1109</v>
      </c>
      <c r="K173" s="3" t="s">
        <v>29</v>
      </c>
    </row>
    <row r="174" spans="1:11" ht="56">
      <c r="A174" s="3">
        <v>219</v>
      </c>
      <c r="B174" s="3" t="s">
        <v>1087</v>
      </c>
      <c r="C174" s="3" t="s">
        <v>1111</v>
      </c>
      <c r="D174" s="3" t="s">
        <v>1112</v>
      </c>
      <c r="E174" s="15">
        <v>23.658300000000001</v>
      </c>
      <c r="F174" s="15">
        <v>119.55500000000001</v>
      </c>
      <c r="G174" s="3" t="s">
        <v>145</v>
      </c>
      <c r="H174" s="3" t="s">
        <v>43</v>
      </c>
      <c r="I174" s="5" t="s">
        <v>1113</v>
      </c>
      <c r="J174" s="5" t="s">
        <v>1114</v>
      </c>
      <c r="K174" s="3" t="s">
        <v>66</v>
      </c>
    </row>
    <row r="175" spans="1:11" ht="70">
      <c r="A175" s="3">
        <v>220</v>
      </c>
      <c r="B175" s="3" t="s">
        <v>1087</v>
      </c>
      <c r="C175" s="3" t="s">
        <v>1106</v>
      </c>
      <c r="D175" s="3" t="s">
        <v>1116</v>
      </c>
      <c r="E175" s="15">
        <v>23.6021</v>
      </c>
      <c r="F175" s="15">
        <v>119.6726</v>
      </c>
      <c r="G175" s="3" t="s">
        <v>145</v>
      </c>
      <c r="H175" s="3" t="s">
        <v>150</v>
      </c>
      <c r="I175" s="5" t="s">
        <v>1117</v>
      </c>
      <c r="J175" s="5" t="s">
        <v>1118</v>
      </c>
      <c r="K175" s="3" t="s">
        <v>29</v>
      </c>
    </row>
    <row r="176" spans="1:11" ht="56">
      <c r="A176" s="3">
        <v>221</v>
      </c>
      <c r="B176" s="3" t="s">
        <v>1120</v>
      </c>
      <c r="C176" s="3" t="s">
        <v>1121</v>
      </c>
      <c r="D176" s="3" t="s">
        <v>1122</v>
      </c>
      <c r="E176" s="15">
        <v>24.431999999999999</v>
      </c>
      <c r="F176" s="15">
        <v>118.3165</v>
      </c>
      <c r="G176" s="3" t="s">
        <v>277</v>
      </c>
      <c r="H176" s="3" t="s">
        <v>43</v>
      </c>
      <c r="I176" s="5" t="s">
        <v>1124</v>
      </c>
      <c r="J176" s="5" t="s">
        <v>1125</v>
      </c>
      <c r="K176" s="3" t="s">
        <v>29</v>
      </c>
    </row>
    <row r="177" spans="1:11" ht="56">
      <c r="A177" s="3">
        <v>222</v>
      </c>
      <c r="B177" s="3" t="s">
        <v>1120</v>
      </c>
      <c r="C177" s="3" t="s">
        <v>1127</v>
      </c>
      <c r="D177" s="3" t="s">
        <v>1128</v>
      </c>
      <c r="E177" s="15">
        <v>24.447099999999999</v>
      </c>
      <c r="F177" s="15">
        <v>118.35599999999999</v>
      </c>
      <c r="G177" s="3" t="s">
        <v>145</v>
      </c>
      <c r="H177" s="3" t="s">
        <v>150</v>
      </c>
      <c r="I177" s="5" t="s">
        <v>1129</v>
      </c>
      <c r="J177" s="5" t="s">
        <v>1130</v>
      </c>
      <c r="K177" s="3" t="s">
        <v>29</v>
      </c>
    </row>
    <row r="178" spans="1:11" ht="56">
      <c r="A178" s="3">
        <v>223</v>
      </c>
      <c r="B178" s="3" t="s">
        <v>1120</v>
      </c>
      <c r="C178" s="3" t="s">
        <v>1132</v>
      </c>
      <c r="D178" s="3" t="s">
        <v>1133</v>
      </c>
      <c r="E178" s="15">
        <v>24.436599999999999</v>
      </c>
      <c r="F178" s="15">
        <v>118.4385</v>
      </c>
      <c r="G178" s="3" t="s">
        <v>145</v>
      </c>
      <c r="H178" s="3" t="s">
        <v>150</v>
      </c>
      <c r="I178" s="5" t="s">
        <v>1134</v>
      </c>
      <c r="J178" s="5" t="s">
        <v>1135</v>
      </c>
      <c r="K178" s="3" t="s">
        <v>29</v>
      </c>
    </row>
    <row r="179" spans="1:11" ht="56">
      <c r="A179" s="3">
        <v>224</v>
      </c>
      <c r="B179" s="3" t="s">
        <v>1120</v>
      </c>
      <c r="C179" s="3" t="s">
        <v>1132</v>
      </c>
      <c r="D179" s="3" t="s">
        <v>1137</v>
      </c>
      <c r="E179" s="15">
        <v>24.448</v>
      </c>
      <c r="F179" s="15">
        <v>118.3785</v>
      </c>
      <c r="G179" s="3" t="s">
        <v>145</v>
      </c>
      <c r="H179" s="3" t="s">
        <v>150</v>
      </c>
      <c r="I179" s="5" t="s">
        <v>1138</v>
      </c>
      <c r="J179" s="5" t="s">
        <v>1139</v>
      </c>
      <c r="K179" s="3" t="s">
        <v>66</v>
      </c>
    </row>
    <row r="180" spans="1:11" ht="56">
      <c r="A180" s="3">
        <v>225</v>
      </c>
      <c r="B180" s="3" t="s">
        <v>1120</v>
      </c>
      <c r="C180" s="3" t="s">
        <v>1141</v>
      </c>
      <c r="D180" s="3" t="s">
        <v>1142</v>
      </c>
      <c r="E180" s="15">
        <v>24.4255</v>
      </c>
      <c r="F180" s="15">
        <v>118.2345</v>
      </c>
      <c r="G180" s="3" t="s">
        <v>277</v>
      </c>
      <c r="H180" s="3" t="s">
        <v>43</v>
      </c>
      <c r="I180" s="5" t="s">
        <v>1143</v>
      </c>
      <c r="J180" s="5" t="s">
        <v>1144</v>
      </c>
      <c r="K180" s="3" t="s">
        <v>66</v>
      </c>
    </row>
    <row r="181" spans="1:11" ht="56">
      <c r="A181" s="3">
        <v>226</v>
      </c>
      <c r="B181" s="3" t="s">
        <v>1120</v>
      </c>
      <c r="C181" s="3" t="s">
        <v>1121</v>
      </c>
      <c r="D181" s="3" t="s">
        <v>1146</v>
      </c>
      <c r="E181" s="15">
        <v>24.429200000000002</v>
      </c>
      <c r="F181" s="15">
        <v>118.3198</v>
      </c>
      <c r="G181" s="3" t="s">
        <v>145</v>
      </c>
      <c r="H181" s="3" t="s">
        <v>43</v>
      </c>
      <c r="I181" s="5" t="s">
        <v>1147</v>
      </c>
      <c r="J181" s="5" t="s">
        <v>1148</v>
      </c>
      <c r="K181" s="3" t="s">
        <v>29</v>
      </c>
    </row>
    <row r="182" spans="1:11" ht="42">
      <c r="A182" s="3">
        <v>227</v>
      </c>
      <c r="B182" s="3" t="s">
        <v>1120</v>
      </c>
      <c r="C182" s="3" t="s">
        <v>1132</v>
      </c>
      <c r="D182" s="3" t="s">
        <v>1150</v>
      </c>
      <c r="E182" s="15">
        <v>24.436800000000002</v>
      </c>
      <c r="F182" s="15">
        <v>118.43049999999999</v>
      </c>
      <c r="G182" s="3" t="s">
        <v>277</v>
      </c>
      <c r="H182" s="3" t="s">
        <v>43</v>
      </c>
      <c r="I182" s="5" t="s">
        <v>1151</v>
      </c>
      <c r="J182" s="5" t="s">
        <v>1152</v>
      </c>
      <c r="K182" s="3" t="s">
        <v>66</v>
      </c>
    </row>
    <row r="183" spans="1:11" ht="70">
      <c r="A183" s="3">
        <v>228</v>
      </c>
      <c r="B183" s="3" t="s">
        <v>1154</v>
      </c>
      <c r="C183" s="3" t="s">
        <v>1155</v>
      </c>
      <c r="D183" s="3" t="s">
        <v>1156</v>
      </c>
      <c r="E183" s="15">
        <v>26.2166</v>
      </c>
      <c r="F183" s="15">
        <v>119.97450000000001</v>
      </c>
      <c r="G183" s="3" t="s">
        <v>277</v>
      </c>
      <c r="H183" s="3" t="s">
        <v>43</v>
      </c>
      <c r="I183" s="5" t="s">
        <v>1158</v>
      </c>
      <c r="J183" s="5" t="s">
        <v>1159</v>
      </c>
      <c r="K183" s="3" t="s">
        <v>29</v>
      </c>
    </row>
    <row r="184" spans="1:11" ht="70">
      <c r="A184" s="3">
        <v>229</v>
      </c>
      <c r="B184" s="3" t="s">
        <v>1154</v>
      </c>
      <c r="C184" s="3" t="s">
        <v>1161</v>
      </c>
      <c r="D184" s="3" t="s">
        <v>1162</v>
      </c>
      <c r="E184" s="15">
        <v>26.160715</v>
      </c>
      <c r="F184" s="15">
        <v>119.916687</v>
      </c>
      <c r="G184" s="3" t="s">
        <v>145</v>
      </c>
      <c r="H184" s="3" t="s">
        <v>150</v>
      </c>
      <c r="I184" s="5" t="s">
        <v>1163</v>
      </c>
      <c r="J184" s="5" t="s">
        <v>1164</v>
      </c>
      <c r="K184" s="3" t="s">
        <v>29</v>
      </c>
    </row>
    <row r="185" spans="1:11" ht="84">
      <c r="A185" s="3">
        <v>230</v>
      </c>
      <c r="B185" s="3" t="s">
        <v>1154</v>
      </c>
      <c r="C185" s="3" t="s">
        <v>1161</v>
      </c>
      <c r="D185" s="3" t="s">
        <v>1166</v>
      </c>
      <c r="E185" s="15">
        <v>26.157800000000002</v>
      </c>
      <c r="F185" s="15">
        <v>119.94929999999999</v>
      </c>
      <c r="G185" s="3" t="s">
        <v>99</v>
      </c>
      <c r="H185" s="3" t="s">
        <v>104</v>
      </c>
      <c r="I185" s="5" t="s">
        <v>1167</v>
      </c>
      <c r="J185" s="5" t="s">
        <v>1168</v>
      </c>
      <c r="K185" s="3" t="s">
        <v>66</v>
      </c>
    </row>
    <row r="186" spans="1:11" ht="70">
      <c r="A186" s="3">
        <v>231</v>
      </c>
      <c r="B186" s="3" t="s">
        <v>1154</v>
      </c>
      <c r="C186" s="3" t="s">
        <v>1161</v>
      </c>
      <c r="D186" s="3" t="s">
        <v>1170</v>
      </c>
      <c r="E186" s="15">
        <v>26.1569</v>
      </c>
      <c r="F186" s="15">
        <v>119.9515</v>
      </c>
      <c r="G186" s="3" t="s">
        <v>277</v>
      </c>
      <c r="H186" s="3" t="s">
        <v>150</v>
      </c>
      <c r="I186" s="5" t="s">
        <v>1171</v>
      </c>
      <c r="J186" s="5" t="s">
        <v>1172</v>
      </c>
      <c r="K186" s="3" t="s">
        <v>66</v>
      </c>
    </row>
  </sheetData>
  <mergeCells count="1">
    <mergeCell ref="A1:K1"/>
  </mergeCells>
  <phoneticPr fontId="10" type="noConversion"/>
  <conditionalFormatting sqref="G3:G186">
    <cfRule type="expression" dxfId="12" priority="1">
      <formula>LEFT(G3,1)="B"</formula>
    </cfRule>
    <cfRule type="expression" dxfId="11" priority="2">
      <formula>LEFT(G3,1)="C"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2"/>
  <sheetViews>
    <sheetView workbookViewId="0"/>
  </sheetViews>
  <sheetFormatPr defaultRowHeight="14"/>
  <cols>
    <col min="1" max="1" width="19" customWidth="1"/>
    <col min="2" max="2" width="10" customWidth="1"/>
    <col min="3" max="3" width="11" customWidth="1"/>
    <col min="4" max="4" width="19" customWidth="1"/>
    <col min="5" max="5" width="31" customWidth="1"/>
    <col min="6" max="6" width="30" customWidth="1"/>
    <col min="7" max="8" width="16" customWidth="1"/>
    <col min="9" max="9" width="8" customWidth="1"/>
    <col min="10" max="10" width="12" customWidth="1"/>
    <col min="11" max="11" width="38" customWidth="1"/>
    <col min="12" max="12" width="48" customWidth="1"/>
    <col min="13" max="13" width="40" customWidth="1"/>
    <col min="14" max="14" width="15" customWidth="1"/>
    <col min="15" max="15" width="27" customWidth="1"/>
    <col min="16" max="16" width="48" customWidth="1"/>
    <col min="17" max="17" width="35" customWidth="1"/>
    <col min="18" max="18" width="34" customWidth="1"/>
    <col min="19" max="20" width="12" customWidth="1"/>
    <col min="21" max="21" width="25" customWidth="1"/>
    <col min="22" max="22" width="13" customWidth="1"/>
    <col min="23" max="23" width="16" customWidth="1"/>
    <col min="24" max="24" width="15" customWidth="1"/>
    <col min="25" max="25" width="42" customWidth="1"/>
    <col min="26" max="26" width="16" customWidth="1"/>
    <col min="27" max="27" width="48" customWidth="1"/>
    <col min="28" max="28" width="42" customWidth="1"/>
    <col min="29" max="29" width="28" customWidth="1"/>
    <col min="30" max="30" width="42" customWidth="1"/>
    <col min="31" max="31" width="38" customWidth="1"/>
  </cols>
  <sheetData>
    <row r="1" spans="1:31" ht="20.65" customHeight="1">
      <c r="A1" s="42" t="s">
        <v>1224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3"/>
    </row>
    <row r="2" spans="1:31">
      <c r="A2" s="25" t="s">
        <v>1225</v>
      </c>
      <c r="B2" s="25" t="s">
        <v>2</v>
      </c>
      <c r="C2" s="25" t="s">
        <v>3</v>
      </c>
      <c r="D2" s="25" t="s">
        <v>5</v>
      </c>
      <c r="E2" s="25" t="s">
        <v>1226</v>
      </c>
      <c r="F2" s="25" t="s">
        <v>1227</v>
      </c>
      <c r="G2" s="25" t="s">
        <v>1228</v>
      </c>
      <c r="H2" s="25" t="s">
        <v>1229</v>
      </c>
      <c r="I2" s="25" t="s">
        <v>1230</v>
      </c>
      <c r="J2" s="25" t="s">
        <v>1231</v>
      </c>
      <c r="K2" s="25" t="s">
        <v>1232</v>
      </c>
      <c r="L2" s="25" t="s">
        <v>1233</v>
      </c>
      <c r="M2" s="25" t="s">
        <v>1234</v>
      </c>
      <c r="N2" s="25" t="s">
        <v>1235</v>
      </c>
      <c r="O2" s="25" t="s">
        <v>1236</v>
      </c>
      <c r="P2" s="25" t="s">
        <v>1237</v>
      </c>
      <c r="Q2" s="25" t="s">
        <v>1238</v>
      </c>
      <c r="R2" s="25" t="s">
        <v>1239</v>
      </c>
      <c r="S2" s="25" t="s">
        <v>1240</v>
      </c>
      <c r="T2" s="25" t="s">
        <v>1241</v>
      </c>
      <c r="U2" s="25" t="s">
        <v>1242</v>
      </c>
      <c r="V2" s="25" t="s">
        <v>1243</v>
      </c>
      <c r="W2" s="25" t="s">
        <v>1244</v>
      </c>
      <c r="X2" s="25" t="s">
        <v>1245</v>
      </c>
      <c r="Y2" s="25" t="s">
        <v>1246</v>
      </c>
      <c r="Z2" s="25" t="s">
        <v>7</v>
      </c>
      <c r="AA2" s="25" t="s">
        <v>1247</v>
      </c>
      <c r="AB2" s="25" t="s">
        <v>1248</v>
      </c>
      <c r="AC2" s="25" t="s">
        <v>1249</v>
      </c>
      <c r="AD2" s="25" t="s">
        <v>1250</v>
      </c>
      <c r="AE2" t="s">
        <v>1251</v>
      </c>
    </row>
    <row r="3" spans="1:31" ht="70">
      <c r="A3" s="4" t="s">
        <v>1252</v>
      </c>
      <c r="B3" s="4" t="s">
        <v>24</v>
      </c>
      <c r="C3" s="4" t="s">
        <v>1253</v>
      </c>
      <c r="D3" s="4" t="s">
        <v>1254</v>
      </c>
      <c r="E3" s="4" t="s">
        <v>1255</v>
      </c>
      <c r="F3" s="4" t="s">
        <v>1256</v>
      </c>
      <c r="G3" s="16">
        <v>25.055104</v>
      </c>
      <c r="H3" s="16">
        <v>121.51003</v>
      </c>
      <c r="I3" s="4">
        <v>5</v>
      </c>
      <c r="J3" s="4" t="s">
        <v>1257</v>
      </c>
      <c r="K3" s="3" t="s">
        <v>1258</v>
      </c>
      <c r="L3" s="3" t="s">
        <v>1259</v>
      </c>
      <c r="M3" s="3" t="s">
        <v>1260</v>
      </c>
      <c r="N3" s="4">
        <v>200</v>
      </c>
      <c r="O3" s="4" t="s">
        <v>1261</v>
      </c>
      <c r="P3" s="3" t="s">
        <v>1262</v>
      </c>
      <c r="Q3" s="3" t="s">
        <v>1263</v>
      </c>
      <c r="R3" s="3" t="s">
        <v>1264</v>
      </c>
      <c r="S3" s="4" t="s">
        <v>1265</v>
      </c>
      <c r="T3" s="4" t="s">
        <v>1266</v>
      </c>
      <c r="U3" s="4" t="s">
        <v>1267</v>
      </c>
      <c r="V3" s="4" t="s">
        <v>1268</v>
      </c>
      <c r="W3" s="4" t="s">
        <v>1269</v>
      </c>
      <c r="X3" s="27">
        <v>1.8</v>
      </c>
      <c r="Y3" s="4" t="s">
        <v>1270</v>
      </c>
      <c r="Z3" s="4" t="s">
        <v>29</v>
      </c>
      <c r="AA3" s="5" t="s">
        <v>1271</v>
      </c>
      <c r="AB3" s="5" t="s">
        <v>1272</v>
      </c>
      <c r="AC3" s="4" t="s">
        <v>1273</v>
      </c>
      <c r="AD3" s="3" t="s">
        <v>1274</v>
      </c>
      <c r="AE3" s="3" t="s">
        <v>1275</v>
      </c>
    </row>
    <row r="4" spans="1:31" ht="56">
      <c r="A4" s="4" t="s">
        <v>1276</v>
      </c>
      <c r="B4" s="4" t="s">
        <v>24</v>
      </c>
      <c r="C4" s="4" t="s">
        <v>89</v>
      </c>
      <c r="D4" s="4" t="s">
        <v>1254</v>
      </c>
      <c r="E4" s="4" t="s">
        <v>1277</v>
      </c>
      <c r="F4" s="4" t="s">
        <v>1256</v>
      </c>
      <c r="G4" s="16">
        <v>25.036837999999999</v>
      </c>
      <c r="H4" s="16">
        <v>121.50216</v>
      </c>
      <c r="I4" s="4">
        <v>5</v>
      </c>
      <c r="J4" s="4" t="s">
        <v>1257</v>
      </c>
      <c r="K4" s="3" t="s">
        <v>1278</v>
      </c>
      <c r="L4" s="3" t="s">
        <v>1279</v>
      </c>
      <c r="M4" s="3" t="s">
        <v>1260</v>
      </c>
      <c r="N4" s="4">
        <v>200</v>
      </c>
      <c r="O4" s="4" t="s">
        <v>1261</v>
      </c>
      <c r="P4" s="3" t="s">
        <v>1262</v>
      </c>
      <c r="Q4" s="3" t="s">
        <v>1263</v>
      </c>
      <c r="R4" s="3" t="s">
        <v>1264</v>
      </c>
      <c r="S4" s="4" t="s">
        <v>1265</v>
      </c>
      <c r="T4" s="4" t="s">
        <v>1266</v>
      </c>
      <c r="U4" s="4" t="s">
        <v>1267</v>
      </c>
      <c r="V4" s="4" t="s">
        <v>1268</v>
      </c>
      <c r="W4" s="4" t="s">
        <v>1269</v>
      </c>
      <c r="X4" s="27">
        <v>1.8</v>
      </c>
      <c r="Y4" s="4" t="s">
        <v>1270</v>
      </c>
      <c r="Z4" s="4" t="s">
        <v>29</v>
      </c>
      <c r="AA4" s="5" t="s">
        <v>1280</v>
      </c>
      <c r="AB4" s="5" t="s">
        <v>1281</v>
      </c>
      <c r="AC4" s="4" t="s">
        <v>1273</v>
      </c>
      <c r="AD4" s="3" t="s">
        <v>1274</v>
      </c>
      <c r="AE4" s="3" t="s">
        <v>1275</v>
      </c>
    </row>
    <row r="5" spans="1:31" ht="56">
      <c r="A5" s="4" t="s">
        <v>1282</v>
      </c>
      <c r="B5" s="4" t="s">
        <v>151</v>
      </c>
      <c r="C5" s="4" t="s">
        <v>1283</v>
      </c>
      <c r="D5" s="4" t="s">
        <v>1254</v>
      </c>
      <c r="E5" s="4" t="s">
        <v>1284</v>
      </c>
      <c r="F5" s="4" t="s">
        <v>1256</v>
      </c>
      <c r="G5" s="16">
        <v>25.109819000000002</v>
      </c>
      <c r="H5" s="16">
        <v>121.84341000000001</v>
      </c>
      <c r="I5" s="4">
        <v>5</v>
      </c>
      <c r="J5" s="4" t="s">
        <v>1257</v>
      </c>
      <c r="K5" s="3" t="s">
        <v>1285</v>
      </c>
      <c r="L5" s="3" t="s">
        <v>1286</v>
      </c>
      <c r="M5" s="3" t="s">
        <v>1260</v>
      </c>
      <c r="N5" s="4">
        <v>200</v>
      </c>
      <c r="O5" s="4" t="s">
        <v>1261</v>
      </c>
      <c r="P5" s="3" t="s">
        <v>1262</v>
      </c>
      <c r="Q5" s="3" t="s">
        <v>1263</v>
      </c>
      <c r="R5" s="3" t="s">
        <v>1264</v>
      </c>
      <c r="S5" s="4" t="s">
        <v>1265</v>
      </c>
      <c r="T5" s="4" t="s">
        <v>1266</v>
      </c>
      <c r="U5" s="4" t="s">
        <v>1267</v>
      </c>
      <c r="V5" s="4" t="s">
        <v>1268</v>
      </c>
      <c r="W5" s="4" t="s">
        <v>1269</v>
      </c>
      <c r="X5" s="27">
        <v>1.8</v>
      </c>
      <c r="Y5" s="4" t="s">
        <v>1270</v>
      </c>
      <c r="Z5" s="4" t="s">
        <v>29</v>
      </c>
      <c r="AA5" s="5" t="s">
        <v>1287</v>
      </c>
      <c r="AB5" s="5" t="s">
        <v>1288</v>
      </c>
      <c r="AC5" s="4" t="s">
        <v>1273</v>
      </c>
      <c r="AD5" s="3" t="s">
        <v>1274</v>
      </c>
      <c r="AE5" s="3" t="s">
        <v>1275</v>
      </c>
    </row>
    <row r="6" spans="1:31" ht="56">
      <c r="A6" s="4" t="s">
        <v>1289</v>
      </c>
      <c r="B6" s="4" t="s">
        <v>151</v>
      </c>
      <c r="C6" s="4" t="s">
        <v>1290</v>
      </c>
      <c r="D6" s="4" t="s">
        <v>1254</v>
      </c>
      <c r="E6" s="4" t="s">
        <v>1291</v>
      </c>
      <c r="F6" s="4" t="s">
        <v>1256</v>
      </c>
      <c r="G6" s="16">
        <v>25.171037999999999</v>
      </c>
      <c r="H6" s="16">
        <v>121.43895000000001</v>
      </c>
      <c r="I6" s="4">
        <v>5</v>
      </c>
      <c r="J6" s="4" t="s">
        <v>1257</v>
      </c>
      <c r="K6" s="3" t="s">
        <v>1292</v>
      </c>
      <c r="L6" s="3" t="s">
        <v>1293</v>
      </c>
      <c r="M6" s="3" t="s">
        <v>1260</v>
      </c>
      <c r="N6" s="4">
        <v>200</v>
      </c>
      <c r="O6" s="4" t="s">
        <v>1261</v>
      </c>
      <c r="P6" s="3" t="s">
        <v>1262</v>
      </c>
      <c r="Q6" s="3" t="s">
        <v>1263</v>
      </c>
      <c r="R6" s="3" t="s">
        <v>1264</v>
      </c>
      <c r="S6" s="4" t="s">
        <v>1265</v>
      </c>
      <c r="T6" s="4" t="s">
        <v>1266</v>
      </c>
      <c r="U6" s="4" t="s">
        <v>1267</v>
      </c>
      <c r="V6" s="4" t="s">
        <v>1268</v>
      </c>
      <c r="W6" s="4" t="s">
        <v>1269</v>
      </c>
      <c r="X6" s="27">
        <v>1.8</v>
      </c>
      <c r="Y6" s="4" t="s">
        <v>1270</v>
      </c>
      <c r="Z6" s="4" t="s">
        <v>29</v>
      </c>
      <c r="AA6" s="5" t="s">
        <v>1294</v>
      </c>
      <c r="AB6" s="5" t="s">
        <v>1295</v>
      </c>
      <c r="AC6" s="4" t="s">
        <v>1273</v>
      </c>
      <c r="AD6" s="3" t="s">
        <v>1274</v>
      </c>
      <c r="AE6" s="3" t="s">
        <v>1275</v>
      </c>
    </row>
    <row r="7" spans="1:31" ht="56">
      <c r="A7" s="4" t="s">
        <v>1296</v>
      </c>
      <c r="B7" s="4" t="s">
        <v>151</v>
      </c>
      <c r="C7" s="4" t="s">
        <v>223</v>
      </c>
      <c r="D7" s="4" t="s">
        <v>1254</v>
      </c>
      <c r="E7" s="4" t="s">
        <v>1297</v>
      </c>
      <c r="F7" s="4" t="s">
        <v>1256</v>
      </c>
      <c r="G7" s="16">
        <v>24.934515999999999</v>
      </c>
      <c r="H7" s="16">
        <v>121.37029</v>
      </c>
      <c r="I7" s="4">
        <v>5</v>
      </c>
      <c r="J7" s="4" t="s">
        <v>1257</v>
      </c>
      <c r="K7" s="3" t="s">
        <v>1298</v>
      </c>
      <c r="L7" s="3" t="s">
        <v>1299</v>
      </c>
      <c r="M7" s="3" t="s">
        <v>1260</v>
      </c>
      <c r="N7" s="4">
        <v>200</v>
      </c>
      <c r="O7" s="4" t="s">
        <v>1261</v>
      </c>
      <c r="P7" s="3" t="s">
        <v>1262</v>
      </c>
      <c r="Q7" s="3" t="s">
        <v>1263</v>
      </c>
      <c r="R7" s="3" t="s">
        <v>1264</v>
      </c>
      <c r="S7" s="4" t="s">
        <v>1265</v>
      </c>
      <c r="T7" s="4" t="s">
        <v>1266</v>
      </c>
      <c r="U7" s="4" t="s">
        <v>1267</v>
      </c>
      <c r="V7" s="4" t="s">
        <v>1268</v>
      </c>
      <c r="W7" s="4" t="s">
        <v>1269</v>
      </c>
      <c r="X7" s="27">
        <v>1.8</v>
      </c>
      <c r="Y7" s="4" t="s">
        <v>1270</v>
      </c>
      <c r="Z7" s="4" t="s">
        <v>29</v>
      </c>
      <c r="AA7" s="5" t="s">
        <v>1300</v>
      </c>
      <c r="AB7" s="5" t="s">
        <v>1301</v>
      </c>
      <c r="AC7" s="4" t="s">
        <v>1273</v>
      </c>
      <c r="AD7" s="3" t="s">
        <v>1274</v>
      </c>
      <c r="AE7" s="3" t="s">
        <v>1275</v>
      </c>
    </row>
    <row r="8" spans="1:31" ht="84">
      <c r="A8" s="4" t="s">
        <v>1302</v>
      </c>
      <c r="B8" s="4" t="s">
        <v>151</v>
      </c>
      <c r="C8" s="4" t="s">
        <v>1303</v>
      </c>
      <c r="D8" s="4" t="s">
        <v>1254</v>
      </c>
      <c r="E8" s="4" t="s">
        <v>1304</v>
      </c>
      <c r="F8" s="4" t="s">
        <v>1256</v>
      </c>
      <c r="G8" s="16">
        <v>25.221824000000002</v>
      </c>
      <c r="H8" s="16">
        <v>121.63826</v>
      </c>
      <c r="I8" s="4">
        <v>4</v>
      </c>
      <c r="J8" s="4" t="s">
        <v>1305</v>
      </c>
      <c r="K8" s="3" t="s">
        <v>1306</v>
      </c>
      <c r="L8" s="3" t="s">
        <v>1307</v>
      </c>
      <c r="M8" s="3" t="s">
        <v>1260</v>
      </c>
      <c r="N8" s="4">
        <v>200</v>
      </c>
      <c r="O8" s="4" t="s">
        <v>1261</v>
      </c>
      <c r="P8" s="3" t="s">
        <v>1262</v>
      </c>
      <c r="Q8" s="3" t="s">
        <v>1263</v>
      </c>
      <c r="R8" s="3" t="s">
        <v>1264</v>
      </c>
      <c r="S8" s="4" t="s">
        <v>1265</v>
      </c>
      <c r="T8" s="4" t="s">
        <v>1266</v>
      </c>
      <c r="U8" s="4" t="s">
        <v>1267</v>
      </c>
      <c r="V8" s="4" t="s">
        <v>1268</v>
      </c>
      <c r="W8" s="4" t="s">
        <v>1269</v>
      </c>
      <c r="X8" s="27">
        <v>1.8</v>
      </c>
      <c r="Y8" s="4" t="s">
        <v>1270</v>
      </c>
      <c r="Z8" s="4" t="s">
        <v>66</v>
      </c>
      <c r="AA8" s="5" t="s">
        <v>1308</v>
      </c>
      <c r="AB8" s="5" t="s">
        <v>1309</v>
      </c>
      <c r="AC8" s="4" t="s">
        <v>1273</v>
      </c>
      <c r="AD8" s="3" t="s">
        <v>1274</v>
      </c>
      <c r="AE8" s="3" t="s">
        <v>1275</v>
      </c>
    </row>
    <row r="9" spans="1:31" ht="56">
      <c r="A9" s="4" t="s">
        <v>1310</v>
      </c>
      <c r="B9" s="4" t="s">
        <v>151</v>
      </c>
      <c r="C9" s="4" t="s">
        <v>1311</v>
      </c>
      <c r="D9" s="4" t="s">
        <v>1254</v>
      </c>
      <c r="E9" s="4" t="s">
        <v>1312</v>
      </c>
      <c r="F9" s="4" t="s">
        <v>1256</v>
      </c>
      <c r="G9" s="16">
        <v>25.001691000000001</v>
      </c>
      <c r="H9" s="16">
        <v>121.61472999999999</v>
      </c>
      <c r="I9" s="4">
        <v>4</v>
      </c>
      <c r="J9" s="4" t="s">
        <v>1305</v>
      </c>
      <c r="K9" s="3" t="s">
        <v>1313</v>
      </c>
      <c r="L9" s="3" t="s">
        <v>1314</v>
      </c>
      <c r="M9" s="3" t="s">
        <v>1260</v>
      </c>
      <c r="N9" s="4">
        <v>200</v>
      </c>
      <c r="O9" s="4" t="s">
        <v>1261</v>
      </c>
      <c r="P9" s="3" t="s">
        <v>1262</v>
      </c>
      <c r="Q9" s="3" t="s">
        <v>1263</v>
      </c>
      <c r="R9" s="3" t="s">
        <v>1264</v>
      </c>
      <c r="S9" s="4" t="s">
        <v>1265</v>
      </c>
      <c r="T9" s="4" t="s">
        <v>1266</v>
      </c>
      <c r="U9" s="4" t="s">
        <v>1267</v>
      </c>
      <c r="V9" s="4" t="s">
        <v>1268</v>
      </c>
      <c r="W9" s="4" t="s">
        <v>1269</v>
      </c>
      <c r="X9" s="27">
        <v>1.8</v>
      </c>
      <c r="Y9" s="4" t="s">
        <v>1270</v>
      </c>
      <c r="Z9" s="4" t="s">
        <v>66</v>
      </c>
      <c r="AA9" s="5" t="s">
        <v>1315</v>
      </c>
      <c r="AB9" s="5" t="s">
        <v>1316</v>
      </c>
      <c r="AC9" s="4" t="s">
        <v>1273</v>
      </c>
      <c r="AD9" s="3" t="s">
        <v>1274</v>
      </c>
      <c r="AE9" s="3" t="s">
        <v>1275</v>
      </c>
    </row>
    <row r="10" spans="1:31" ht="56">
      <c r="A10" s="4" t="s">
        <v>1317</v>
      </c>
      <c r="B10" s="4" t="s">
        <v>281</v>
      </c>
      <c r="C10" s="4" t="s">
        <v>1318</v>
      </c>
      <c r="D10" s="4" t="s">
        <v>1254</v>
      </c>
      <c r="E10" s="4" t="s">
        <v>1319</v>
      </c>
      <c r="F10" s="4" t="s">
        <v>1256</v>
      </c>
      <c r="G10" s="16">
        <v>24.885186000000001</v>
      </c>
      <c r="H10" s="16">
        <v>121.28747</v>
      </c>
      <c r="I10" s="4">
        <v>5</v>
      </c>
      <c r="J10" s="4" t="s">
        <v>1257</v>
      </c>
      <c r="K10" s="3" t="s">
        <v>1320</v>
      </c>
      <c r="L10" s="3" t="s">
        <v>1321</v>
      </c>
      <c r="M10" s="3" t="s">
        <v>1260</v>
      </c>
      <c r="N10" s="4">
        <v>200</v>
      </c>
      <c r="O10" s="4" t="s">
        <v>1261</v>
      </c>
      <c r="P10" s="3" t="s">
        <v>1262</v>
      </c>
      <c r="Q10" s="3" t="s">
        <v>1263</v>
      </c>
      <c r="R10" s="3" t="s">
        <v>1264</v>
      </c>
      <c r="S10" s="4" t="s">
        <v>1265</v>
      </c>
      <c r="T10" s="4" t="s">
        <v>1266</v>
      </c>
      <c r="U10" s="4" t="s">
        <v>1267</v>
      </c>
      <c r="V10" s="4" t="s">
        <v>1268</v>
      </c>
      <c r="W10" s="4" t="s">
        <v>1269</v>
      </c>
      <c r="X10" s="27">
        <v>1.8</v>
      </c>
      <c r="Y10" s="4" t="s">
        <v>1270</v>
      </c>
      <c r="Z10" s="4" t="s">
        <v>29</v>
      </c>
      <c r="AA10" s="5" t="s">
        <v>1322</v>
      </c>
      <c r="AB10" s="5" t="s">
        <v>1323</v>
      </c>
      <c r="AC10" s="4" t="s">
        <v>1273</v>
      </c>
      <c r="AD10" s="3" t="s">
        <v>1274</v>
      </c>
      <c r="AE10" s="3" t="s">
        <v>1275</v>
      </c>
    </row>
    <row r="11" spans="1:31" ht="56">
      <c r="A11" s="4" t="s">
        <v>1324</v>
      </c>
      <c r="B11" s="4" t="s">
        <v>281</v>
      </c>
      <c r="C11" s="4" t="s">
        <v>331</v>
      </c>
      <c r="D11" s="4" t="s">
        <v>1254</v>
      </c>
      <c r="E11" s="4" t="s">
        <v>1325</v>
      </c>
      <c r="F11" s="4" t="s">
        <v>1256</v>
      </c>
      <c r="G11" s="16">
        <v>24.843865000000001</v>
      </c>
      <c r="H11" s="16">
        <v>121.24799</v>
      </c>
      <c r="I11" s="4">
        <v>4</v>
      </c>
      <c r="J11" s="4" t="s">
        <v>1305</v>
      </c>
      <c r="K11" s="3" t="s">
        <v>1326</v>
      </c>
      <c r="L11" s="3" t="s">
        <v>1327</v>
      </c>
      <c r="M11" s="3" t="s">
        <v>1260</v>
      </c>
      <c r="N11" s="4">
        <v>200</v>
      </c>
      <c r="O11" s="4" t="s">
        <v>1261</v>
      </c>
      <c r="P11" s="3" t="s">
        <v>1262</v>
      </c>
      <c r="Q11" s="3" t="s">
        <v>1263</v>
      </c>
      <c r="R11" s="3" t="s">
        <v>1264</v>
      </c>
      <c r="S11" s="4" t="s">
        <v>1265</v>
      </c>
      <c r="T11" s="4" t="s">
        <v>1266</v>
      </c>
      <c r="U11" s="4" t="s">
        <v>1267</v>
      </c>
      <c r="V11" s="4" t="s">
        <v>1268</v>
      </c>
      <c r="W11" s="4" t="s">
        <v>1269</v>
      </c>
      <c r="X11" s="27">
        <v>1.8</v>
      </c>
      <c r="Y11" s="4" t="s">
        <v>1270</v>
      </c>
      <c r="Z11" s="4" t="s">
        <v>66</v>
      </c>
      <c r="AA11" s="5" t="s">
        <v>1328</v>
      </c>
      <c r="AB11" s="5" t="s">
        <v>1329</v>
      </c>
      <c r="AC11" s="4" t="s">
        <v>1273</v>
      </c>
      <c r="AD11" s="3" t="s">
        <v>1274</v>
      </c>
      <c r="AE11" s="3" t="s">
        <v>1275</v>
      </c>
    </row>
    <row r="12" spans="1:31" ht="56">
      <c r="A12" s="4" t="s">
        <v>1330</v>
      </c>
      <c r="B12" s="4" t="s">
        <v>281</v>
      </c>
      <c r="C12" s="4" t="s">
        <v>350</v>
      </c>
      <c r="D12" s="4" t="s">
        <v>1254</v>
      </c>
      <c r="E12" s="4" t="s">
        <v>1331</v>
      </c>
      <c r="F12" s="4" t="s">
        <v>1256</v>
      </c>
      <c r="G12" s="16">
        <v>24.936328</v>
      </c>
      <c r="H12" s="16">
        <v>121.08243</v>
      </c>
      <c r="I12" s="4">
        <v>4</v>
      </c>
      <c r="J12" s="4" t="s">
        <v>1305</v>
      </c>
      <c r="K12" s="3" t="s">
        <v>1332</v>
      </c>
      <c r="L12" s="3" t="s">
        <v>1333</v>
      </c>
      <c r="M12" s="3" t="s">
        <v>1260</v>
      </c>
      <c r="N12" s="4">
        <v>200</v>
      </c>
      <c r="O12" s="4" t="s">
        <v>1261</v>
      </c>
      <c r="P12" s="3" t="s">
        <v>1262</v>
      </c>
      <c r="Q12" s="3" t="s">
        <v>1263</v>
      </c>
      <c r="R12" s="3" t="s">
        <v>1264</v>
      </c>
      <c r="S12" s="4" t="s">
        <v>1265</v>
      </c>
      <c r="T12" s="4" t="s">
        <v>1266</v>
      </c>
      <c r="U12" s="4" t="s">
        <v>1267</v>
      </c>
      <c r="V12" s="4" t="s">
        <v>1268</v>
      </c>
      <c r="W12" s="4" t="s">
        <v>1269</v>
      </c>
      <c r="X12" s="27">
        <v>1.8</v>
      </c>
      <c r="Y12" s="4" t="s">
        <v>1270</v>
      </c>
      <c r="Z12" s="4" t="s">
        <v>66</v>
      </c>
      <c r="AA12" s="5" t="s">
        <v>1334</v>
      </c>
      <c r="AB12" s="5" t="s">
        <v>1335</v>
      </c>
      <c r="AC12" s="4" t="s">
        <v>1273</v>
      </c>
      <c r="AD12" s="3" t="s">
        <v>1274</v>
      </c>
      <c r="AE12" s="3" t="s">
        <v>1275</v>
      </c>
    </row>
    <row r="13" spans="1:31" ht="56">
      <c r="A13" s="4" t="s">
        <v>1336</v>
      </c>
      <c r="B13" s="4" t="s">
        <v>400</v>
      </c>
      <c r="C13" s="4" t="s">
        <v>1337</v>
      </c>
      <c r="D13" s="4" t="s">
        <v>1254</v>
      </c>
      <c r="E13" s="4" t="s">
        <v>1338</v>
      </c>
      <c r="F13" s="4" t="s">
        <v>1256</v>
      </c>
      <c r="G13" s="16">
        <v>24.699815999999998</v>
      </c>
      <c r="H13" s="16">
        <v>121.05722</v>
      </c>
      <c r="I13" s="4">
        <v>5</v>
      </c>
      <c r="J13" s="4" t="s">
        <v>1257</v>
      </c>
      <c r="K13" s="3" t="s">
        <v>1339</v>
      </c>
      <c r="L13" s="3" t="s">
        <v>1340</v>
      </c>
      <c r="M13" s="3" t="s">
        <v>1260</v>
      </c>
      <c r="N13" s="4">
        <v>200</v>
      </c>
      <c r="O13" s="4" t="s">
        <v>1261</v>
      </c>
      <c r="P13" s="3" t="s">
        <v>1262</v>
      </c>
      <c r="Q13" s="3" t="s">
        <v>1263</v>
      </c>
      <c r="R13" s="3" t="s">
        <v>1264</v>
      </c>
      <c r="S13" s="4" t="s">
        <v>1265</v>
      </c>
      <c r="T13" s="4" t="s">
        <v>1266</v>
      </c>
      <c r="U13" s="4" t="s">
        <v>1267</v>
      </c>
      <c r="V13" s="4" t="s">
        <v>1268</v>
      </c>
      <c r="W13" s="4" t="s">
        <v>1269</v>
      </c>
      <c r="X13" s="27">
        <v>1.8</v>
      </c>
      <c r="Y13" s="4" t="s">
        <v>1270</v>
      </c>
      <c r="Z13" s="4" t="s">
        <v>29</v>
      </c>
      <c r="AA13" s="5" t="s">
        <v>1341</v>
      </c>
      <c r="AB13" s="5" t="s">
        <v>1342</v>
      </c>
      <c r="AC13" s="4" t="s">
        <v>1273</v>
      </c>
      <c r="AD13" s="3" t="s">
        <v>1274</v>
      </c>
      <c r="AE13" s="3" t="s">
        <v>1275</v>
      </c>
    </row>
    <row r="14" spans="1:31" ht="56">
      <c r="A14" s="4" t="s">
        <v>1343</v>
      </c>
      <c r="B14" s="4" t="s">
        <v>400</v>
      </c>
      <c r="C14" s="4" t="s">
        <v>431</v>
      </c>
      <c r="D14" s="4" t="s">
        <v>1254</v>
      </c>
      <c r="E14" s="4" t="s">
        <v>1344</v>
      </c>
      <c r="F14" s="4" t="s">
        <v>1256</v>
      </c>
      <c r="G14" s="16">
        <v>24.876871999999999</v>
      </c>
      <c r="H14" s="16">
        <v>121.05513999999999</v>
      </c>
      <c r="I14" s="4">
        <v>4</v>
      </c>
      <c r="J14" s="4" t="s">
        <v>1305</v>
      </c>
      <c r="K14" s="3" t="s">
        <v>1345</v>
      </c>
      <c r="L14" s="3" t="s">
        <v>1346</v>
      </c>
      <c r="M14" s="3" t="s">
        <v>1260</v>
      </c>
      <c r="N14" s="4">
        <v>200</v>
      </c>
      <c r="O14" s="4" t="s">
        <v>1261</v>
      </c>
      <c r="P14" s="3" t="s">
        <v>1262</v>
      </c>
      <c r="Q14" s="3" t="s">
        <v>1263</v>
      </c>
      <c r="R14" s="3" t="s">
        <v>1264</v>
      </c>
      <c r="S14" s="4" t="s">
        <v>1265</v>
      </c>
      <c r="T14" s="4" t="s">
        <v>1266</v>
      </c>
      <c r="U14" s="4" t="s">
        <v>1267</v>
      </c>
      <c r="V14" s="4" t="s">
        <v>1268</v>
      </c>
      <c r="W14" s="4" t="s">
        <v>1269</v>
      </c>
      <c r="X14" s="27">
        <v>1.8</v>
      </c>
      <c r="Y14" s="4" t="s">
        <v>1270</v>
      </c>
      <c r="Z14" s="4" t="s">
        <v>66</v>
      </c>
      <c r="AA14" s="5" t="s">
        <v>1347</v>
      </c>
      <c r="AB14" s="5" t="s">
        <v>1348</v>
      </c>
      <c r="AC14" s="4" t="s">
        <v>1273</v>
      </c>
      <c r="AD14" s="3" t="s">
        <v>1274</v>
      </c>
      <c r="AE14" s="3" t="s">
        <v>1275</v>
      </c>
    </row>
    <row r="15" spans="1:31" ht="56">
      <c r="A15" s="4" t="s">
        <v>1349</v>
      </c>
      <c r="B15" s="4" t="s">
        <v>400</v>
      </c>
      <c r="C15" s="4" t="s">
        <v>1350</v>
      </c>
      <c r="D15" s="4" t="s">
        <v>1254</v>
      </c>
      <c r="E15" s="4" t="s">
        <v>1351</v>
      </c>
      <c r="F15" s="4" t="s">
        <v>1256</v>
      </c>
      <c r="G15" s="16">
        <v>24.827883</v>
      </c>
      <c r="H15" s="16">
        <v>121.07114</v>
      </c>
      <c r="I15" s="4">
        <v>4</v>
      </c>
      <c r="J15" s="4" t="s">
        <v>1305</v>
      </c>
      <c r="K15" s="3" t="s">
        <v>1352</v>
      </c>
      <c r="L15" s="3" t="s">
        <v>1353</v>
      </c>
      <c r="M15" s="3" t="s">
        <v>1260</v>
      </c>
      <c r="N15" s="4">
        <v>200</v>
      </c>
      <c r="O15" s="4" t="s">
        <v>1261</v>
      </c>
      <c r="P15" s="3" t="s">
        <v>1262</v>
      </c>
      <c r="Q15" s="3" t="s">
        <v>1263</v>
      </c>
      <c r="R15" s="3" t="s">
        <v>1264</v>
      </c>
      <c r="S15" s="4" t="s">
        <v>1265</v>
      </c>
      <c r="T15" s="4" t="s">
        <v>1266</v>
      </c>
      <c r="U15" s="4" t="s">
        <v>1267</v>
      </c>
      <c r="V15" s="4" t="s">
        <v>1268</v>
      </c>
      <c r="W15" s="4" t="s">
        <v>1269</v>
      </c>
      <c r="X15" s="27">
        <v>1.8</v>
      </c>
      <c r="Y15" s="4" t="s">
        <v>1270</v>
      </c>
      <c r="Z15" s="4" t="s">
        <v>66</v>
      </c>
      <c r="AA15" s="5" t="s">
        <v>1354</v>
      </c>
      <c r="AB15" s="5" t="s">
        <v>1355</v>
      </c>
      <c r="AC15" s="4" t="s">
        <v>1273</v>
      </c>
      <c r="AD15" s="3" t="s">
        <v>1274</v>
      </c>
      <c r="AE15" s="3" t="s">
        <v>1275</v>
      </c>
    </row>
    <row r="16" spans="1:31" ht="56">
      <c r="A16" s="4" t="s">
        <v>1356</v>
      </c>
      <c r="B16" s="4" t="s">
        <v>355</v>
      </c>
      <c r="C16" s="4" t="s">
        <v>356</v>
      </c>
      <c r="D16" s="4" t="s">
        <v>1254</v>
      </c>
      <c r="E16" s="4" t="s">
        <v>1357</v>
      </c>
      <c r="F16" s="4" t="s">
        <v>1256</v>
      </c>
      <c r="G16" s="16">
        <v>24.80416</v>
      </c>
      <c r="H16" s="16">
        <v>120.97024</v>
      </c>
      <c r="I16" s="4">
        <v>4</v>
      </c>
      <c r="J16" s="4" t="s">
        <v>1305</v>
      </c>
      <c r="K16" s="3" t="s">
        <v>1358</v>
      </c>
      <c r="L16" s="3" t="s">
        <v>1359</v>
      </c>
      <c r="M16" s="3" t="s">
        <v>1260</v>
      </c>
      <c r="N16" s="4">
        <v>120</v>
      </c>
      <c r="O16" s="4" t="s">
        <v>1360</v>
      </c>
      <c r="P16" s="3" t="s">
        <v>1361</v>
      </c>
      <c r="Q16" s="3" t="s">
        <v>1263</v>
      </c>
      <c r="R16" s="3" t="s">
        <v>1264</v>
      </c>
      <c r="S16" s="4" t="s">
        <v>1265</v>
      </c>
      <c r="T16" s="4" t="s">
        <v>1266</v>
      </c>
      <c r="U16" s="4" t="s">
        <v>1267</v>
      </c>
      <c r="V16" s="4" t="s">
        <v>1268</v>
      </c>
      <c r="W16" s="4" t="s">
        <v>1269</v>
      </c>
      <c r="X16" s="27">
        <v>1.8</v>
      </c>
      <c r="Y16" s="4" t="s">
        <v>1270</v>
      </c>
      <c r="Z16" s="4" t="s">
        <v>66</v>
      </c>
      <c r="AA16" s="5" t="s">
        <v>1362</v>
      </c>
      <c r="AB16" s="5" t="s">
        <v>1363</v>
      </c>
      <c r="AC16" s="4" t="s">
        <v>1364</v>
      </c>
      <c r="AD16" s="3" t="s">
        <v>1274</v>
      </c>
      <c r="AE16" s="3" t="s">
        <v>1275</v>
      </c>
    </row>
    <row r="17" spans="1:31" ht="56">
      <c r="A17" s="4" t="s">
        <v>1365</v>
      </c>
      <c r="B17" s="4" t="s">
        <v>436</v>
      </c>
      <c r="C17" s="4" t="s">
        <v>1366</v>
      </c>
      <c r="D17" s="4" t="s">
        <v>1254</v>
      </c>
      <c r="E17" s="4" t="s">
        <v>1367</v>
      </c>
      <c r="F17" s="4" t="s">
        <v>1256</v>
      </c>
      <c r="G17" s="16">
        <v>24.599318</v>
      </c>
      <c r="H17" s="16">
        <v>120.99928</v>
      </c>
      <c r="I17" s="4">
        <v>5</v>
      </c>
      <c r="J17" s="4" t="s">
        <v>1257</v>
      </c>
      <c r="K17" s="3" t="s">
        <v>1368</v>
      </c>
      <c r="L17" s="3" t="s">
        <v>1369</v>
      </c>
      <c r="M17" s="3" t="s">
        <v>1260</v>
      </c>
      <c r="N17" s="4">
        <v>200</v>
      </c>
      <c r="O17" s="4" t="s">
        <v>1261</v>
      </c>
      <c r="P17" s="3" t="s">
        <v>1262</v>
      </c>
      <c r="Q17" s="3" t="s">
        <v>1263</v>
      </c>
      <c r="R17" s="3" t="s">
        <v>1264</v>
      </c>
      <c r="S17" s="4" t="s">
        <v>1265</v>
      </c>
      <c r="T17" s="4" t="s">
        <v>1266</v>
      </c>
      <c r="U17" s="4" t="s">
        <v>1267</v>
      </c>
      <c r="V17" s="4" t="s">
        <v>1268</v>
      </c>
      <c r="W17" s="4" t="s">
        <v>1269</v>
      </c>
      <c r="X17" s="27">
        <v>1.8</v>
      </c>
      <c r="Y17" s="4" t="s">
        <v>1270</v>
      </c>
      <c r="Z17" s="4" t="s">
        <v>29</v>
      </c>
      <c r="AA17" s="5" t="s">
        <v>1370</v>
      </c>
      <c r="AB17" s="5" t="s">
        <v>1371</v>
      </c>
      <c r="AC17" s="4" t="s">
        <v>1273</v>
      </c>
      <c r="AD17" s="3" t="s">
        <v>1274</v>
      </c>
      <c r="AE17" s="3" t="s">
        <v>1275</v>
      </c>
    </row>
    <row r="18" spans="1:31" ht="56">
      <c r="A18" s="4" t="s">
        <v>1372</v>
      </c>
      <c r="B18" s="4" t="s">
        <v>436</v>
      </c>
      <c r="C18" s="4" t="s">
        <v>1373</v>
      </c>
      <c r="D18" s="4" t="s">
        <v>1254</v>
      </c>
      <c r="E18" s="4" t="s">
        <v>1374</v>
      </c>
      <c r="F18" s="4" t="s">
        <v>1256</v>
      </c>
      <c r="G18" s="16">
        <v>24.457698000000001</v>
      </c>
      <c r="H18" s="16">
        <v>120.87562</v>
      </c>
      <c r="I18" s="4">
        <v>4</v>
      </c>
      <c r="J18" s="4" t="s">
        <v>1305</v>
      </c>
      <c r="K18" s="3" t="s">
        <v>1375</v>
      </c>
      <c r="L18" s="3" t="s">
        <v>1376</v>
      </c>
      <c r="M18" s="3" t="s">
        <v>1260</v>
      </c>
      <c r="N18" s="4">
        <v>200</v>
      </c>
      <c r="O18" s="4" t="s">
        <v>1261</v>
      </c>
      <c r="P18" s="3" t="s">
        <v>1262</v>
      </c>
      <c r="Q18" s="3" t="s">
        <v>1263</v>
      </c>
      <c r="R18" s="3" t="s">
        <v>1264</v>
      </c>
      <c r="S18" s="4" t="s">
        <v>1265</v>
      </c>
      <c r="T18" s="4" t="s">
        <v>1266</v>
      </c>
      <c r="U18" s="4" t="s">
        <v>1267</v>
      </c>
      <c r="V18" s="4" t="s">
        <v>1268</v>
      </c>
      <c r="W18" s="4" t="s">
        <v>1269</v>
      </c>
      <c r="X18" s="27">
        <v>1.8</v>
      </c>
      <c r="Y18" s="4" t="s">
        <v>1270</v>
      </c>
      <c r="Z18" s="4" t="s">
        <v>66</v>
      </c>
      <c r="AA18" s="5" t="s">
        <v>1377</v>
      </c>
      <c r="AB18" s="5" t="s">
        <v>1378</v>
      </c>
      <c r="AC18" s="4" t="s">
        <v>1273</v>
      </c>
      <c r="AD18" s="3" t="s">
        <v>1274</v>
      </c>
      <c r="AE18" s="3" t="s">
        <v>1275</v>
      </c>
    </row>
    <row r="19" spans="1:31" ht="56">
      <c r="A19" s="4" t="s">
        <v>1379</v>
      </c>
      <c r="B19" s="4" t="s">
        <v>559</v>
      </c>
      <c r="C19" s="4" t="s">
        <v>588</v>
      </c>
      <c r="D19" s="4" t="s">
        <v>1254</v>
      </c>
      <c r="E19" s="4" t="s">
        <v>1380</v>
      </c>
      <c r="F19" s="4" t="s">
        <v>1256</v>
      </c>
      <c r="G19" s="16">
        <v>24.055906</v>
      </c>
      <c r="H19" s="16">
        <v>120.43289</v>
      </c>
      <c r="I19" s="4">
        <v>5</v>
      </c>
      <c r="J19" s="4" t="s">
        <v>1257</v>
      </c>
      <c r="K19" s="3" t="s">
        <v>1381</v>
      </c>
      <c r="L19" s="3" t="s">
        <v>1382</v>
      </c>
      <c r="M19" s="3" t="s">
        <v>1260</v>
      </c>
      <c r="N19" s="4">
        <v>200</v>
      </c>
      <c r="O19" s="4" t="s">
        <v>1261</v>
      </c>
      <c r="P19" s="3" t="s">
        <v>1262</v>
      </c>
      <c r="Q19" s="3" t="s">
        <v>1263</v>
      </c>
      <c r="R19" s="3" t="s">
        <v>1264</v>
      </c>
      <c r="S19" s="4" t="s">
        <v>1265</v>
      </c>
      <c r="T19" s="4" t="s">
        <v>1266</v>
      </c>
      <c r="U19" s="4" t="s">
        <v>1267</v>
      </c>
      <c r="V19" s="4" t="s">
        <v>1268</v>
      </c>
      <c r="W19" s="4" t="s">
        <v>1269</v>
      </c>
      <c r="X19" s="27">
        <v>1.8</v>
      </c>
      <c r="Y19" s="4" t="s">
        <v>1270</v>
      </c>
      <c r="Z19" s="4" t="s">
        <v>29</v>
      </c>
      <c r="AA19" s="5" t="s">
        <v>1383</v>
      </c>
      <c r="AB19" s="5" t="s">
        <v>1384</v>
      </c>
      <c r="AC19" s="4" t="s">
        <v>1273</v>
      </c>
      <c r="AD19" s="3" t="s">
        <v>1274</v>
      </c>
      <c r="AE19" s="3" t="s">
        <v>1275</v>
      </c>
    </row>
    <row r="20" spans="1:31" ht="56">
      <c r="A20" s="4" t="s">
        <v>1385</v>
      </c>
      <c r="B20" s="4" t="s">
        <v>643</v>
      </c>
      <c r="C20" s="4" t="s">
        <v>644</v>
      </c>
      <c r="D20" s="4" t="s">
        <v>1254</v>
      </c>
      <c r="E20" s="4" t="s">
        <v>1386</v>
      </c>
      <c r="F20" s="4" t="s">
        <v>1256</v>
      </c>
      <c r="G20" s="16">
        <v>23.708506</v>
      </c>
      <c r="H20" s="16">
        <v>120.54183</v>
      </c>
      <c r="I20" s="4">
        <v>4</v>
      </c>
      <c r="J20" s="4" t="s">
        <v>1305</v>
      </c>
      <c r="K20" s="3" t="s">
        <v>1387</v>
      </c>
      <c r="L20" s="3" t="s">
        <v>1388</v>
      </c>
      <c r="M20" s="3" t="s">
        <v>1260</v>
      </c>
      <c r="N20" s="4">
        <v>200</v>
      </c>
      <c r="O20" s="4" t="s">
        <v>1261</v>
      </c>
      <c r="P20" s="3" t="s">
        <v>1262</v>
      </c>
      <c r="Q20" s="3" t="s">
        <v>1263</v>
      </c>
      <c r="R20" s="3" t="s">
        <v>1264</v>
      </c>
      <c r="S20" s="4" t="s">
        <v>1265</v>
      </c>
      <c r="T20" s="4" t="s">
        <v>1266</v>
      </c>
      <c r="U20" s="4" t="s">
        <v>1267</v>
      </c>
      <c r="V20" s="4" t="s">
        <v>1268</v>
      </c>
      <c r="W20" s="4" t="s">
        <v>1269</v>
      </c>
      <c r="X20" s="27">
        <v>1.8</v>
      </c>
      <c r="Y20" s="4" t="s">
        <v>1270</v>
      </c>
      <c r="Z20" s="4" t="s">
        <v>66</v>
      </c>
      <c r="AA20" s="5" t="s">
        <v>1389</v>
      </c>
      <c r="AB20" s="5" t="s">
        <v>1390</v>
      </c>
      <c r="AC20" s="4" t="s">
        <v>1273</v>
      </c>
      <c r="AD20" s="3" t="s">
        <v>1274</v>
      </c>
      <c r="AE20" s="3" t="s">
        <v>1275</v>
      </c>
    </row>
    <row r="21" spans="1:31" ht="70">
      <c r="A21" s="4" t="s">
        <v>1391</v>
      </c>
      <c r="B21" s="4" t="s">
        <v>685</v>
      </c>
      <c r="C21" s="4" t="s">
        <v>356</v>
      </c>
      <c r="D21" s="4" t="s">
        <v>1254</v>
      </c>
      <c r="E21" s="4" t="s">
        <v>1392</v>
      </c>
      <c r="F21" s="4" t="s">
        <v>1256</v>
      </c>
      <c r="G21" s="16">
        <v>23.479481</v>
      </c>
      <c r="H21" s="16">
        <v>120.44969</v>
      </c>
      <c r="I21" s="4">
        <v>4</v>
      </c>
      <c r="J21" s="4" t="s">
        <v>1305</v>
      </c>
      <c r="K21" s="3" t="s">
        <v>1393</v>
      </c>
      <c r="L21" s="3" t="s">
        <v>1394</v>
      </c>
      <c r="M21" s="3" t="s">
        <v>1260</v>
      </c>
      <c r="N21" s="4">
        <v>200</v>
      </c>
      <c r="O21" s="4" t="s">
        <v>1261</v>
      </c>
      <c r="P21" s="3" t="s">
        <v>1262</v>
      </c>
      <c r="Q21" s="3" t="s">
        <v>1263</v>
      </c>
      <c r="R21" s="3" t="s">
        <v>1264</v>
      </c>
      <c r="S21" s="4" t="s">
        <v>1265</v>
      </c>
      <c r="T21" s="4" t="s">
        <v>1266</v>
      </c>
      <c r="U21" s="4" t="s">
        <v>1267</v>
      </c>
      <c r="V21" s="4" t="s">
        <v>1268</v>
      </c>
      <c r="W21" s="4" t="s">
        <v>1269</v>
      </c>
      <c r="X21" s="27">
        <v>1.8</v>
      </c>
      <c r="Y21" s="4" t="s">
        <v>1270</v>
      </c>
      <c r="Z21" s="4" t="s">
        <v>66</v>
      </c>
      <c r="AA21" s="5" t="s">
        <v>1395</v>
      </c>
      <c r="AB21" s="5" t="s">
        <v>1396</v>
      </c>
      <c r="AC21" s="4" t="s">
        <v>1273</v>
      </c>
      <c r="AD21" s="3" t="s">
        <v>1274</v>
      </c>
      <c r="AE21" s="3" t="s">
        <v>1275</v>
      </c>
    </row>
    <row r="22" spans="1:31" ht="70">
      <c r="A22" s="4" t="s">
        <v>1397</v>
      </c>
      <c r="B22" s="4" t="s">
        <v>750</v>
      </c>
      <c r="C22" s="4" t="s">
        <v>765</v>
      </c>
      <c r="D22" s="4" t="s">
        <v>1254</v>
      </c>
      <c r="E22" s="4" t="s">
        <v>1398</v>
      </c>
      <c r="F22" s="4" t="s">
        <v>1256</v>
      </c>
      <c r="G22" s="16">
        <v>23.001508999999999</v>
      </c>
      <c r="H22" s="16">
        <v>120.16061999999999</v>
      </c>
      <c r="I22" s="4">
        <v>5</v>
      </c>
      <c r="J22" s="4" t="s">
        <v>1257</v>
      </c>
      <c r="K22" s="3" t="s">
        <v>1399</v>
      </c>
      <c r="L22" s="3" t="s">
        <v>1400</v>
      </c>
      <c r="M22" s="3" t="s">
        <v>1260</v>
      </c>
      <c r="N22" s="4">
        <v>200</v>
      </c>
      <c r="O22" s="4" t="s">
        <v>1261</v>
      </c>
      <c r="P22" s="3" t="s">
        <v>1262</v>
      </c>
      <c r="Q22" s="3" t="s">
        <v>1263</v>
      </c>
      <c r="R22" s="3" t="s">
        <v>1264</v>
      </c>
      <c r="S22" s="4" t="s">
        <v>1265</v>
      </c>
      <c r="T22" s="4" t="s">
        <v>1266</v>
      </c>
      <c r="U22" s="4" t="s">
        <v>1267</v>
      </c>
      <c r="V22" s="4" t="s">
        <v>1268</v>
      </c>
      <c r="W22" s="4" t="s">
        <v>1269</v>
      </c>
      <c r="X22" s="27">
        <v>1.8</v>
      </c>
      <c r="Y22" s="4" t="s">
        <v>1270</v>
      </c>
      <c r="Z22" s="4" t="s">
        <v>29</v>
      </c>
      <c r="AA22" s="5" t="s">
        <v>1401</v>
      </c>
      <c r="AB22" s="5" t="s">
        <v>1402</v>
      </c>
      <c r="AC22" s="4" t="s">
        <v>1273</v>
      </c>
      <c r="AD22" s="3" t="s">
        <v>1274</v>
      </c>
      <c r="AE22" s="3" t="s">
        <v>1275</v>
      </c>
    </row>
    <row r="23" spans="1:31" ht="70">
      <c r="A23" s="4" t="s">
        <v>1403</v>
      </c>
      <c r="B23" s="4" t="s">
        <v>750</v>
      </c>
      <c r="C23" s="4" t="s">
        <v>751</v>
      </c>
      <c r="D23" s="4" t="s">
        <v>1254</v>
      </c>
      <c r="E23" s="4" t="s">
        <v>1404</v>
      </c>
      <c r="F23" s="4" t="s">
        <v>1256</v>
      </c>
      <c r="G23" s="16">
        <v>22.997478000000001</v>
      </c>
      <c r="H23" s="16">
        <v>120.20254</v>
      </c>
      <c r="I23" s="4">
        <v>4</v>
      </c>
      <c r="J23" s="4" t="s">
        <v>1305</v>
      </c>
      <c r="K23" s="3" t="s">
        <v>1405</v>
      </c>
      <c r="L23" s="3" t="s">
        <v>1406</v>
      </c>
      <c r="M23" s="3" t="s">
        <v>1260</v>
      </c>
      <c r="N23" s="4">
        <v>200</v>
      </c>
      <c r="O23" s="4" t="s">
        <v>1261</v>
      </c>
      <c r="P23" s="3" t="s">
        <v>1262</v>
      </c>
      <c r="Q23" s="3" t="s">
        <v>1263</v>
      </c>
      <c r="R23" s="3" t="s">
        <v>1264</v>
      </c>
      <c r="S23" s="4" t="s">
        <v>1265</v>
      </c>
      <c r="T23" s="4" t="s">
        <v>1266</v>
      </c>
      <c r="U23" s="4" t="s">
        <v>1267</v>
      </c>
      <c r="V23" s="4" t="s">
        <v>1268</v>
      </c>
      <c r="W23" s="4" t="s">
        <v>1269</v>
      </c>
      <c r="X23" s="27">
        <v>1.8</v>
      </c>
      <c r="Y23" s="4" t="s">
        <v>1270</v>
      </c>
      <c r="Z23" s="4" t="s">
        <v>66</v>
      </c>
      <c r="AA23" s="5" t="s">
        <v>1407</v>
      </c>
      <c r="AB23" s="5" t="s">
        <v>1408</v>
      </c>
      <c r="AC23" s="4" t="s">
        <v>1273</v>
      </c>
      <c r="AD23" s="3" t="s">
        <v>1274</v>
      </c>
      <c r="AE23" s="3" t="s">
        <v>1275</v>
      </c>
    </row>
    <row r="24" spans="1:31" ht="56">
      <c r="A24" s="4" t="s">
        <v>1409</v>
      </c>
      <c r="B24" s="4" t="s">
        <v>914</v>
      </c>
      <c r="C24" s="4" t="s">
        <v>943</v>
      </c>
      <c r="D24" s="4" t="s">
        <v>1254</v>
      </c>
      <c r="E24" s="4" t="s">
        <v>1410</v>
      </c>
      <c r="F24" s="4" t="s">
        <v>1256</v>
      </c>
      <c r="G24" s="16">
        <v>22.000859999999999</v>
      </c>
      <c r="H24" s="16">
        <v>120.74478000000001</v>
      </c>
      <c r="I24" s="4">
        <v>5</v>
      </c>
      <c r="J24" s="4" t="s">
        <v>1257</v>
      </c>
      <c r="K24" s="3" t="s">
        <v>1411</v>
      </c>
      <c r="L24" s="3" t="s">
        <v>1412</v>
      </c>
      <c r="M24" s="3" t="s">
        <v>1260</v>
      </c>
      <c r="N24" s="4">
        <v>200</v>
      </c>
      <c r="O24" s="4" t="s">
        <v>1261</v>
      </c>
      <c r="P24" s="3" t="s">
        <v>1262</v>
      </c>
      <c r="Q24" s="3" t="s">
        <v>1263</v>
      </c>
      <c r="R24" s="3" t="s">
        <v>1264</v>
      </c>
      <c r="S24" s="4" t="s">
        <v>1265</v>
      </c>
      <c r="T24" s="4" t="s">
        <v>1266</v>
      </c>
      <c r="U24" s="4" t="s">
        <v>1267</v>
      </c>
      <c r="V24" s="4" t="s">
        <v>1268</v>
      </c>
      <c r="W24" s="4" t="s">
        <v>1269</v>
      </c>
      <c r="X24" s="27">
        <v>1.8</v>
      </c>
      <c r="Y24" s="4" t="s">
        <v>1270</v>
      </c>
      <c r="Z24" s="4" t="s">
        <v>29</v>
      </c>
      <c r="AA24" s="5" t="s">
        <v>1413</v>
      </c>
      <c r="AB24" s="5" t="s">
        <v>1414</v>
      </c>
      <c r="AC24" s="4" t="s">
        <v>1273</v>
      </c>
      <c r="AD24" s="3" t="s">
        <v>1274</v>
      </c>
      <c r="AE24" s="3" t="s">
        <v>1275</v>
      </c>
    </row>
    <row r="25" spans="1:31" ht="56">
      <c r="A25" s="4" t="s">
        <v>1415</v>
      </c>
      <c r="B25" s="4" t="s">
        <v>1087</v>
      </c>
      <c r="C25" s="4" t="s">
        <v>1088</v>
      </c>
      <c r="D25" s="4" t="s">
        <v>1254</v>
      </c>
      <c r="E25" s="4" t="s">
        <v>1416</v>
      </c>
      <c r="F25" s="4" t="s">
        <v>1256</v>
      </c>
      <c r="G25" s="16">
        <v>23.564864</v>
      </c>
      <c r="H25" s="16">
        <v>119.56487</v>
      </c>
      <c r="I25" s="4">
        <v>5</v>
      </c>
      <c r="J25" s="4" t="s">
        <v>1257</v>
      </c>
      <c r="K25" s="3" t="s">
        <v>1417</v>
      </c>
      <c r="L25" s="3" t="s">
        <v>1418</v>
      </c>
      <c r="M25" s="3" t="s">
        <v>1260</v>
      </c>
      <c r="N25" s="4">
        <v>200</v>
      </c>
      <c r="O25" s="4" t="s">
        <v>1261</v>
      </c>
      <c r="P25" s="3" t="s">
        <v>1262</v>
      </c>
      <c r="Q25" s="3" t="s">
        <v>1263</v>
      </c>
      <c r="R25" s="3" t="s">
        <v>1264</v>
      </c>
      <c r="S25" s="4" t="s">
        <v>1265</v>
      </c>
      <c r="T25" s="4" t="s">
        <v>1266</v>
      </c>
      <c r="U25" s="4" t="s">
        <v>1267</v>
      </c>
      <c r="V25" s="4" t="s">
        <v>1268</v>
      </c>
      <c r="W25" s="4" t="s">
        <v>1269</v>
      </c>
      <c r="X25" s="27">
        <v>1.8</v>
      </c>
      <c r="Y25" s="4" t="s">
        <v>1270</v>
      </c>
      <c r="Z25" s="4" t="s">
        <v>29</v>
      </c>
      <c r="AA25" s="5" t="s">
        <v>1419</v>
      </c>
      <c r="AB25" s="5" t="s">
        <v>1420</v>
      </c>
      <c r="AC25" s="4" t="s">
        <v>1273</v>
      </c>
      <c r="AD25" s="3" t="s">
        <v>1274</v>
      </c>
      <c r="AE25" s="3" t="s">
        <v>1275</v>
      </c>
    </row>
    <row r="26" spans="1:31" ht="70">
      <c r="A26" s="4" t="s">
        <v>1421</v>
      </c>
      <c r="B26" s="4" t="s">
        <v>1120</v>
      </c>
      <c r="C26" s="4" t="s">
        <v>1121</v>
      </c>
      <c r="D26" s="4" t="s">
        <v>1254</v>
      </c>
      <c r="E26" s="4" t="s">
        <v>1422</v>
      </c>
      <c r="F26" s="4" t="s">
        <v>1256</v>
      </c>
      <c r="G26" s="16">
        <v>24.433119000000001</v>
      </c>
      <c r="H26" s="16">
        <v>118.32016</v>
      </c>
      <c r="I26" s="4">
        <v>5</v>
      </c>
      <c r="J26" s="4" t="s">
        <v>1257</v>
      </c>
      <c r="K26" s="3" t="s">
        <v>1423</v>
      </c>
      <c r="L26" s="3" t="s">
        <v>1424</v>
      </c>
      <c r="M26" s="3" t="s">
        <v>1260</v>
      </c>
      <c r="N26" s="4">
        <v>200</v>
      </c>
      <c r="O26" s="4" t="s">
        <v>1261</v>
      </c>
      <c r="P26" s="3" t="s">
        <v>1262</v>
      </c>
      <c r="Q26" s="3" t="s">
        <v>1263</v>
      </c>
      <c r="R26" s="3" t="s">
        <v>1264</v>
      </c>
      <c r="S26" s="4" t="s">
        <v>1265</v>
      </c>
      <c r="T26" s="4" t="s">
        <v>1266</v>
      </c>
      <c r="U26" s="4" t="s">
        <v>1267</v>
      </c>
      <c r="V26" s="4" t="s">
        <v>1268</v>
      </c>
      <c r="W26" s="4" t="s">
        <v>1269</v>
      </c>
      <c r="X26" s="27">
        <v>1.8</v>
      </c>
      <c r="Y26" s="4" t="s">
        <v>1270</v>
      </c>
      <c r="Z26" s="4" t="s">
        <v>29</v>
      </c>
      <c r="AA26" s="5" t="s">
        <v>1425</v>
      </c>
      <c r="AB26" s="5" t="s">
        <v>1426</v>
      </c>
      <c r="AC26" s="4" t="s">
        <v>1273</v>
      </c>
      <c r="AD26" s="3" t="s">
        <v>1274</v>
      </c>
      <c r="AE26" s="3" t="s">
        <v>1275</v>
      </c>
    </row>
    <row r="27" spans="1:31" ht="56">
      <c r="A27" s="4" t="s">
        <v>1427</v>
      </c>
      <c r="B27" s="4" t="s">
        <v>1154</v>
      </c>
      <c r="C27" s="4" t="s">
        <v>1155</v>
      </c>
      <c r="D27" s="4" t="s">
        <v>1254</v>
      </c>
      <c r="E27" s="4" t="s">
        <v>1428</v>
      </c>
      <c r="F27" s="4" t="s">
        <v>1256</v>
      </c>
      <c r="G27" s="16">
        <v>26.224782000000001</v>
      </c>
      <c r="H27" s="16">
        <v>119.98366</v>
      </c>
      <c r="I27" s="4">
        <v>5</v>
      </c>
      <c r="J27" s="4" t="s">
        <v>1257</v>
      </c>
      <c r="K27" s="3" t="s">
        <v>1429</v>
      </c>
      <c r="L27" s="3" t="s">
        <v>1430</v>
      </c>
      <c r="M27" s="3" t="s">
        <v>1260</v>
      </c>
      <c r="N27" s="4">
        <v>200</v>
      </c>
      <c r="O27" s="4" t="s">
        <v>1261</v>
      </c>
      <c r="P27" s="3" t="s">
        <v>1262</v>
      </c>
      <c r="Q27" s="3" t="s">
        <v>1263</v>
      </c>
      <c r="R27" s="3" t="s">
        <v>1264</v>
      </c>
      <c r="S27" s="4" t="s">
        <v>1265</v>
      </c>
      <c r="T27" s="4" t="s">
        <v>1266</v>
      </c>
      <c r="U27" s="4" t="s">
        <v>1267</v>
      </c>
      <c r="V27" s="4" t="s">
        <v>1268</v>
      </c>
      <c r="W27" s="4" t="s">
        <v>1269</v>
      </c>
      <c r="X27" s="27">
        <v>1.8</v>
      </c>
      <c r="Y27" s="4" t="s">
        <v>1270</v>
      </c>
      <c r="Z27" s="4" t="s">
        <v>29</v>
      </c>
      <c r="AA27" s="5" t="s">
        <v>1431</v>
      </c>
      <c r="AB27" s="5" t="s">
        <v>1432</v>
      </c>
      <c r="AC27" s="4" t="s">
        <v>1273</v>
      </c>
      <c r="AD27" s="3" t="s">
        <v>1274</v>
      </c>
      <c r="AE27" s="3" t="s">
        <v>1275</v>
      </c>
    </row>
    <row r="28" spans="1:31" ht="56">
      <c r="A28" s="4" t="s">
        <v>1433</v>
      </c>
      <c r="B28" s="4" t="s">
        <v>151</v>
      </c>
      <c r="C28" s="4" t="s">
        <v>1434</v>
      </c>
      <c r="D28" s="4" t="s">
        <v>1435</v>
      </c>
      <c r="E28" s="4" t="s">
        <v>1436</v>
      </c>
      <c r="F28" s="4" t="s">
        <v>1437</v>
      </c>
      <c r="G28" s="16">
        <v>25.003945000000002</v>
      </c>
      <c r="H28" s="16">
        <v>121.95834000000001</v>
      </c>
      <c r="I28" s="4">
        <v>5</v>
      </c>
      <c r="J28" s="4" t="s">
        <v>1257</v>
      </c>
      <c r="K28" s="3" t="s">
        <v>1438</v>
      </c>
      <c r="L28" s="3" t="s">
        <v>1439</v>
      </c>
      <c r="M28" s="3" t="s">
        <v>1440</v>
      </c>
      <c r="N28" s="4">
        <v>120</v>
      </c>
      <c r="O28" s="4" t="s">
        <v>1360</v>
      </c>
      <c r="P28" s="3" t="s">
        <v>1361</v>
      </c>
      <c r="Q28" s="3" t="s">
        <v>1263</v>
      </c>
      <c r="R28" s="3" t="s">
        <v>1264</v>
      </c>
      <c r="S28" s="4" t="s">
        <v>1265</v>
      </c>
      <c r="T28" s="4" t="s">
        <v>1266</v>
      </c>
      <c r="U28" s="4" t="s">
        <v>1441</v>
      </c>
      <c r="V28" s="4" t="s">
        <v>1442</v>
      </c>
      <c r="W28" s="4" t="s">
        <v>1443</v>
      </c>
      <c r="X28" s="27">
        <v>2.5</v>
      </c>
      <c r="Y28" s="4" t="s">
        <v>1444</v>
      </c>
      <c r="Z28" s="4" t="s">
        <v>29</v>
      </c>
      <c r="AA28" s="5" t="s">
        <v>1445</v>
      </c>
      <c r="AB28" s="5" t="s">
        <v>1446</v>
      </c>
      <c r="AC28" s="4" t="s">
        <v>1447</v>
      </c>
      <c r="AD28" s="3" t="s">
        <v>1274</v>
      </c>
      <c r="AE28" s="3" t="s">
        <v>1275</v>
      </c>
    </row>
    <row r="29" spans="1:31" ht="70">
      <c r="A29" s="4" t="s">
        <v>1448</v>
      </c>
      <c r="B29" s="4" t="s">
        <v>151</v>
      </c>
      <c r="C29" s="4" t="s">
        <v>1449</v>
      </c>
      <c r="D29" s="4" t="s">
        <v>1435</v>
      </c>
      <c r="E29" s="4" t="s">
        <v>1450</v>
      </c>
      <c r="F29" s="4" t="s">
        <v>1437</v>
      </c>
      <c r="G29" s="16">
        <v>25.047388999999999</v>
      </c>
      <c r="H29" s="16">
        <v>121.78285</v>
      </c>
      <c r="I29" s="4">
        <v>5</v>
      </c>
      <c r="J29" s="4" t="s">
        <v>1257</v>
      </c>
      <c r="K29" s="3" t="s">
        <v>1451</v>
      </c>
      <c r="L29" s="3" t="s">
        <v>1452</v>
      </c>
      <c r="M29" s="3" t="s">
        <v>1440</v>
      </c>
      <c r="N29" s="4">
        <v>120</v>
      </c>
      <c r="O29" s="4" t="s">
        <v>1360</v>
      </c>
      <c r="P29" s="3" t="s">
        <v>1361</v>
      </c>
      <c r="Q29" s="3" t="s">
        <v>1263</v>
      </c>
      <c r="R29" s="3" t="s">
        <v>1264</v>
      </c>
      <c r="S29" s="4" t="s">
        <v>1265</v>
      </c>
      <c r="T29" s="4" t="s">
        <v>1266</v>
      </c>
      <c r="U29" s="4" t="s">
        <v>1441</v>
      </c>
      <c r="V29" s="4" t="s">
        <v>1442</v>
      </c>
      <c r="W29" s="4" t="s">
        <v>1443</v>
      </c>
      <c r="X29" s="27">
        <v>2.5</v>
      </c>
      <c r="Y29" s="4" t="s">
        <v>1444</v>
      </c>
      <c r="Z29" s="4" t="s">
        <v>29</v>
      </c>
      <c r="AA29" s="5" t="s">
        <v>1453</v>
      </c>
      <c r="AB29" s="5" t="s">
        <v>1454</v>
      </c>
      <c r="AC29" s="4" t="s">
        <v>1447</v>
      </c>
      <c r="AD29" s="3" t="s">
        <v>1274</v>
      </c>
      <c r="AE29" s="3" t="s">
        <v>1275</v>
      </c>
    </row>
    <row r="30" spans="1:31" ht="70">
      <c r="A30" s="4" t="s">
        <v>1455</v>
      </c>
      <c r="B30" s="4" t="s">
        <v>151</v>
      </c>
      <c r="C30" s="4" t="s">
        <v>1449</v>
      </c>
      <c r="D30" s="4" t="s">
        <v>1435</v>
      </c>
      <c r="E30" s="4" t="s">
        <v>1456</v>
      </c>
      <c r="F30" s="4" t="s">
        <v>1437</v>
      </c>
      <c r="G30" s="16">
        <v>25.026689000000001</v>
      </c>
      <c r="H30" s="16">
        <v>121.73819</v>
      </c>
      <c r="I30" s="4">
        <v>4</v>
      </c>
      <c r="J30" s="4" t="s">
        <v>1305</v>
      </c>
      <c r="K30" s="3" t="s">
        <v>1457</v>
      </c>
      <c r="L30" s="3" t="s">
        <v>1458</v>
      </c>
      <c r="M30" s="3" t="s">
        <v>1440</v>
      </c>
      <c r="N30" s="4">
        <v>200</v>
      </c>
      <c r="O30" s="4" t="s">
        <v>1261</v>
      </c>
      <c r="P30" s="3" t="s">
        <v>1459</v>
      </c>
      <c r="Q30" s="3" t="s">
        <v>1263</v>
      </c>
      <c r="R30" s="3" t="s">
        <v>1264</v>
      </c>
      <c r="S30" s="4" t="s">
        <v>1265</v>
      </c>
      <c r="T30" s="4" t="s">
        <v>1266</v>
      </c>
      <c r="U30" s="4" t="s">
        <v>1441</v>
      </c>
      <c r="V30" s="4" t="s">
        <v>1442</v>
      </c>
      <c r="W30" s="4" t="s">
        <v>1443</v>
      </c>
      <c r="X30" s="27">
        <v>2.5</v>
      </c>
      <c r="Y30" s="4" t="s">
        <v>1444</v>
      </c>
      <c r="Z30" s="4" t="s">
        <v>66</v>
      </c>
      <c r="AA30" s="5" t="s">
        <v>1460</v>
      </c>
      <c r="AB30" s="5" t="s">
        <v>1461</v>
      </c>
      <c r="AC30" s="4" t="s">
        <v>1462</v>
      </c>
      <c r="AD30" s="3" t="s">
        <v>1274</v>
      </c>
      <c r="AE30" s="3" t="s">
        <v>1275</v>
      </c>
    </row>
    <row r="31" spans="1:31" ht="70">
      <c r="A31" s="4" t="s">
        <v>1463</v>
      </c>
      <c r="B31" s="4" t="s">
        <v>151</v>
      </c>
      <c r="C31" s="4" t="s">
        <v>1464</v>
      </c>
      <c r="D31" s="4" t="s">
        <v>1435</v>
      </c>
      <c r="E31" s="4" t="s">
        <v>1465</v>
      </c>
      <c r="F31" s="4" t="s">
        <v>1437</v>
      </c>
      <c r="G31" s="16">
        <v>24.864934999999999</v>
      </c>
      <c r="H31" s="16">
        <v>121.55198</v>
      </c>
      <c r="I31" s="4">
        <v>4</v>
      </c>
      <c r="J31" s="4" t="s">
        <v>1305</v>
      </c>
      <c r="K31" s="3" t="s">
        <v>1466</v>
      </c>
      <c r="L31" s="3" t="s">
        <v>1467</v>
      </c>
      <c r="M31" s="3" t="s">
        <v>1440</v>
      </c>
      <c r="N31" s="4">
        <v>200</v>
      </c>
      <c r="O31" s="4" t="s">
        <v>1261</v>
      </c>
      <c r="P31" s="3" t="s">
        <v>1459</v>
      </c>
      <c r="Q31" s="3" t="s">
        <v>1263</v>
      </c>
      <c r="R31" s="3" t="s">
        <v>1264</v>
      </c>
      <c r="S31" s="4" t="s">
        <v>1265</v>
      </c>
      <c r="T31" s="4" t="s">
        <v>1266</v>
      </c>
      <c r="U31" s="4" t="s">
        <v>1441</v>
      </c>
      <c r="V31" s="4" t="s">
        <v>1442</v>
      </c>
      <c r="W31" s="4" t="s">
        <v>1443</v>
      </c>
      <c r="X31" s="27">
        <v>2.5</v>
      </c>
      <c r="Y31" s="4" t="s">
        <v>1444</v>
      </c>
      <c r="Z31" s="4" t="s">
        <v>66</v>
      </c>
      <c r="AA31" s="5" t="s">
        <v>1468</v>
      </c>
      <c r="AB31" s="5" t="s">
        <v>1469</v>
      </c>
      <c r="AC31" s="4" t="s">
        <v>1462</v>
      </c>
      <c r="AD31" s="3" t="s">
        <v>1274</v>
      </c>
      <c r="AE31" s="3" t="s">
        <v>1275</v>
      </c>
    </row>
    <row r="32" spans="1:31" ht="56">
      <c r="A32" s="4" t="s">
        <v>1470</v>
      </c>
      <c r="B32" s="4" t="s">
        <v>400</v>
      </c>
      <c r="C32" s="4" t="s">
        <v>1471</v>
      </c>
      <c r="D32" s="4" t="s">
        <v>1435</v>
      </c>
      <c r="E32" s="4" t="s">
        <v>1472</v>
      </c>
      <c r="F32" s="4" t="s">
        <v>1437</v>
      </c>
      <c r="G32" s="16">
        <v>24.705431000000001</v>
      </c>
      <c r="H32" s="16">
        <v>121.18247</v>
      </c>
      <c r="I32" s="4">
        <v>5</v>
      </c>
      <c r="J32" s="4" t="s">
        <v>1257</v>
      </c>
      <c r="K32" s="3" t="s">
        <v>1473</v>
      </c>
      <c r="L32" s="3" t="s">
        <v>1474</v>
      </c>
      <c r="M32" s="3" t="s">
        <v>1440</v>
      </c>
      <c r="N32" s="4">
        <v>120</v>
      </c>
      <c r="O32" s="4" t="s">
        <v>1360</v>
      </c>
      <c r="P32" s="3" t="s">
        <v>1361</v>
      </c>
      <c r="Q32" s="3" t="s">
        <v>1263</v>
      </c>
      <c r="R32" s="3" t="s">
        <v>1264</v>
      </c>
      <c r="S32" s="4" t="s">
        <v>1265</v>
      </c>
      <c r="T32" s="4" t="s">
        <v>1266</v>
      </c>
      <c r="U32" s="4" t="s">
        <v>1441</v>
      </c>
      <c r="V32" s="4" t="s">
        <v>1442</v>
      </c>
      <c r="W32" s="4" t="s">
        <v>1443</v>
      </c>
      <c r="X32" s="27">
        <v>2.5</v>
      </c>
      <c r="Y32" s="4" t="s">
        <v>1444</v>
      </c>
      <c r="Z32" s="4" t="s">
        <v>29</v>
      </c>
      <c r="AA32" s="5" t="s">
        <v>1475</v>
      </c>
      <c r="AB32" s="5" t="s">
        <v>1476</v>
      </c>
      <c r="AC32" s="4" t="s">
        <v>1447</v>
      </c>
      <c r="AD32" s="3" t="s">
        <v>1274</v>
      </c>
      <c r="AE32" s="3" t="s">
        <v>1275</v>
      </c>
    </row>
    <row r="33" spans="1:31" ht="56">
      <c r="A33" s="4" t="s">
        <v>1477</v>
      </c>
      <c r="B33" s="4" t="s">
        <v>436</v>
      </c>
      <c r="C33" s="4" t="s">
        <v>1478</v>
      </c>
      <c r="D33" s="4" t="s">
        <v>1435</v>
      </c>
      <c r="E33" s="4" t="s">
        <v>1479</v>
      </c>
      <c r="F33" s="4" t="s">
        <v>1437</v>
      </c>
      <c r="G33" s="16">
        <v>24.38823</v>
      </c>
      <c r="H33" s="16">
        <v>120.78205</v>
      </c>
      <c r="I33" s="4">
        <v>5</v>
      </c>
      <c r="J33" s="4" t="s">
        <v>1257</v>
      </c>
      <c r="K33" s="3" t="s">
        <v>1480</v>
      </c>
      <c r="L33" s="3" t="s">
        <v>1481</v>
      </c>
      <c r="M33" s="3" t="s">
        <v>1440</v>
      </c>
      <c r="N33" s="4">
        <v>120</v>
      </c>
      <c r="O33" s="4" t="s">
        <v>1360</v>
      </c>
      <c r="P33" s="3" t="s">
        <v>1361</v>
      </c>
      <c r="Q33" s="3" t="s">
        <v>1263</v>
      </c>
      <c r="R33" s="3" t="s">
        <v>1264</v>
      </c>
      <c r="S33" s="4" t="s">
        <v>1265</v>
      </c>
      <c r="T33" s="4" t="s">
        <v>1266</v>
      </c>
      <c r="U33" s="4" t="s">
        <v>1441</v>
      </c>
      <c r="V33" s="4" t="s">
        <v>1442</v>
      </c>
      <c r="W33" s="4" t="s">
        <v>1443</v>
      </c>
      <c r="X33" s="27">
        <v>2.5</v>
      </c>
      <c r="Y33" s="4" t="s">
        <v>1444</v>
      </c>
      <c r="Z33" s="4" t="s">
        <v>29</v>
      </c>
      <c r="AA33" s="5" t="s">
        <v>1482</v>
      </c>
      <c r="AB33" s="5" t="s">
        <v>1483</v>
      </c>
      <c r="AC33" s="4" t="s">
        <v>1447</v>
      </c>
      <c r="AD33" s="3" t="s">
        <v>1274</v>
      </c>
      <c r="AE33" s="3" t="s">
        <v>1275</v>
      </c>
    </row>
    <row r="34" spans="1:31" ht="56">
      <c r="A34" s="4" t="s">
        <v>1484</v>
      </c>
      <c r="B34" s="4" t="s">
        <v>436</v>
      </c>
      <c r="C34" s="4" t="s">
        <v>1478</v>
      </c>
      <c r="D34" s="4" t="s">
        <v>1435</v>
      </c>
      <c r="E34" s="4" t="s">
        <v>1485</v>
      </c>
      <c r="F34" s="4" t="s">
        <v>1437</v>
      </c>
      <c r="G34" s="16">
        <v>24.358435</v>
      </c>
      <c r="H34" s="16">
        <v>120.77384000000001</v>
      </c>
      <c r="I34" s="4">
        <v>5</v>
      </c>
      <c r="J34" s="4" t="s">
        <v>1257</v>
      </c>
      <c r="K34" s="3" t="s">
        <v>1486</v>
      </c>
      <c r="L34" s="3" t="s">
        <v>1487</v>
      </c>
      <c r="M34" s="3" t="s">
        <v>1440</v>
      </c>
      <c r="N34" s="4">
        <v>120</v>
      </c>
      <c r="O34" s="4" t="s">
        <v>1360</v>
      </c>
      <c r="P34" s="3" t="s">
        <v>1361</v>
      </c>
      <c r="Q34" s="3" t="s">
        <v>1263</v>
      </c>
      <c r="R34" s="3" t="s">
        <v>1264</v>
      </c>
      <c r="S34" s="4" t="s">
        <v>1265</v>
      </c>
      <c r="T34" s="4" t="s">
        <v>1266</v>
      </c>
      <c r="U34" s="4" t="s">
        <v>1441</v>
      </c>
      <c r="V34" s="4" t="s">
        <v>1442</v>
      </c>
      <c r="W34" s="4" t="s">
        <v>1443</v>
      </c>
      <c r="X34" s="27">
        <v>2.5</v>
      </c>
      <c r="Y34" s="4" t="s">
        <v>1444</v>
      </c>
      <c r="Z34" s="4" t="s">
        <v>29</v>
      </c>
      <c r="AA34" s="5" t="s">
        <v>1488</v>
      </c>
      <c r="AB34" s="5" t="s">
        <v>1489</v>
      </c>
      <c r="AC34" s="4" t="s">
        <v>1447</v>
      </c>
      <c r="AD34" s="3" t="s">
        <v>1274</v>
      </c>
      <c r="AE34" s="3" t="s">
        <v>1275</v>
      </c>
    </row>
    <row r="35" spans="1:31" ht="56">
      <c r="A35" s="4" t="s">
        <v>1490</v>
      </c>
      <c r="B35" s="4" t="s">
        <v>436</v>
      </c>
      <c r="C35" s="4" t="s">
        <v>437</v>
      </c>
      <c r="D35" s="4" t="s">
        <v>1435</v>
      </c>
      <c r="E35" s="4" t="s">
        <v>1491</v>
      </c>
      <c r="F35" s="4" t="s">
        <v>1437</v>
      </c>
      <c r="G35" s="16">
        <v>24.554355999999999</v>
      </c>
      <c r="H35" s="16">
        <v>120.81095999999999</v>
      </c>
      <c r="I35" s="4">
        <v>4</v>
      </c>
      <c r="J35" s="4" t="s">
        <v>1305</v>
      </c>
      <c r="K35" s="3" t="s">
        <v>1492</v>
      </c>
      <c r="L35" s="3" t="s">
        <v>1493</v>
      </c>
      <c r="M35" s="3" t="s">
        <v>1440</v>
      </c>
      <c r="N35" s="4">
        <v>120</v>
      </c>
      <c r="O35" s="4" t="s">
        <v>1360</v>
      </c>
      <c r="P35" s="3" t="s">
        <v>1361</v>
      </c>
      <c r="Q35" s="3" t="s">
        <v>1263</v>
      </c>
      <c r="R35" s="3" t="s">
        <v>1264</v>
      </c>
      <c r="S35" s="4" t="s">
        <v>1265</v>
      </c>
      <c r="T35" s="4" t="s">
        <v>1266</v>
      </c>
      <c r="U35" s="4" t="s">
        <v>1441</v>
      </c>
      <c r="V35" s="4" t="s">
        <v>1442</v>
      </c>
      <c r="W35" s="4" t="s">
        <v>1443</v>
      </c>
      <c r="X35" s="27">
        <v>2.5</v>
      </c>
      <c r="Y35" s="4" t="s">
        <v>1444</v>
      </c>
      <c r="Z35" s="4" t="s">
        <v>66</v>
      </c>
      <c r="AA35" s="5" t="s">
        <v>1494</v>
      </c>
      <c r="AB35" s="5" t="s">
        <v>1495</v>
      </c>
      <c r="AC35" s="4" t="s">
        <v>1447</v>
      </c>
      <c r="AD35" s="3" t="s">
        <v>1274</v>
      </c>
      <c r="AE35" s="3" t="s">
        <v>1275</v>
      </c>
    </row>
    <row r="36" spans="1:31" ht="70">
      <c r="A36" s="4" t="s">
        <v>1496</v>
      </c>
      <c r="B36" s="4" t="s">
        <v>480</v>
      </c>
      <c r="C36" s="4" t="s">
        <v>1497</v>
      </c>
      <c r="D36" s="4" t="s">
        <v>1435</v>
      </c>
      <c r="E36" s="4" t="s">
        <v>1498</v>
      </c>
      <c r="F36" s="4" t="s">
        <v>1437</v>
      </c>
      <c r="G36" s="16">
        <v>24.276022999999999</v>
      </c>
      <c r="H36" s="16">
        <v>120.77879</v>
      </c>
      <c r="I36" s="4">
        <v>4</v>
      </c>
      <c r="J36" s="4" t="s">
        <v>1305</v>
      </c>
      <c r="K36" s="3" t="s">
        <v>1499</v>
      </c>
      <c r="L36" s="3" t="s">
        <v>1500</v>
      </c>
      <c r="M36" s="3" t="s">
        <v>1440</v>
      </c>
      <c r="N36" s="4">
        <v>200</v>
      </c>
      <c r="O36" s="4" t="s">
        <v>1261</v>
      </c>
      <c r="P36" s="3" t="s">
        <v>1459</v>
      </c>
      <c r="Q36" s="3" t="s">
        <v>1263</v>
      </c>
      <c r="R36" s="3" t="s">
        <v>1264</v>
      </c>
      <c r="S36" s="4" t="s">
        <v>1265</v>
      </c>
      <c r="T36" s="4" t="s">
        <v>1266</v>
      </c>
      <c r="U36" s="4" t="s">
        <v>1441</v>
      </c>
      <c r="V36" s="4" t="s">
        <v>1442</v>
      </c>
      <c r="W36" s="4" t="s">
        <v>1443</v>
      </c>
      <c r="X36" s="27">
        <v>2.5</v>
      </c>
      <c r="Y36" s="4" t="s">
        <v>1444</v>
      </c>
      <c r="Z36" s="4" t="s">
        <v>66</v>
      </c>
      <c r="AA36" s="5" t="s">
        <v>1501</v>
      </c>
      <c r="AB36" s="5" t="s">
        <v>1502</v>
      </c>
      <c r="AC36" s="4" t="s">
        <v>1462</v>
      </c>
      <c r="AD36" s="3" t="s">
        <v>1274</v>
      </c>
      <c r="AE36" s="3" t="s">
        <v>1275</v>
      </c>
    </row>
    <row r="37" spans="1:31" ht="70">
      <c r="A37" s="4" t="s">
        <v>1503</v>
      </c>
      <c r="B37" s="4" t="s">
        <v>480</v>
      </c>
      <c r="C37" s="4" t="s">
        <v>1504</v>
      </c>
      <c r="D37" s="4" t="s">
        <v>1435</v>
      </c>
      <c r="E37" s="4" t="s">
        <v>1505</v>
      </c>
      <c r="F37" s="4" t="s">
        <v>1437</v>
      </c>
      <c r="G37" s="16">
        <v>24.243787000000001</v>
      </c>
      <c r="H37" s="16">
        <v>120.83365000000001</v>
      </c>
      <c r="I37" s="4">
        <v>4</v>
      </c>
      <c r="J37" s="4" t="s">
        <v>1305</v>
      </c>
      <c r="K37" s="3" t="s">
        <v>1506</v>
      </c>
      <c r="L37" s="3" t="s">
        <v>1507</v>
      </c>
      <c r="M37" s="3" t="s">
        <v>1440</v>
      </c>
      <c r="N37" s="4">
        <v>120</v>
      </c>
      <c r="O37" s="4" t="s">
        <v>1360</v>
      </c>
      <c r="P37" s="3" t="s">
        <v>1361</v>
      </c>
      <c r="Q37" s="3" t="s">
        <v>1263</v>
      </c>
      <c r="R37" s="3" t="s">
        <v>1264</v>
      </c>
      <c r="S37" s="4" t="s">
        <v>1265</v>
      </c>
      <c r="T37" s="4" t="s">
        <v>1266</v>
      </c>
      <c r="U37" s="4" t="s">
        <v>1441</v>
      </c>
      <c r="V37" s="4" t="s">
        <v>1442</v>
      </c>
      <c r="W37" s="4" t="s">
        <v>1443</v>
      </c>
      <c r="X37" s="27">
        <v>2.5</v>
      </c>
      <c r="Y37" s="4" t="s">
        <v>1444</v>
      </c>
      <c r="Z37" s="4" t="s">
        <v>66</v>
      </c>
      <c r="AA37" s="5" t="s">
        <v>1508</v>
      </c>
      <c r="AB37" s="5" t="s">
        <v>1509</v>
      </c>
      <c r="AC37" s="4" t="s">
        <v>1447</v>
      </c>
      <c r="AD37" s="3" t="s">
        <v>1274</v>
      </c>
      <c r="AE37" s="3" t="s">
        <v>1275</v>
      </c>
    </row>
    <row r="38" spans="1:31" ht="56">
      <c r="A38" s="4" t="s">
        <v>1510</v>
      </c>
      <c r="B38" s="4" t="s">
        <v>559</v>
      </c>
      <c r="C38" s="4" t="s">
        <v>560</v>
      </c>
      <c r="D38" s="4" t="s">
        <v>1435</v>
      </c>
      <c r="E38" s="4" t="s">
        <v>1511</v>
      </c>
      <c r="F38" s="4" t="s">
        <v>1437</v>
      </c>
      <c r="G38" s="16">
        <v>24.085947999999998</v>
      </c>
      <c r="H38" s="16">
        <v>120.54017</v>
      </c>
      <c r="I38" s="4">
        <v>5</v>
      </c>
      <c r="J38" s="4" t="s">
        <v>1257</v>
      </c>
      <c r="K38" s="3" t="s">
        <v>1512</v>
      </c>
      <c r="L38" s="3" t="s">
        <v>1513</v>
      </c>
      <c r="M38" s="3" t="s">
        <v>1440</v>
      </c>
      <c r="N38" s="4">
        <v>120</v>
      </c>
      <c r="O38" s="4" t="s">
        <v>1360</v>
      </c>
      <c r="P38" s="3" t="s">
        <v>1361</v>
      </c>
      <c r="Q38" s="3" t="s">
        <v>1263</v>
      </c>
      <c r="R38" s="3" t="s">
        <v>1264</v>
      </c>
      <c r="S38" s="4" t="s">
        <v>1265</v>
      </c>
      <c r="T38" s="4" t="s">
        <v>1266</v>
      </c>
      <c r="U38" s="4" t="s">
        <v>1441</v>
      </c>
      <c r="V38" s="4" t="s">
        <v>1442</v>
      </c>
      <c r="W38" s="4" t="s">
        <v>1443</v>
      </c>
      <c r="X38" s="27">
        <v>2.5</v>
      </c>
      <c r="Y38" s="4" t="s">
        <v>1444</v>
      </c>
      <c r="Z38" s="4" t="s">
        <v>29</v>
      </c>
      <c r="AA38" s="5" t="s">
        <v>1514</v>
      </c>
      <c r="AB38" s="5" t="s">
        <v>1515</v>
      </c>
      <c r="AC38" s="4" t="s">
        <v>1447</v>
      </c>
      <c r="AD38" s="3" t="s">
        <v>1274</v>
      </c>
      <c r="AE38" s="3" t="s">
        <v>1275</v>
      </c>
    </row>
    <row r="39" spans="1:31" ht="70">
      <c r="A39" s="4" t="s">
        <v>1516</v>
      </c>
      <c r="B39" s="4" t="s">
        <v>559</v>
      </c>
      <c r="C39" s="4" t="s">
        <v>1517</v>
      </c>
      <c r="D39" s="4" t="s">
        <v>1435</v>
      </c>
      <c r="E39" s="4" t="s">
        <v>1518</v>
      </c>
      <c r="F39" s="4" t="s">
        <v>1437</v>
      </c>
      <c r="G39" s="16">
        <v>23.896964000000001</v>
      </c>
      <c r="H39" s="16">
        <v>120.58521</v>
      </c>
      <c r="I39" s="4">
        <v>4</v>
      </c>
      <c r="J39" s="4" t="s">
        <v>1305</v>
      </c>
      <c r="K39" s="3" t="s">
        <v>1519</v>
      </c>
      <c r="L39" s="3" t="s">
        <v>1520</v>
      </c>
      <c r="M39" s="3" t="s">
        <v>1440</v>
      </c>
      <c r="N39" s="4">
        <v>200</v>
      </c>
      <c r="O39" s="4" t="s">
        <v>1261</v>
      </c>
      <c r="P39" s="3" t="s">
        <v>1459</v>
      </c>
      <c r="Q39" s="3" t="s">
        <v>1263</v>
      </c>
      <c r="R39" s="3" t="s">
        <v>1264</v>
      </c>
      <c r="S39" s="4" t="s">
        <v>1265</v>
      </c>
      <c r="T39" s="4" t="s">
        <v>1266</v>
      </c>
      <c r="U39" s="4" t="s">
        <v>1441</v>
      </c>
      <c r="V39" s="4" t="s">
        <v>1442</v>
      </c>
      <c r="W39" s="4" t="s">
        <v>1443</v>
      </c>
      <c r="X39" s="27">
        <v>2.5</v>
      </c>
      <c r="Y39" s="4" t="s">
        <v>1444</v>
      </c>
      <c r="Z39" s="4" t="s">
        <v>66</v>
      </c>
      <c r="AA39" s="5" t="s">
        <v>1521</v>
      </c>
      <c r="AB39" s="5" t="s">
        <v>1522</v>
      </c>
      <c r="AC39" s="4" t="s">
        <v>1462</v>
      </c>
      <c r="AD39" s="3" t="s">
        <v>1274</v>
      </c>
      <c r="AE39" s="3" t="s">
        <v>1275</v>
      </c>
    </row>
    <row r="40" spans="1:31" ht="56">
      <c r="A40" s="4" t="s">
        <v>1523</v>
      </c>
      <c r="B40" s="4" t="s">
        <v>603</v>
      </c>
      <c r="C40" s="4" t="s">
        <v>638</v>
      </c>
      <c r="D40" s="4" t="s">
        <v>1435</v>
      </c>
      <c r="E40" s="4" t="s">
        <v>1524</v>
      </c>
      <c r="F40" s="4" t="s">
        <v>1437</v>
      </c>
      <c r="G40" s="16">
        <v>23.826450999999999</v>
      </c>
      <c r="H40" s="16">
        <v>120.78489</v>
      </c>
      <c r="I40" s="4">
        <v>5</v>
      </c>
      <c r="J40" s="4" t="s">
        <v>1257</v>
      </c>
      <c r="K40" s="3" t="s">
        <v>1525</v>
      </c>
      <c r="L40" s="3" t="s">
        <v>1526</v>
      </c>
      <c r="M40" s="3" t="s">
        <v>1440</v>
      </c>
      <c r="N40" s="4">
        <v>120</v>
      </c>
      <c r="O40" s="4" t="s">
        <v>1360</v>
      </c>
      <c r="P40" s="3" t="s">
        <v>1361</v>
      </c>
      <c r="Q40" s="3" t="s">
        <v>1263</v>
      </c>
      <c r="R40" s="3" t="s">
        <v>1264</v>
      </c>
      <c r="S40" s="4" t="s">
        <v>1265</v>
      </c>
      <c r="T40" s="4" t="s">
        <v>1266</v>
      </c>
      <c r="U40" s="4" t="s">
        <v>1441</v>
      </c>
      <c r="V40" s="4" t="s">
        <v>1442</v>
      </c>
      <c r="W40" s="4" t="s">
        <v>1443</v>
      </c>
      <c r="X40" s="27">
        <v>2.5</v>
      </c>
      <c r="Y40" s="4" t="s">
        <v>1444</v>
      </c>
      <c r="Z40" s="4" t="s">
        <v>29</v>
      </c>
      <c r="AA40" s="5" t="s">
        <v>1527</v>
      </c>
      <c r="AB40" s="5" t="s">
        <v>1528</v>
      </c>
      <c r="AC40" s="4" t="s">
        <v>1447</v>
      </c>
      <c r="AD40" s="3" t="s">
        <v>1274</v>
      </c>
      <c r="AE40" s="3" t="s">
        <v>1275</v>
      </c>
    </row>
    <row r="41" spans="1:31" ht="56">
      <c r="A41" s="4" t="s">
        <v>1529</v>
      </c>
      <c r="B41" s="4" t="s">
        <v>603</v>
      </c>
      <c r="C41" s="4" t="s">
        <v>633</v>
      </c>
      <c r="D41" s="4" t="s">
        <v>1435</v>
      </c>
      <c r="E41" s="4" t="s">
        <v>1530</v>
      </c>
      <c r="F41" s="4" t="s">
        <v>1437</v>
      </c>
      <c r="G41" s="16">
        <v>23.832636999999998</v>
      </c>
      <c r="H41" s="16">
        <v>120.86574</v>
      </c>
      <c r="I41" s="4">
        <v>5</v>
      </c>
      <c r="J41" s="4" t="s">
        <v>1257</v>
      </c>
      <c r="K41" s="3" t="s">
        <v>1531</v>
      </c>
      <c r="L41" s="3" t="s">
        <v>1532</v>
      </c>
      <c r="M41" s="3" t="s">
        <v>1440</v>
      </c>
      <c r="N41" s="4">
        <v>120</v>
      </c>
      <c r="O41" s="4" t="s">
        <v>1360</v>
      </c>
      <c r="P41" s="3" t="s">
        <v>1361</v>
      </c>
      <c r="Q41" s="3" t="s">
        <v>1263</v>
      </c>
      <c r="R41" s="3" t="s">
        <v>1264</v>
      </c>
      <c r="S41" s="4" t="s">
        <v>1265</v>
      </c>
      <c r="T41" s="4" t="s">
        <v>1266</v>
      </c>
      <c r="U41" s="4" t="s">
        <v>1441</v>
      </c>
      <c r="V41" s="4" t="s">
        <v>1442</v>
      </c>
      <c r="W41" s="4" t="s">
        <v>1443</v>
      </c>
      <c r="X41" s="27">
        <v>2.5</v>
      </c>
      <c r="Y41" s="4" t="s">
        <v>1444</v>
      </c>
      <c r="Z41" s="4" t="s">
        <v>29</v>
      </c>
      <c r="AA41" s="5" t="s">
        <v>1533</v>
      </c>
      <c r="AB41" s="5" t="s">
        <v>1534</v>
      </c>
      <c r="AC41" s="4" t="s">
        <v>1447</v>
      </c>
      <c r="AD41" s="3" t="s">
        <v>1274</v>
      </c>
      <c r="AE41" s="3" t="s">
        <v>1275</v>
      </c>
    </row>
    <row r="42" spans="1:31" ht="56">
      <c r="A42" s="4" t="s">
        <v>1535</v>
      </c>
      <c r="B42" s="4" t="s">
        <v>603</v>
      </c>
      <c r="C42" s="4" t="s">
        <v>633</v>
      </c>
      <c r="D42" s="4" t="s">
        <v>1435</v>
      </c>
      <c r="E42" s="4" t="s">
        <v>1536</v>
      </c>
      <c r="F42" s="4" t="s">
        <v>1437</v>
      </c>
      <c r="G42" s="16">
        <v>23.834520999999999</v>
      </c>
      <c r="H42" s="16">
        <v>120.86611000000001</v>
      </c>
      <c r="I42" s="4">
        <v>4</v>
      </c>
      <c r="J42" s="4" t="s">
        <v>1305</v>
      </c>
      <c r="K42" s="3" t="s">
        <v>1537</v>
      </c>
      <c r="L42" s="3" t="s">
        <v>1538</v>
      </c>
      <c r="M42" s="3" t="s">
        <v>1440</v>
      </c>
      <c r="N42" s="4">
        <v>120</v>
      </c>
      <c r="O42" s="4" t="s">
        <v>1360</v>
      </c>
      <c r="P42" s="3" t="s">
        <v>1361</v>
      </c>
      <c r="Q42" s="3" t="s">
        <v>1263</v>
      </c>
      <c r="R42" s="3" t="s">
        <v>1264</v>
      </c>
      <c r="S42" s="4" t="s">
        <v>1265</v>
      </c>
      <c r="T42" s="4" t="s">
        <v>1266</v>
      </c>
      <c r="U42" s="4" t="s">
        <v>1441</v>
      </c>
      <c r="V42" s="4" t="s">
        <v>1442</v>
      </c>
      <c r="W42" s="4" t="s">
        <v>1443</v>
      </c>
      <c r="X42" s="27">
        <v>2.5</v>
      </c>
      <c r="Y42" s="4" t="s">
        <v>1444</v>
      </c>
      <c r="Z42" s="4" t="s">
        <v>66</v>
      </c>
      <c r="AA42" s="5" t="s">
        <v>1539</v>
      </c>
      <c r="AB42" s="5" t="s">
        <v>1540</v>
      </c>
      <c r="AC42" s="4" t="s">
        <v>1447</v>
      </c>
      <c r="AD42" s="3" t="s">
        <v>1274</v>
      </c>
      <c r="AE42" s="3" t="s">
        <v>1275</v>
      </c>
    </row>
    <row r="43" spans="1:31" ht="70">
      <c r="A43" s="4" t="s">
        <v>1541</v>
      </c>
      <c r="B43" s="4" t="s">
        <v>603</v>
      </c>
      <c r="C43" s="4" t="s">
        <v>633</v>
      </c>
      <c r="D43" s="4" t="s">
        <v>1435</v>
      </c>
      <c r="E43" s="4" t="s">
        <v>1542</v>
      </c>
      <c r="F43" s="4" t="s">
        <v>1437</v>
      </c>
      <c r="G43" s="16">
        <v>23.833773999999998</v>
      </c>
      <c r="H43" s="16">
        <v>120.86587</v>
      </c>
      <c r="I43" s="4">
        <v>4</v>
      </c>
      <c r="J43" s="4" t="s">
        <v>1305</v>
      </c>
      <c r="K43" s="3" t="s">
        <v>1543</v>
      </c>
      <c r="L43" s="3" t="s">
        <v>1544</v>
      </c>
      <c r="M43" s="3" t="s">
        <v>1440</v>
      </c>
      <c r="N43" s="4">
        <v>120</v>
      </c>
      <c r="O43" s="4" t="s">
        <v>1360</v>
      </c>
      <c r="P43" s="3" t="s">
        <v>1361</v>
      </c>
      <c r="Q43" s="3" t="s">
        <v>1263</v>
      </c>
      <c r="R43" s="3" t="s">
        <v>1264</v>
      </c>
      <c r="S43" s="4" t="s">
        <v>1265</v>
      </c>
      <c r="T43" s="4" t="s">
        <v>1266</v>
      </c>
      <c r="U43" s="4" t="s">
        <v>1441</v>
      </c>
      <c r="V43" s="4" t="s">
        <v>1442</v>
      </c>
      <c r="W43" s="4" t="s">
        <v>1443</v>
      </c>
      <c r="X43" s="27">
        <v>2.5</v>
      </c>
      <c r="Y43" s="4" t="s">
        <v>1444</v>
      </c>
      <c r="Z43" s="4" t="s">
        <v>66</v>
      </c>
      <c r="AA43" s="5" t="s">
        <v>1545</v>
      </c>
      <c r="AB43" s="5" t="s">
        <v>1546</v>
      </c>
      <c r="AC43" s="4" t="s">
        <v>1447</v>
      </c>
      <c r="AD43" s="3" t="s">
        <v>1274</v>
      </c>
      <c r="AE43" s="3" t="s">
        <v>1275</v>
      </c>
    </row>
    <row r="44" spans="1:31" ht="56">
      <c r="A44" s="4" t="s">
        <v>1547</v>
      </c>
      <c r="B44" s="4" t="s">
        <v>643</v>
      </c>
      <c r="C44" s="4" t="s">
        <v>658</v>
      </c>
      <c r="D44" s="4" t="s">
        <v>1435</v>
      </c>
      <c r="E44" s="4" t="s">
        <v>1548</v>
      </c>
      <c r="F44" s="4" t="s">
        <v>1437</v>
      </c>
      <c r="G44" s="16">
        <v>23.701737000000001</v>
      </c>
      <c r="H44" s="16">
        <v>120.43718</v>
      </c>
      <c r="I44" s="4">
        <v>4</v>
      </c>
      <c r="J44" s="4" t="s">
        <v>1305</v>
      </c>
      <c r="K44" s="3" t="s">
        <v>1549</v>
      </c>
      <c r="L44" s="3" t="s">
        <v>1550</v>
      </c>
      <c r="M44" s="3" t="s">
        <v>1440</v>
      </c>
      <c r="N44" s="4">
        <v>120</v>
      </c>
      <c r="O44" s="4" t="s">
        <v>1360</v>
      </c>
      <c r="P44" s="3" t="s">
        <v>1361</v>
      </c>
      <c r="Q44" s="3" t="s">
        <v>1263</v>
      </c>
      <c r="R44" s="3" t="s">
        <v>1264</v>
      </c>
      <c r="S44" s="4" t="s">
        <v>1265</v>
      </c>
      <c r="T44" s="4" t="s">
        <v>1266</v>
      </c>
      <c r="U44" s="4" t="s">
        <v>1441</v>
      </c>
      <c r="V44" s="4" t="s">
        <v>1442</v>
      </c>
      <c r="W44" s="4" t="s">
        <v>1443</v>
      </c>
      <c r="X44" s="27">
        <v>2.5</v>
      </c>
      <c r="Y44" s="4" t="s">
        <v>1444</v>
      </c>
      <c r="Z44" s="4" t="s">
        <v>66</v>
      </c>
      <c r="AA44" s="5" t="s">
        <v>1551</v>
      </c>
      <c r="AB44" s="5" t="s">
        <v>1552</v>
      </c>
      <c r="AC44" s="4" t="s">
        <v>1447</v>
      </c>
      <c r="AD44" s="3" t="s">
        <v>1274</v>
      </c>
      <c r="AE44" s="3" t="s">
        <v>1553</v>
      </c>
    </row>
    <row r="45" spans="1:31" ht="70">
      <c r="A45" s="4" t="s">
        <v>1554</v>
      </c>
      <c r="B45" s="4" t="s">
        <v>685</v>
      </c>
      <c r="C45" s="4" t="s">
        <v>523</v>
      </c>
      <c r="D45" s="4" t="s">
        <v>1435</v>
      </c>
      <c r="E45" s="4" t="s">
        <v>1555</v>
      </c>
      <c r="F45" s="4" t="s">
        <v>1437</v>
      </c>
      <c r="G45" s="16">
        <v>23.479118</v>
      </c>
      <c r="H45" s="16">
        <v>120.44113</v>
      </c>
      <c r="I45" s="4">
        <v>5</v>
      </c>
      <c r="J45" s="4" t="s">
        <v>1257</v>
      </c>
      <c r="K45" s="3" t="s">
        <v>1556</v>
      </c>
      <c r="L45" s="3" t="s">
        <v>1557</v>
      </c>
      <c r="M45" s="3" t="s">
        <v>1440</v>
      </c>
      <c r="N45" s="4">
        <v>200</v>
      </c>
      <c r="O45" s="4" t="s">
        <v>1261</v>
      </c>
      <c r="P45" s="3" t="s">
        <v>1459</v>
      </c>
      <c r="Q45" s="3" t="s">
        <v>1263</v>
      </c>
      <c r="R45" s="3" t="s">
        <v>1264</v>
      </c>
      <c r="S45" s="4" t="s">
        <v>1265</v>
      </c>
      <c r="T45" s="4" t="s">
        <v>1266</v>
      </c>
      <c r="U45" s="4" t="s">
        <v>1441</v>
      </c>
      <c r="V45" s="4" t="s">
        <v>1442</v>
      </c>
      <c r="W45" s="4" t="s">
        <v>1443</v>
      </c>
      <c r="X45" s="27">
        <v>2.5</v>
      </c>
      <c r="Y45" s="4" t="s">
        <v>1444</v>
      </c>
      <c r="Z45" s="4" t="s">
        <v>29</v>
      </c>
      <c r="AA45" s="5" t="s">
        <v>1558</v>
      </c>
      <c r="AB45" s="5" t="s">
        <v>1559</v>
      </c>
      <c r="AC45" s="4" t="s">
        <v>1462</v>
      </c>
      <c r="AD45" s="3" t="s">
        <v>1274</v>
      </c>
      <c r="AE45" s="3" t="s">
        <v>1275</v>
      </c>
    </row>
    <row r="46" spans="1:31" ht="84">
      <c r="A46" s="4" t="s">
        <v>1560</v>
      </c>
      <c r="B46" s="4" t="s">
        <v>685</v>
      </c>
      <c r="C46" s="4" t="s">
        <v>356</v>
      </c>
      <c r="D46" s="4" t="s">
        <v>1435</v>
      </c>
      <c r="E46" s="4" t="s">
        <v>1561</v>
      </c>
      <c r="F46" s="4" t="s">
        <v>1437</v>
      </c>
      <c r="G46" s="16">
        <v>23.486342</v>
      </c>
      <c r="H46" s="16">
        <v>120.45126</v>
      </c>
      <c r="I46" s="4">
        <v>5</v>
      </c>
      <c r="J46" s="4" t="s">
        <v>1257</v>
      </c>
      <c r="K46" s="3" t="s">
        <v>1562</v>
      </c>
      <c r="L46" s="3" t="s">
        <v>1563</v>
      </c>
      <c r="M46" s="3" t="s">
        <v>1440</v>
      </c>
      <c r="N46" s="4">
        <v>200</v>
      </c>
      <c r="O46" s="4" t="s">
        <v>1261</v>
      </c>
      <c r="P46" s="3" t="s">
        <v>1459</v>
      </c>
      <c r="Q46" s="3" t="s">
        <v>1263</v>
      </c>
      <c r="R46" s="3" t="s">
        <v>1264</v>
      </c>
      <c r="S46" s="4" t="s">
        <v>1265</v>
      </c>
      <c r="T46" s="4" t="s">
        <v>1266</v>
      </c>
      <c r="U46" s="4" t="s">
        <v>1441</v>
      </c>
      <c r="V46" s="4" t="s">
        <v>1442</v>
      </c>
      <c r="W46" s="4" t="s">
        <v>1443</v>
      </c>
      <c r="X46" s="27">
        <v>2.5</v>
      </c>
      <c r="Y46" s="4" t="s">
        <v>1444</v>
      </c>
      <c r="Z46" s="4" t="s">
        <v>29</v>
      </c>
      <c r="AA46" s="5" t="s">
        <v>1564</v>
      </c>
      <c r="AB46" s="5" t="s">
        <v>1565</v>
      </c>
      <c r="AC46" s="4" t="s">
        <v>1462</v>
      </c>
      <c r="AD46" s="3" t="s">
        <v>1274</v>
      </c>
      <c r="AE46" s="3" t="s">
        <v>1275</v>
      </c>
    </row>
    <row r="47" spans="1:31" ht="70">
      <c r="A47" s="4" t="s">
        <v>1566</v>
      </c>
      <c r="B47" s="4" t="s">
        <v>714</v>
      </c>
      <c r="C47" s="4" t="s">
        <v>1567</v>
      </c>
      <c r="D47" s="4" t="s">
        <v>1435</v>
      </c>
      <c r="E47" s="4" t="s">
        <v>1568</v>
      </c>
      <c r="F47" s="4" t="s">
        <v>1437</v>
      </c>
      <c r="G47" s="16">
        <v>23.504190000000001</v>
      </c>
      <c r="H47" s="16">
        <v>120.69592</v>
      </c>
      <c r="I47" s="4">
        <v>4</v>
      </c>
      <c r="J47" s="4" t="s">
        <v>1305</v>
      </c>
      <c r="K47" s="3" t="s">
        <v>1569</v>
      </c>
      <c r="L47" s="3" t="s">
        <v>1570</v>
      </c>
      <c r="M47" s="3" t="s">
        <v>1440</v>
      </c>
      <c r="N47" s="4">
        <v>200</v>
      </c>
      <c r="O47" s="4" t="s">
        <v>1261</v>
      </c>
      <c r="P47" s="3" t="s">
        <v>1459</v>
      </c>
      <c r="Q47" s="3" t="s">
        <v>1263</v>
      </c>
      <c r="R47" s="3" t="s">
        <v>1264</v>
      </c>
      <c r="S47" s="4" t="s">
        <v>1265</v>
      </c>
      <c r="T47" s="4" t="s">
        <v>1266</v>
      </c>
      <c r="U47" s="4" t="s">
        <v>1441</v>
      </c>
      <c r="V47" s="4" t="s">
        <v>1442</v>
      </c>
      <c r="W47" s="4" t="s">
        <v>1443</v>
      </c>
      <c r="X47" s="27">
        <v>2.5</v>
      </c>
      <c r="Y47" s="4" t="s">
        <v>1444</v>
      </c>
      <c r="Z47" s="4" t="s">
        <v>66</v>
      </c>
      <c r="AA47" s="5" t="s">
        <v>1571</v>
      </c>
      <c r="AB47" s="5" t="s">
        <v>1572</v>
      </c>
      <c r="AC47" s="4" t="s">
        <v>1462</v>
      </c>
      <c r="AD47" s="3" t="s">
        <v>1274</v>
      </c>
      <c r="AE47" s="3" t="s">
        <v>1275</v>
      </c>
    </row>
    <row r="48" spans="1:31" ht="56">
      <c r="A48" s="4" t="s">
        <v>1573</v>
      </c>
      <c r="B48" s="4" t="s">
        <v>685</v>
      </c>
      <c r="C48" s="4" t="s">
        <v>356</v>
      </c>
      <c r="D48" s="4" t="s">
        <v>1435</v>
      </c>
      <c r="E48" s="4" t="s">
        <v>1574</v>
      </c>
      <c r="F48" s="4" t="s">
        <v>1437</v>
      </c>
      <c r="G48" s="16">
        <v>23.485990000000001</v>
      </c>
      <c r="H48" s="16">
        <v>120.44843</v>
      </c>
      <c r="I48" s="4">
        <v>4</v>
      </c>
      <c r="J48" s="4" t="s">
        <v>1305</v>
      </c>
      <c r="K48" s="3" t="s">
        <v>1575</v>
      </c>
      <c r="L48" s="3" t="s">
        <v>1576</v>
      </c>
      <c r="M48" s="3" t="s">
        <v>1440</v>
      </c>
      <c r="N48" s="4">
        <v>120</v>
      </c>
      <c r="O48" s="4" t="s">
        <v>1360</v>
      </c>
      <c r="P48" s="3" t="s">
        <v>1361</v>
      </c>
      <c r="Q48" s="3" t="s">
        <v>1263</v>
      </c>
      <c r="R48" s="3" t="s">
        <v>1264</v>
      </c>
      <c r="S48" s="4" t="s">
        <v>1265</v>
      </c>
      <c r="T48" s="4" t="s">
        <v>1266</v>
      </c>
      <c r="U48" s="4" t="s">
        <v>1441</v>
      </c>
      <c r="V48" s="4" t="s">
        <v>1442</v>
      </c>
      <c r="W48" s="4" t="s">
        <v>1443</v>
      </c>
      <c r="X48" s="27">
        <v>2.5</v>
      </c>
      <c r="Y48" s="4" t="s">
        <v>1444</v>
      </c>
      <c r="Z48" s="4" t="s">
        <v>66</v>
      </c>
      <c r="AA48" s="5" t="s">
        <v>1577</v>
      </c>
      <c r="AB48" s="5" t="s">
        <v>1578</v>
      </c>
      <c r="AC48" s="4" t="s">
        <v>1447</v>
      </c>
      <c r="AD48" s="3" t="s">
        <v>1274</v>
      </c>
      <c r="AE48" s="3" t="s">
        <v>1275</v>
      </c>
    </row>
    <row r="49" spans="1:31" ht="70">
      <c r="A49" s="4" t="s">
        <v>1579</v>
      </c>
      <c r="B49" s="4" t="s">
        <v>958</v>
      </c>
      <c r="C49" s="4" t="s">
        <v>976</v>
      </c>
      <c r="D49" s="4" t="s">
        <v>1435</v>
      </c>
      <c r="E49" s="4" t="s">
        <v>1580</v>
      </c>
      <c r="F49" s="4" t="s">
        <v>1437</v>
      </c>
      <c r="G49" s="16">
        <v>24.684277999999999</v>
      </c>
      <c r="H49" s="16">
        <v>121.77235</v>
      </c>
      <c r="I49" s="4">
        <v>5</v>
      </c>
      <c r="J49" s="4" t="s">
        <v>1257</v>
      </c>
      <c r="K49" s="3" t="s">
        <v>1581</v>
      </c>
      <c r="L49" s="3" t="s">
        <v>1582</v>
      </c>
      <c r="M49" s="3" t="s">
        <v>1440</v>
      </c>
      <c r="N49" s="4">
        <v>120</v>
      </c>
      <c r="O49" s="4" t="s">
        <v>1360</v>
      </c>
      <c r="P49" s="3" t="s">
        <v>1361</v>
      </c>
      <c r="Q49" s="3" t="s">
        <v>1263</v>
      </c>
      <c r="R49" s="3" t="s">
        <v>1264</v>
      </c>
      <c r="S49" s="4" t="s">
        <v>1265</v>
      </c>
      <c r="T49" s="4" t="s">
        <v>1266</v>
      </c>
      <c r="U49" s="4" t="s">
        <v>1441</v>
      </c>
      <c r="V49" s="4" t="s">
        <v>1442</v>
      </c>
      <c r="W49" s="4" t="s">
        <v>1443</v>
      </c>
      <c r="X49" s="27">
        <v>2.5</v>
      </c>
      <c r="Y49" s="4" t="s">
        <v>1444</v>
      </c>
      <c r="Z49" s="4" t="s">
        <v>29</v>
      </c>
      <c r="AA49" s="5" t="s">
        <v>1583</v>
      </c>
      <c r="AB49" s="5" t="s">
        <v>1584</v>
      </c>
      <c r="AC49" s="4" t="s">
        <v>1447</v>
      </c>
      <c r="AD49" s="3" t="s">
        <v>1274</v>
      </c>
      <c r="AE49" s="3" t="s">
        <v>1275</v>
      </c>
    </row>
    <row r="50" spans="1:31" ht="70">
      <c r="A50" s="4" t="s">
        <v>1585</v>
      </c>
      <c r="B50" s="4" t="s">
        <v>1008</v>
      </c>
      <c r="C50" s="4" t="s">
        <v>1586</v>
      </c>
      <c r="D50" s="4" t="s">
        <v>1435</v>
      </c>
      <c r="E50" s="4" t="s">
        <v>1587</v>
      </c>
      <c r="F50" s="4" t="s">
        <v>1437</v>
      </c>
      <c r="G50" s="16">
        <v>23.718088000000002</v>
      </c>
      <c r="H50" s="16">
        <v>121.39895</v>
      </c>
      <c r="I50" s="4">
        <v>5</v>
      </c>
      <c r="J50" s="4" t="s">
        <v>1257</v>
      </c>
      <c r="K50" s="3" t="s">
        <v>1588</v>
      </c>
      <c r="L50" s="3" t="s">
        <v>1589</v>
      </c>
      <c r="M50" s="3" t="s">
        <v>1440</v>
      </c>
      <c r="N50" s="4">
        <v>120</v>
      </c>
      <c r="O50" s="4" t="s">
        <v>1360</v>
      </c>
      <c r="P50" s="3" t="s">
        <v>1361</v>
      </c>
      <c r="Q50" s="3" t="s">
        <v>1263</v>
      </c>
      <c r="R50" s="3" t="s">
        <v>1264</v>
      </c>
      <c r="S50" s="4" t="s">
        <v>1265</v>
      </c>
      <c r="T50" s="4" t="s">
        <v>1266</v>
      </c>
      <c r="U50" s="4" t="s">
        <v>1441</v>
      </c>
      <c r="V50" s="4" t="s">
        <v>1442</v>
      </c>
      <c r="W50" s="4" t="s">
        <v>1443</v>
      </c>
      <c r="X50" s="27">
        <v>2.5</v>
      </c>
      <c r="Y50" s="4" t="s">
        <v>1444</v>
      </c>
      <c r="Z50" s="4" t="s">
        <v>29</v>
      </c>
      <c r="AA50" s="5" t="s">
        <v>1590</v>
      </c>
      <c r="AB50" s="5" t="s">
        <v>1591</v>
      </c>
      <c r="AC50" s="4" t="s">
        <v>1447</v>
      </c>
      <c r="AD50" s="3" t="s">
        <v>1274</v>
      </c>
      <c r="AE50" s="3" t="s">
        <v>1275</v>
      </c>
    </row>
    <row r="51" spans="1:31" ht="56">
      <c r="A51" s="4" t="s">
        <v>1592</v>
      </c>
      <c r="B51" s="4" t="s">
        <v>1048</v>
      </c>
      <c r="C51" s="4" t="s">
        <v>1082</v>
      </c>
      <c r="D51" s="4" t="s">
        <v>1435</v>
      </c>
      <c r="E51" s="4" t="s">
        <v>1593</v>
      </c>
      <c r="F51" s="4" t="s">
        <v>1437</v>
      </c>
      <c r="G51" s="16">
        <v>22.507487000000001</v>
      </c>
      <c r="H51" s="16">
        <v>120.95887999999999</v>
      </c>
      <c r="I51" s="4">
        <v>5</v>
      </c>
      <c r="J51" s="4" t="s">
        <v>1257</v>
      </c>
      <c r="K51" s="3" t="s">
        <v>1594</v>
      </c>
      <c r="L51" s="3" t="s">
        <v>1595</v>
      </c>
      <c r="M51" s="3" t="s">
        <v>1440</v>
      </c>
      <c r="N51" s="4">
        <v>120</v>
      </c>
      <c r="O51" s="4" t="s">
        <v>1360</v>
      </c>
      <c r="P51" s="3" t="s">
        <v>1361</v>
      </c>
      <c r="Q51" s="3" t="s">
        <v>1263</v>
      </c>
      <c r="R51" s="3" t="s">
        <v>1264</v>
      </c>
      <c r="S51" s="4" t="s">
        <v>1265</v>
      </c>
      <c r="T51" s="4" t="s">
        <v>1266</v>
      </c>
      <c r="U51" s="4" t="s">
        <v>1441</v>
      </c>
      <c r="V51" s="4" t="s">
        <v>1442</v>
      </c>
      <c r="W51" s="4" t="s">
        <v>1443</v>
      </c>
      <c r="X51" s="27">
        <v>2.5</v>
      </c>
      <c r="Y51" s="4" t="s">
        <v>1444</v>
      </c>
      <c r="Z51" s="4" t="s">
        <v>29</v>
      </c>
      <c r="AA51" s="5" t="s">
        <v>1596</v>
      </c>
      <c r="AB51" s="5" t="s">
        <v>1597</v>
      </c>
      <c r="AC51" s="4" t="s">
        <v>1447</v>
      </c>
      <c r="AD51" s="3" t="s">
        <v>1274</v>
      </c>
      <c r="AE51" s="3" t="s">
        <v>1275</v>
      </c>
    </row>
    <row r="52" spans="1:31" ht="84">
      <c r="A52" s="4" t="s">
        <v>1598</v>
      </c>
      <c r="B52" s="4" t="s">
        <v>151</v>
      </c>
      <c r="C52" s="4" t="s">
        <v>1283</v>
      </c>
      <c r="D52" s="4" t="s">
        <v>1435</v>
      </c>
      <c r="E52" s="4" t="s">
        <v>1599</v>
      </c>
      <c r="F52" s="4" t="s">
        <v>1437</v>
      </c>
      <c r="G52" s="16">
        <v>25.107534000000001</v>
      </c>
      <c r="H52" s="16">
        <v>121.85789</v>
      </c>
      <c r="I52" s="4">
        <v>4</v>
      </c>
      <c r="J52" s="4" t="s">
        <v>1305</v>
      </c>
      <c r="K52" s="3" t="s">
        <v>1600</v>
      </c>
      <c r="L52" s="3" t="s">
        <v>1601</v>
      </c>
      <c r="M52" s="3" t="s">
        <v>1440</v>
      </c>
      <c r="N52" s="4">
        <v>200</v>
      </c>
      <c r="O52" s="4" t="s">
        <v>1261</v>
      </c>
      <c r="P52" s="3" t="s">
        <v>1459</v>
      </c>
      <c r="Q52" s="3" t="s">
        <v>1263</v>
      </c>
      <c r="R52" s="3" t="s">
        <v>1264</v>
      </c>
      <c r="S52" s="4" t="s">
        <v>1265</v>
      </c>
      <c r="T52" s="4" t="s">
        <v>1266</v>
      </c>
      <c r="U52" s="4" t="s">
        <v>1441</v>
      </c>
      <c r="V52" s="4" t="s">
        <v>1442</v>
      </c>
      <c r="W52" s="4" t="s">
        <v>1443</v>
      </c>
      <c r="X52" s="27">
        <v>2.5</v>
      </c>
      <c r="Y52" s="4" t="s">
        <v>1444</v>
      </c>
      <c r="Z52" s="4" t="s">
        <v>66</v>
      </c>
      <c r="AA52" s="5" t="s">
        <v>1602</v>
      </c>
      <c r="AB52" s="5" t="s">
        <v>1603</v>
      </c>
      <c r="AC52" s="4" t="s">
        <v>1462</v>
      </c>
      <c r="AD52" s="3" t="s">
        <v>1274</v>
      </c>
      <c r="AE52" s="3" t="s">
        <v>1275</v>
      </c>
    </row>
    <row r="53" spans="1:31" ht="56">
      <c r="A53" s="4" t="s">
        <v>1604</v>
      </c>
      <c r="B53" s="4" t="s">
        <v>24</v>
      </c>
      <c r="C53" s="4" t="s">
        <v>1253</v>
      </c>
      <c r="D53" s="4" t="s">
        <v>1605</v>
      </c>
      <c r="E53" s="4" t="s">
        <v>1606</v>
      </c>
      <c r="F53" s="4" t="s">
        <v>1607</v>
      </c>
      <c r="G53" s="16">
        <v>25.056615000000001</v>
      </c>
      <c r="H53" s="16">
        <v>121.50714000000001</v>
      </c>
      <c r="I53" s="4">
        <v>5</v>
      </c>
      <c r="J53" s="4" t="s">
        <v>1257</v>
      </c>
      <c r="K53" s="3" t="s">
        <v>1608</v>
      </c>
      <c r="L53" s="3" t="s">
        <v>1609</v>
      </c>
      <c r="M53" s="3" t="s">
        <v>1610</v>
      </c>
      <c r="N53" s="4">
        <v>250</v>
      </c>
      <c r="O53" s="4" t="s">
        <v>1261</v>
      </c>
      <c r="P53" s="3" t="s">
        <v>1459</v>
      </c>
      <c r="Q53" s="3" t="s">
        <v>1263</v>
      </c>
      <c r="R53" s="3" t="s">
        <v>1264</v>
      </c>
      <c r="S53" s="4" t="s">
        <v>1265</v>
      </c>
      <c r="T53" s="4" t="s">
        <v>1266</v>
      </c>
      <c r="U53" s="4" t="s">
        <v>1611</v>
      </c>
      <c r="V53" s="4" t="s">
        <v>1268</v>
      </c>
      <c r="W53" s="4" t="s">
        <v>1443</v>
      </c>
      <c r="X53" s="27">
        <v>3</v>
      </c>
      <c r="Y53" s="4" t="s">
        <v>1612</v>
      </c>
      <c r="Z53" s="4" t="s">
        <v>29</v>
      </c>
      <c r="AA53" s="5" t="s">
        <v>1613</v>
      </c>
      <c r="AB53" s="5" t="s">
        <v>1614</v>
      </c>
      <c r="AC53" s="4" t="s">
        <v>1615</v>
      </c>
      <c r="AD53" s="3" t="s">
        <v>1274</v>
      </c>
      <c r="AE53" s="3" t="s">
        <v>1275</v>
      </c>
    </row>
    <row r="54" spans="1:31" ht="56">
      <c r="A54" s="4" t="s">
        <v>1616</v>
      </c>
      <c r="B54" s="4" t="s">
        <v>24</v>
      </c>
      <c r="C54" s="4" t="s">
        <v>58</v>
      </c>
      <c r="D54" s="4" t="s">
        <v>1605</v>
      </c>
      <c r="E54" s="4" t="s">
        <v>1617</v>
      </c>
      <c r="F54" s="4" t="s">
        <v>1607</v>
      </c>
      <c r="G54" s="16">
        <v>25.120615000000001</v>
      </c>
      <c r="H54" s="16">
        <v>121.46059</v>
      </c>
      <c r="I54" s="4">
        <v>4</v>
      </c>
      <c r="J54" s="4" t="s">
        <v>1305</v>
      </c>
      <c r="K54" s="3" t="s">
        <v>1618</v>
      </c>
      <c r="L54" s="3" t="s">
        <v>1619</v>
      </c>
      <c r="M54" s="3" t="s">
        <v>1610</v>
      </c>
      <c r="N54" s="4">
        <v>250</v>
      </c>
      <c r="O54" s="4" t="s">
        <v>1261</v>
      </c>
      <c r="P54" s="3" t="s">
        <v>1459</v>
      </c>
      <c r="Q54" s="3" t="s">
        <v>1263</v>
      </c>
      <c r="R54" s="3" t="s">
        <v>1264</v>
      </c>
      <c r="S54" s="4" t="s">
        <v>1265</v>
      </c>
      <c r="T54" s="4" t="s">
        <v>1266</v>
      </c>
      <c r="U54" s="4" t="s">
        <v>1611</v>
      </c>
      <c r="V54" s="4" t="s">
        <v>1268</v>
      </c>
      <c r="W54" s="4" t="s">
        <v>1443</v>
      </c>
      <c r="X54" s="27">
        <v>3</v>
      </c>
      <c r="Y54" s="4" t="s">
        <v>1612</v>
      </c>
      <c r="Z54" s="4" t="s">
        <v>66</v>
      </c>
      <c r="AA54" s="5" t="s">
        <v>1620</v>
      </c>
      <c r="AB54" s="5" t="s">
        <v>1621</v>
      </c>
      <c r="AC54" s="4" t="s">
        <v>1615</v>
      </c>
      <c r="AD54" s="3" t="s">
        <v>1274</v>
      </c>
      <c r="AE54" s="3" t="s">
        <v>1275</v>
      </c>
    </row>
    <row r="55" spans="1:31" ht="70">
      <c r="A55" s="4" t="s">
        <v>1622</v>
      </c>
      <c r="B55" s="4" t="s">
        <v>151</v>
      </c>
      <c r="C55" s="4" t="s">
        <v>1290</v>
      </c>
      <c r="D55" s="4" t="s">
        <v>1605</v>
      </c>
      <c r="E55" s="4" t="s">
        <v>1623</v>
      </c>
      <c r="F55" s="4" t="s">
        <v>1607</v>
      </c>
      <c r="G55" s="16">
        <v>25.183008999999998</v>
      </c>
      <c r="H55" s="16">
        <v>121.4121</v>
      </c>
      <c r="I55" s="4">
        <v>5</v>
      </c>
      <c r="J55" s="4" t="s">
        <v>1257</v>
      </c>
      <c r="K55" s="3" t="s">
        <v>1624</v>
      </c>
      <c r="L55" s="3" t="s">
        <v>1625</v>
      </c>
      <c r="M55" s="3" t="s">
        <v>1610</v>
      </c>
      <c r="N55" s="4">
        <v>250</v>
      </c>
      <c r="O55" s="4" t="s">
        <v>1261</v>
      </c>
      <c r="P55" s="3" t="s">
        <v>1459</v>
      </c>
      <c r="Q55" s="3" t="s">
        <v>1263</v>
      </c>
      <c r="R55" s="3" t="s">
        <v>1264</v>
      </c>
      <c r="S55" s="4" t="s">
        <v>1265</v>
      </c>
      <c r="T55" s="4" t="s">
        <v>1266</v>
      </c>
      <c r="U55" s="4" t="s">
        <v>1611</v>
      </c>
      <c r="V55" s="4" t="s">
        <v>1268</v>
      </c>
      <c r="W55" s="4" t="s">
        <v>1443</v>
      </c>
      <c r="X55" s="27">
        <v>3</v>
      </c>
      <c r="Y55" s="4" t="s">
        <v>1612</v>
      </c>
      <c r="Z55" s="4" t="s">
        <v>29</v>
      </c>
      <c r="AA55" s="5" t="s">
        <v>1626</v>
      </c>
      <c r="AB55" s="5" t="s">
        <v>1627</v>
      </c>
      <c r="AC55" s="4" t="s">
        <v>1615</v>
      </c>
      <c r="AD55" s="3" t="s">
        <v>1274</v>
      </c>
      <c r="AE55" s="3" t="s">
        <v>1275</v>
      </c>
    </row>
    <row r="56" spans="1:31" ht="70">
      <c r="A56" s="4" t="s">
        <v>1628</v>
      </c>
      <c r="B56" s="4" t="s">
        <v>151</v>
      </c>
      <c r="C56" s="4" t="s">
        <v>1290</v>
      </c>
      <c r="D56" s="4" t="s">
        <v>1605</v>
      </c>
      <c r="E56" s="4" t="s">
        <v>1629</v>
      </c>
      <c r="F56" s="4" t="s">
        <v>1607</v>
      </c>
      <c r="G56" s="16">
        <v>25.168908999999999</v>
      </c>
      <c r="H56" s="16">
        <v>121.44145</v>
      </c>
      <c r="I56" s="4">
        <v>4</v>
      </c>
      <c r="J56" s="4" t="s">
        <v>1305</v>
      </c>
      <c r="K56" s="3" t="s">
        <v>1630</v>
      </c>
      <c r="L56" s="3" t="s">
        <v>1631</v>
      </c>
      <c r="M56" s="3" t="s">
        <v>1610</v>
      </c>
      <c r="N56" s="4">
        <v>250</v>
      </c>
      <c r="O56" s="4" t="s">
        <v>1261</v>
      </c>
      <c r="P56" s="3" t="s">
        <v>1459</v>
      </c>
      <c r="Q56" s="3" t="s">
        <v>1263</v>
      </c>
      <c r="R56" s="3" t="s">
        <v>1264</v>
      </c>
      <c r="S56" s="4" t="s">
        <v>1265</v>
      </c>
      <c r="T56" s="4" t="s">
        <v>1266</v>
      </c>
      <c r="U56" s="4" t="s">
        <v>1611</v>
      </c>
      <c r="V56" s="4" t="s">
        <v>1268</v>
      </c>
      <c r="W56" s="4" t="s">
        <v>1443</v>
      </c>
      <c r="X56" s="27">
        <v>3</v>
      </c>
      <c r="Y56" s="4" t="s">
        <v>1612</v>
      </c>
      <c r="Z56" s="4" t="s">
        <v>66</v>
      </c>
      <c r="AA56" s="5" t="s">
        <v>1632</v>
      </c>
      <c r="AB56" s="5" t="s">
        <v>1633</v>
      </c>
      <c r="AC56" s="4" t="s">
        <v>1615</v>
      </c>
      <c r="AD56" s="3" t="s">
        <v>1274</v>
      </c>
      <c r="AE56" s="3" t="s">
        <v>1275</v>
      </c>
    </row>
    <row r="57" spans="1:31" ht="56">
      <c r="A57" s="4" t="s">
        <v>1634</v>
      </c>
      <c r="B57" s="4" t="s">
        <v>151</v>
      </c>
      <c r="C57" s="4" t="s">
        <v>209</v>
      </c>
      <c r="D57" s="4" t="s">
        <v>1605</v>
      </c>
      <c r="E57" s="4" t="s">
        <v>1635</v>
      </c>
      <c r="F57" s="4" t="s">
        <v>1607</v>
      </c>
      <c r="G57" s="16">
        <v>25.160844999999998</v>
      </c>
      <c r="H57" s="16">
        <v>121.43003</v>
      </c>
      <c r="I57" s="4">
        <v>5</v>
      </c>
      <c r="J57" s="4" t="s">
        <v>1257</v>
      </c>
      <c r="K57" s="3" t="s">
        <v>1636</v>
      </c>
      <c r="L57" s="3" t="s">
        <v>1637</v>
      </c>
      <c r="M57" s="3" t="s">
        <v>1610</v>
      </c>
      <c r="N57" s="4">
        <v>250</v>
      </c>
      <c r="O57" s="4" t="s">
        <v>1261</v>
      </c>
      <c r="P57" s="3" t="s">
        <v>1459</v>
      </c>
      <c r="Q57" s="3" t="s">
        <v>1263</v>
      </c>
      <c r="R57" s="3" t="s">
        <v>1264</v>
      </c>
      <c r="S57" s="4" t="s">
        <v>1265</v>
      </c>
      <c r="T57" s="4" t="s">
        <v>1266</v>
      </c>
      <c r="U57" s="4" t="s">
        <v>1611</v>
      </c>
      <c r="V57" s="4" t="s">
        <v>1268</v>
      </c>
      <c r="W57" s="4" t="s">
        <v>1443</v>
      </c>
      <c r="X57" s="27">
        <v>3</v>
      </c>
      <c r="Y57" s="4" t="s">
        <v>1612</v>
      </c>
      <c r="Z57" s="4" t="s">
        <v>29</v>
      </c>
      <c r="AA57" s="5" t="s">
        <v>1638</v>
      </c>
      <c r="AB57" s="5" t="s">
        <v>1639</v>
      </c>
      <c r="AC57" s="4" t="s">
        <v>1615</v>
      </c>
      <c r="AD57" s="3" t="s">
        <v>1274</v>
      </c>
      <c r="AE57" s="3" t="s">
        <v>1640</v>
      </c>
    </row>
    <row r="58" spans="1:31" ht="56">
      <c r="A58" s="4" t="s">
        <v>1641</v>
      </c>
      <c r="B58" s="4" t="s">
        <v>151</v>
      </c>
      <c r="C58" s="4" t="s">
        <v>1642</v>
      </c>
      <c r="D58" s="4" t="s">
        <v>1605</v>
      </c>
      <c r="E58" s="4" t="s">
        <v>1643</v>
      </c>
      <c r="F58" s="4" t="s">
        <v>1607</v>
      </c>
      <c r="G58" s="16">
        <v>25.292634</v>
      </c>
      <c r="H58" s="16">
        <v>121.53530000000001</v>
      </c>
      <c r="I58" s="4">
        <v>4</v>
      </c>
      <c r="J58" s="4" t="s">
        <v>1305</v>
      </c>
      <c r="K58" s="3" t="s">
        <v>1644</v>
      </c>
      <c r="L58" s="3" t="s">
        <v>1645</v>
      </c>
      <c r="M58" s="3" t="s">
        <v>1610</v>
      </c>
      <c r="N58" s="4">
        <v>250</v>
      </c>
      <c r="O58" s="4" t="s">
        <v>1261</v>
      </c>
      <c r="P58" s="3" t="s">
        <v>1459</v>
      </c>
      <c r="Q58" s="3" t="s">
        <v>1263</v>
      </c>
      <c r="R58" s="3" t="s">
        <v>1264</v>
      </c>
      <c r="S58" s="4" t="s">
        <v>1265</v>
      </c>
      <c r="T58" s="4" t="s">
        <v>1266</v>
      </c>
      <c r="U58" s="4" t="s">
        <v>1611</v>
      </c>
      <c r="V58" s="4" t="s">
        <v>1268</v>
      </c>
      <c r="W58" s="4" t="s">
        <v>1443</v>
      </c>
      <c r="X58" s="27">
        <v>3</v>
      </c>
      <c r="Y58" s="4" t="s">
        <v>1612</v>
      </c>
      <c r="Z58" s="4" t="s">
        <v>66</v>
      </c>
      <c r="AA58" s="5" t="s">
        <v>1646</v>
      </c>
      <c r="AB58" s="5" t="s">
        <v>1647</v>
      </c>
      <c r="AC58" s="4" t="s">
        <v>1615</v>
      </c>
      <c r="AD58" s="3" t="s">
        <v>1274</v>
      </c>
      <c r="AE58" s="3" t="s">
        <v>1275</v>
      </c>
    </row>
    <row r="59" spans="1:31" ht="56">
      <c r="A59" s="4" t="s">
        <v>1648</v>
      </c>
      <c r="B59" s="4" t="s">
        <v>241</v>
      </c>
      <c r="C59" s="4" t="s">
        <v>1649</v>
      </c>
      <c r="D59" s="4" t="s">
        <v>1605</v>
      </c>
      <c r="E59" s="4" t="s">
        <v>1650</v>
      </c>
      <c r="F59" s="4" t="s">
        <v>1607</v>
      </c>
      <c r="G59" s="16">
        <v>25.131022000000002</v>
      </c>
      <c r="H59" s="16">
        <v>121.74133999999999</v>
      </c>
      <c r="I59" s="4">
        <v>5</v>
      </c>
      <c r="J59" s="4" t="s">
        <v>1257</v>
      </c>
      <c r="K59" s="3" t="s">
        <v>1651</v>
      </c>
      <c r="L59" s="3" t="s">
        <v>1652</v>
      </c>
      <c r="M59" s="3" t="s">
        <v>1610</v>
      </c>
      <c r="N59" s="4">
        <v>250</v>
      </c>
      <c r="O59" s="4" t="s">
        <v>1261</v>
      </c>
      <c r="P59" s="3" t="s">
        <v>1459</v>
      </c>
      <c r="Q59" s="3" t="s">
        <v>1263</v>
      </c>
      <c r="R59" s="3" t="s">
        <v>1264</v>
      </c>
      <c r="S59" s="4" t="s">
        <v>1265</v>
      </c>
      <c r="T59" s="4" t="s">
        <v>1266</v>
      </c>
      <c r="U59" s="4" t="s">
        <v>1611</v>
      </c>
      <c r="V59" s="4" t="s">
        <v>1268</v>
      </c>
      <c r="W59" s="4" t="s">
        <v>1443</v>
      </c>
      <c r="X59" s="27">
        <v>3</v>
      </c>
      <c r="Y59" s="4" t="s">
        <v>1612</v>
      </c>
      <c r="Z59" s="4" t="s">
        <v>29</v>
      </c>
      <c r="AA59" s="5" t="s">
        <v>1653</v>
      </c>
      <c r="AB59" s="5" t="s">
        <v>1654</v>
      </c>
      <c r="AC59" s="4" t="s">
        <v>1615</v>
      </c>
      <c r="AD59" s="3" t="s">
        <v>1274</v>
      </c>
      <c r="AE59" s="3" t="s">
        <v>1275</v>
      </c>
    </row>
    <row r="60" spans="1:31" ht="56">
      <c r="A60" s="4" t="s">
        <v>1655</v>
      </c>
      <c r="B60" s="4" t="s">
        <v>241</v>
      </c>
      <c r="C60" s="4" t="s">
        <v>44</v>
      </c>
      <c r="D60" s="4" t="s">
        <v>1605</v>
      </c>
      <c r="E60" s="4" t="s">
        <v>1656</v>
      </c>
      <c r="F60" s="4" t="s">
        <v>1607</v>
      </c>
      <c r="G60" s="16">
        <v>25.147141000000001</v>
      </c>
      <c r="H60" s="16">
        <v>121.78628999999999</v>
      </c>
      <c r="I60" s="4">
        <v>4</v>
      </c>
      <c r="J60" s="4" t="s">
        <v>1305</v>
      </c>
      <c r="K60" s="3" t="s">
        <v>1657</v>
      </c>
      <c r="L60" s="3" t="s">
        <v>1658</v>
      </c>
      <c r="M60" s="3" t="s">
        <v>1610</v>
      </c>
      <c r="N60" s="4">
        <v>250</v>
      </c>
      <c r="O60" s="4" t="s">
        <v>1261</v>
      </c>
      <c r="P60" s="3" t="s">
        <v>1459</v>
      </c>
      <c r="Q60" s="3" t="s">
        <v>1263</v>
      </c>
      <c r="R60" s="3" t="s">
        <v>1264</v>
      </c>
      <c r="S60" s="4" t="s">
        <v>1265</v>
      </c>
      <c r="T60" s="4" t="s">
        <v>1266</v>
      </c>
      <c r="U60" s="4" t="s">
        <v>1611</v>
      </c>
      <c r="V60" s="4" t="s">
        <v>1268</v>
      </c>
      <c r="W60" s="4" t="s">
        <v>1443</v>
      </c>
      <c r="X60" s="27">
        <v>3</v>
      </c>
      <c r="Y60" s="4" t="s">
        <v>1612</v>
      </c>
      <c r="Z60" s="4" t="s">
        <v>66</v>
      </c>
      <c r="AA60" s="5" t="s">
        <v>1659</v>
      </c>
      <c r="AB60" s="5" t="s">
        <v>1660</v>
      </c>
      <c r="AC60" s="4" t="s">
        <v>1615</v>
      </c>
      <c r="AD60" s="3" t="s">
        <v>1274</v>
      </c>
      <c r="AE60" s="3" t="s">
        <v>1275</v>
      </c>
    </row>
    <row r="61" spans="1:31" ht="84">
      <c r="A61" s="4" t="s">
        <v>1661</v>
      </c>
      <c r="B61" s="4" t="s">
        <v>241</v>
      </c>
      <c r="C61" s="4" t="s">
        <v>97</v>
      </c>
      <c r="D61" s="4" t="s">
        <v>1605</v>
      </c>
      <c r="E61" s="4" t="s">
        <v>1662</v>
      </c>
      <c r="F61" s="4" t="s">
        <v>1607</v>
      </c>
      <c r="G61" s="16">
        <v>25.163322000000001</v>
      </c>
      <c r="H61" s="16">
        <v>121.72709999999999</v>
      </c>
      <c r="I61" s="4">
        <v>4</v>
      </c>
      <c r="J61" s="4" t="s">
        <v>1305</v>
      </c>
      <c r="K61" s="3" t="s">
        <v>1663</v>
      </c>
      <c r="L61" s="3" t="s">
        <v>1664</v>
      </c>
      <c r="M61" s="3" t="s">
        <v>1610</v>
      </c>
      <c r="N61" s="4">
        <v>250</v>
      </c>
      <c r="O61" s="4" t="s">
        <v>1261</v>
      </c>
      <c r="P61" s="3" t="s">
        <v>1459</v>
      </c>
      <c r="Q61" s="3" t="s">
        <v>1263</v>
      </c>
      <c r="R61" s="3" t="s">
        <v>1264</v>
      </c>
      <c r="S61" s="4" t="s">
        <v>1265</v>
      </c>
      <c r="T61" s="4" t="s">
        <v>1266</v>
      </c>
      <c r="U61" s="4" t="s">
        <v>1611</v>
      </c>
      <c r="V61" s="4" t="s">
        <v>1268</v>
      </c>
      <c r="W61" s="4" t="s">
        <v>1443</v>
      </c>
      <c r="X61" s="27">
        <v>3</v>
      </c>
      <c r="Y61" s="4" t="s">
        <v>1612</v>
      </c>
      <c r="Z61" s="4" t="s">
        <v>66</v>
      </c>
      <c r="AA61" s="5" t="s">
        <v>1665</v>
      </c>
      <c r="AB61" s="5" t="s">
        <v>1666</v>
      </c>
      <c r="AC61" s="4" t="s">
        <v>1615</v>
      </c>
      <c r="AD61" s="3" t="s">
        <v>1274</v>
      </c>
      <c r="AE61" s="3" t="s">
        <v>1275</v>
      </c>
    </row>
    <row r="62" spans="1:31" ht="56">
      <c r="A62" s="4" t="s">
        <v>1667</v>
      </c>
      <c r="B62" s="4" t="s">
        <v>281</v>
      </c>
      <c r="C62" s="4" t="s">
        <v>293</v>
      </c>
      <c r="D62" s="4" t="s">
        <v>1605</v>
      </c>
      <c r="E62" s="4" t="s">
        <v>1668</v>
      </c>
      <c r="F62" s="4" t="s">
        <v>1607</v>
      </c>
      <c r="G62" s="16">
        <v>25.116855000000001</v>
      </c>
      <c r="H62" s="16">
        <v>121.24415</v>
      </c>
      <c r="I62" s="4">
        <v>5</v>
      </c>
      <c r="J62" s="4" t="s">
        <v>1257</v>
      </c>
      <c r="K62" s="3" t="s">
        <v>1669</v>
      </c>
      <c r="L62" s="3" t="s">
        <v>1670</v>
      </c>
      <c r="M62" s="3" t="s">
        <v>1610</v>
      </c>
      <c r="N62" s="4">
        <v>250</v>
      </c>
      <c r="O62" s="4" t="s">
        <v>1261</v>
      </c>
      <c r="P62" s="3" t="s">
        <v>1459</v>
      </c>
      <c r="Q62" s="3" t="s">
        <v>1263</v>
      </c>
      <c r="R62" s="3" t="s">
        <v>1264</v>
      </c>
      <c r="S62" s="4" t="s">
        <v>1265</v>
      </c>
      <c r="T62" s="4" t="s">
        <v>1266</v>
      </c>
      <c r="U62" s="4" t="s">
        <v>1611</v>
      </c>
      <c r="V62" s="4" t="s">
        <v>1268</v>
      </c>
      <c r="W62" s="4" t="s">
        <v>1443</v>
      </c>
      <c r="X62" s="27">
        <v>3</v>
      </c>
      <c r="Y62" s="4" t="s">
        <v>1612</v>
      </c>
      <c r="Z62" s="4" t="s">
        <v>29</v>
      </c>
      <c r="AA62" s="5" t="s">
        <v>1671</v>
      </c>
      <c r="AB62" s="5" t="s">
        <v>1672</v>
      </c>
      <c r="AC62" s="4" t="s">
        <v>1615</v>
      </c>
      <c r="AD62" s="3" t="s">
        <v>1274</v>
      </c>
      <c r="AE62" s="3" t="s">
        <v>1275</v>
      </c>
    </row>
    <row r="63" spans="1:31" ht="56">
      <c r="A63" s="4" t="s">
        <v>1673</v>
      </c>
      <c r="B63" s="4" t="s">
        <v>281</v>
      </c>
      <c r="C63" s="4" t="s">
        <v>1674</v>
      </c>
      <c r="D63" s="4" t="s">
        <v>1605</v>
      </c>
      <c r="E63" s="4" t="s">
        <v>1675</v>
      </c>
      <c r="F63" s="4" t="s">
        <v>1607</v>
      </c>
      <c r="G63" s="16">
        <v>24.987943000000001</v>
      </c>
      <c r="H63" s="16">
        <v>121.01492</v>
      </c>
      <c r="I63" s="4">
        <v>5</v>
      </c>
      <c r="J63" s="4" t="s">
        <v>1257</v>
      </c>
      <c r="K63" s="3" t="s">
        <v>1676</v>
      </c>
      <c r="L63" s="3" t="s">
        <v>1677</v>
      </c>
      <c r="M63" s="3" t="s">
        <v>1610</v>
      </c>
      <c r="N63" s="4">
        <v>250</v>
      </c>
      <c r="O63" s="4" t="s">
        <v>1261</v>
      </c>
      <c r="P63" s="3" t="s">
        <v>1459</v>
      </c>
      <c r="Q63" s="3" t="s">
        <v>1263</v>
      </c>
      <c r="R63" s="3" t="s">
        <v>1264</v>
      </c>
      <c r="S63" s="4" t="s">
        <v>1265</v>
      </c>
      <c r="T63" s="4" t="s">
        <v>1266</v>
      </c>
      <c r="U63" s="4" t="s">
        <v>1611</v>
      </c>
      <c r="V63" s="4" t="s">
        <v>1268</v>
      </c>
      <c r="W63" s="4" t="s">
        <v>1443</v>
      </c>
      <c r="X63" s="27">
        <v>3</v>
      </c>
      <c r="Y63" s="4" t="s">
        <v>1612</v>
      </c>
      <c r="Z63" s="4" t="s">
        <v>29</v>
      </c>
      <c r="AA63" s="5" t="s">
        <v>1678</v>
      </c>
      <c r="AB63" s="5" t="s">
        <v>1679</v>
      </c>
      <c r="AC63" s="4" t="s">
        <v>1615</v>
      </c>
      <c r="AD63" s="3" t="s">
        <v>1274</v>
      </c>
      <c r="AE63" s="3" t="s">
        <v>1275</v>
      </c>
    </row>
    <row r="64" spans="1:31" ht="70">
      <c r="A64" s="4" t="s">
        <v>1680</v>
      </c>
      <c r="B64" s="4" t="s">
        <v>355</v>
      </c>
      <c r="C64" s="4" t="s">
        <v>366</v>
      </c>
      <c r="D64" s="4" t="s">
        <v>1605</v>
      </c>
      <c r="E64" s="4" t="s">
        <v>1681</v>
      </c>
      <c r="F64" s="4" t="s">
        <v>1607</v>
      </c>
      <c r="G64" s="16">
        <v>24.846239000000001</v>
      </c>
      <c r="H64" s="16">
        <v>120.92589</v>
      </c>
      <c r="I64" s="4">
        <v>5</v>
      </c>
      <c r="J64" s="4" t="s">
        <v>1257</v>
      </c>
      <c r="K64" s="3" t="s">
        <v>1682</v>
      </c>
      <c r="L64" s="3" t="s">
        <v>1683</v>
      </c>
      <c r="M64" s="3" t="s">
        <v>1610</v>
      </c>
      <c r="N64" s="4">
        <v>250</v>
      </c>
      <c r="O64" s="4" t="s">
        <v>1261</v>
      </c>
      <c r="P64" s="3" t="s">
        <v>1459</v>
      </c>
      <c r="Q64" s="3" t="s">
        <v>1263</v>
      </c>
      <c r="R64" s="3" t="s">
        <v>1264</v>
      </c>
      <c r="S64" s="4" t="s">
        <v>1265</v>
      </c>
      <c r="T64" s="4" t="s">
        <v>1266</v>
      </c>
      <c r="U64" s="4" t="s">
        <v>1611</v>
      </c>
      <c r="V64" s="4" t="s">
        <v>1268</v>
      </c>
      <c r="W64" s="4" t="s">
        <v>1443</v>
      </c>
      <c r="X64" s="27">
        <v>3</v>
      </c>
      <c r="Y64" s="4" t="s">
        <v>1612</v>
      </c>
      <c r="Z64" s="4" t="s">
        <v>29</v>
      </c>
      <c r="AA64" s="5" t="s">
        <v>1684</v>
      </c>
      <c r="AB64" s="5" t="s">
        <v>1685</v>
      </c>
      <c r="AC64" s="4" t="s">
        <v>1615</v>
      </c>
      <c r="AD64" s="3" t="s">
        <v>1274</v>
      </c>
      <c r="AE64" s="3" t="s">
        <v>1275</v>
      </c>
    </row>
    <row r="65" spans="1:31" ht="56">
      <c r="A65" s="4" t="s">
        <v>1686</v>
      </c>
      <c r="B65" s="4" t="s">
        <v>436</v>
      </c>
      <c r="C65" s="4" t="s">
        <v>447</v>
      </c>
      <c r="D65" s="4" t="s">
        <v>1605</v>
      </c>
      <c r="E65" s="4" t="s">
        <v>1687</v>
      </c>
      <c r="F65" s="4" t="s">
        <v>1607</v>
      </c>
      <c r="G65" s="16">
        <v>24.699777999999998</v>
      </c>
      <c r="H65" s="16">
        <v>120.85831</v>
      </c>
      <c r="I65" s="4">
        <v>4</v>
      </c>
      <c r="J65" s="4" t="s">
        <v>1305</v>
      </c>
      <c r="K65" s="3" t="s">
        <v>1688</v>
      </c>
      <c r="L65" s="3" t="s">
        <v>1689</v>
      </c>
      <c r="M65" s="3" t="s">
        <v>1610</v>
      </c>
      <c r="N65" s="4">
        <v>250</v>
      </c>
      <c r="O65" s="4" t="s">
        <v>1261</v>
      </c>
      <c r="P65" s="3" t="s">
        <v>1459</v>
      </c>
      <c r="Q65" s="3" t="s">
        <v>1263</v>
      </c>
      <c r="R65" s="3" t="s">
        <v>1264</v>
      </c>
      <c r="S65" s="4" t="s">
        <v>1265</v>
      </c>
      <c r="T65" s="4" t="s">
        <v>1266</v>
      </c>
      <c r="U65" s="4" t="s">
        <v>1611</v>
      </c>
      <c r="V65" s="4" t="s">
        <v>1268</v>
      </c>
      <c r="W65" s="4" t="s">
        <v>1443</v>
      </c>
      <c r="X65" s="27">
        <v>3</v>
      </c>
      <c r="Y65" s="4" t="s">
        <v>1612</v>
      </c>
      <c r="Z65" s="4" t="s">
        <v>66</v>
      </c>
      <c r="AA65" s="5" t="s">
        <v>1690</v>
      </c>
      <c r="AB65" s="5" t="s">
        <v>1691</v>
      </c>
      <c r="AC65" s="4" t="s">
        <v>1615</v>
      </c>
      <c r="AD65" s="3" t="s">
        <v>1274</v>
      </c>
      <c r="AE65" s="3" t="s">
        <v>1275</v>
      </c>
    </row>
    <row r="66" spans="1:31" ht="70">
      <c r="A66" s="4" t="s">
        <v>1692</v>
      </c>
      <c r="B66" s="4" t="s">
        <v>480</v>
      </c>
      <c r="C66" s="4" t="s">
        <v>535</v>
      </c>
      <c r="D66" s="4" t="s">
        <v>1605</v>
      </c>
      <c r="E66" s="4" t="s">
        <v>1693</v>
      </c>
      <c r="F66" s="4" t="s">
        <v>1607</v>
      </c>
      <c r="G66" s="16">
        <v>24.293410000000002</v>
      </c>
      <c r="H66" s="16">
        <v>120.52122</v>
      </c>
      <c r="I66" s="4">
        <v>5</v>
      </c>
      <c r="J66" s="4" t="s">
        <v>1257</v>
      </c>
      <c r="K66" s="3" t="s">
        <v>1694</v>
      </c>
      <c r="L66" s="3" t="s">
        <v>1695</v>
      </c>
      <c r="M66" s="3" t="s">
        <v>1610</v>
      </c>
      <c r="N66" s="4">
        <v>250</v>
      </c>
      <c r="O66" s="4" t="s">
        <v>1261</v>
      </c>
      <c r="P66" s="3" t="s">
        <v>1459</v>
      </c>
      <c r="Q66" s="3" t="s">
        <v>1263</v>
      </c>
      <c r="R66" s="3" t="s">
        <v>1264</v>
      </c>
      <c r="S66" s="4" t="s">
        <v>1265</v>
      </c>
      <c r="T66" s="4" t="s">
        <v>1266</v>
      </c>
      <c r="U66" s="4" t="s">
        <v>1611</v>
      </c>
      <c r="V66" s="4" t="s">
        <v>1268</v>
      </c>
      <c r="W66" s="4" t="s">
        <v>1443</v>
      </c>
      <c r="X66" s="27">
        <v>3</v>
      </c>
      <c r="Y66" s="4" t="s">
        <v>1612</v>
      </c>
      <c r="Z66" s="4" t="s">
        <v>29</v>
      </c>
      <c r="AA66" s="5" t="s">
        <v>1696</v>
      </c>
      <c r="AB66" s="5" t="s">
        <v>1697</v>
      </c>
      <c r="AC66" s="4" t="s">
        <v>1615</v>
      </c>
      <c r="AD66" s="3" t="s">
        <v>1274</v>
      </c>
      <c r="AE66" s="3" t="s">
        <v>1275</v>
      </c>
    </row>
    <row r="67" spans="1:31" ht="84">
      <c r="A67" s="4" t="s">
        <v>1698</v>
      </c>
      <c r="B67" s="4" t="s">
        <v>559</v>
      </c>
      <c r="C67" s="4" t="s">
        <v>1699</v>
      </c>
      <c r="D67" s="4" t="s">
        <v>1605</v>
      </c>
      <c r="E67" s="4" t="s">
        <v>1700</v>
      </c>
      <c r="F67" s="4" t="s">
        <v>1607</v>
      </c>
      <c r="G67" s="16">
        <v>23.969635</v>
      </c>
      <c r="H67" s="16">
        <v>120.32644000000001</v>
      </c>
      <c r="I67" s="4">
        <v>5</v>
      </c>
      <c r="J67" s="4" t="s">
        <v>1257</v>
      </c>
      <c r="K67" s="3" t="s">
        <v>1701</v>
      </c>
      <c r="L67" s="3" t="s">
        <v>1702</v>
      </c>
      <c r="M67" s="3" t="s">
        <v>1610</v>
      </c>
      <c r="N67" s="4">
        <v>250</v>
      </c>
      <c r="O67" s="4" t="s">
        <v>1261</v>
      </c>
      <c r="P67" s="3" t="s">
        <v>1459</v>
      </c>
      <c r="Q67" s="3" t="s">
        <v>1263</v>
      </c>
      <c r="R67" s="3" t="s">
        <v>1264</v>
      </c>
      <c r="S67" s="4" t="s">
        <v>1265</v>
      </c>
      <c r="T67" s="4" t="s">
        <v>1266</v>
      </c>
      <c r="U67" s="4" t="s">
        <v>1611</v>
      </c>
      <c r="V67" s="4" t="s">
        <v>1268</v>
      </c>
      <c r="W67" s="4" t="s">
        <v>1443</v>
      </c>
      <c r="X67" s="27">
        <v>3</v>
      </c>
      <c r="Y67" s="4" t="s">
        <v>1612</v>
      </c>
      <c r="Z67" s="4" t="s">
        <v>29</v>
      </c>
      <c r="AA67" s="5" t="s">
        <v>1703</v>
      </c>
      <c r="AB67" s="5" t="s">
        <v>1704</v>
      </c>
      <c r="AC67" s="4" t="s">
        <v>1615</v>
      </c>
      <c r="AD67" s="3" t="s">
        <v>1274</v>
      </c>
      <c r="AE67" s="3" t="s">
        <v>1275</v>
      </c>
    </row>
    <row r="68" spans="1:31" ht="84">
      <c r="A68" s="4" t="s">
        <v>1705</v>
      </c>
      <c r="B68" s="4" t="s">
        <v>714</v>
      </c>
      <c r="C68" s="4" t="s">
        <v>735</v>
      </c>
      <c r="D68" s="4" t="s">
        <v>1605</v>
      </c>
      <c r="E68" s="4" t="s">
        <v>1706</v>
      </c>
      <c r="F68" s="4" t="s">
        <v>1607</v>
      </c>
      <c r="G68" s="16">
        <v>23.448865000000001</v>
      </c>
      <c r="H68" s="16">
        <v>120.13533</v>
      </c>
      <c r="I68" s="4">
        <v>5</v>
      </c>
      <c r="J68" s="4" t="s">
        <v>1257</v>
      </c>
      <c r="K68" s="3" t="s">
        <v>1707</v>
      </c>
      <c r="L68" s="3" t="s">
        <v>1708</v>
      </c>
      <c r="M68" s="3" t="s">
        <v>1610</v>
      </c>
      <c r="N68" s="4">
        <v>250</v>
      </c>
      <c r="O68" s="4" t="s">
        <v>1261</v>
      </c>
      <c r="P68" s="3" t="s">
        <v>1459</v>
      </c>
      <c r="Q68" s="3" t="s">
        <v>1263</v>
      </c>
      <c r="R68" s="3" t="s">
        <v>1264</v>
      </c>
      <c r="S68" s="4" t="s">
        <v>1265</v>
      </c>
      <c r="T68" s="4" t="s">
        <v>1266</v>
      </c>
      <c r="U68" s="4" t="s">
        <v>1611</v>
      </c>
      <c r="V68" s="4" t="s">
        <v>1268</v>
      </c>
      <c r="W68" s="4" t="s">
        <v>1443</v>
      </c>
      <c r="X68" s="27">
        <v>3</v>
      </c>
      <c r="Y68" s="4" t="s">
        <v>1612</v>
      </c>
      <c r="Z68" s="4" t="s">
        <v>29</v>
      </c>
      <c r="AA68" s="5" t="s">
        <v>1709</v>
      </c>
      <c r="AB68" s="5" t="s">
        <v>1710</v>
      </c>
      <c r="AC68" s="4" t="s">
        <v>1615</v>
      </c>
      <c r="AD68" s="3" t="s">
        <v>1274</v>
      </c>
      <c r="AE68" s="3" t="s">
        <v>1711</v>
      </c>
    </row>
    <row r="69" spans="1:31" ht="70">
      <c r="A69" s="4" t="s">
        <v>1712</v>
      </c>
      <c r="B69" s="4" t="s">
        <v>714</v>
      </c>
      <c r="C69" s="4" t="s">
        <v>745</v>
      </c>
      <c r="D69" s="4" t="s">
        <v>1605</v>
      </c>
      <c r="E69" s="4" t="s">
        <v>1713</v>
      </c>
      <c r="F69" s="4" t="s">
        <v>1607</v>
      </c>
      <c r="G69" s="16">
        <v>23.379479</v>
      </c>
      <c r="H69" s="16">
        <v>120.15555999999999</v>
      </c>
      <c r="I69" s="4">
        <v>4</v>
      </c>
      <c r="J69" s="4" t="s">
        <v>1305</v>
      </c>
      <c r="K69" s="3" t="s">
        <v>1714</v>
      </c>
      <c r="L69" s="3" t="s">
        <v>1715</v>
      </c>
      <c r="M69" s="3" t="s">
        <v>1610</v>
      </c>
      <c r="N69" s="4">
        <v>250</v>
      </c>
      <c r="O69" s="4" t="s">
        <v>1261</v>
      </c>
      <c r="P69" s="3" t="s">
        <v>1459</v>
      </c>
      <c r="Q69" s="3" t="s">
        <v>1263</v>
      </c>
      <c r="R69" s="3" t="s">
        <v>1264</v>
      </c>
      <c r="S69" s="4" t="s">
        <v>1265</v>
      </c>
      <c r="T69" s="4" t="s">
        <v>1266</v>
      </c>
      <c r="U69" s="4" t="s">
        <v>1611</v>
      </c>
      <c r="V69" s="4" t="s">
        <v>1268</v>
      </c>
      <c r="W69" s="4" t="s">
        <v>1443</v>
      </c>
      <c r="X69" s="27">
        <v>3</v>
      </c>
      <c r="Y69" s="4" t="s">
        <v>1612</v>
      </c>
      <c r="Z69" s="4" t="s">
        <v>66</v>
      </c>
      <c r="AA69" s="5" t="s">
        <v>1716</v>
      </c>
      <c r="AB69" s="5" t="s">
        <v>1717</v>
      </c>
      <c r="AC69" s="4" t="s">
        <v>1615</v>
      </c>
      <c r="AD69" s="3" t="s">
        <v>1274</v>
      </c>
      <c r="AE69" s="3" t="s">
        <v>1275</v>
      </c>
    </row>
    <row r="70" spans="1:31" ht="70">
      <c r="A70" s="4" t="s">
        <v>1718</v>
      </c>
      <c r="B70" s="4" t="s">
        <v>750</v>
      </c>
      <c r="C70" s="4" t="s">
        <v>765</v>
      </c>
      <c r="D70" s="4" t="s">
        <v>1605</v>
      </c>
      <c r="E70" s="4" t="s">
        <v>1719</v>
      </c>
      <c r="F70" s="4" t="s">
        <v>1607</v>
      </c>
      <c r="G70" s="16">
        <v>22.991040999999999</v>
      </c>
      <c r="H70" s="16">
        <v>120.14729</v>
      </c>
      <c r="I70" s="4">
        <v>4</v>
      </c>
      <c r="J70" s="4" t="s">
        <v>1305</v>
      </c>
      <c r="K70" s="3" t="s">
        <v>1720</v>
      </c>
      <c r="L70" s="3" t="s">
        <v>1721</v>
      </c>
      <c r="M70" s="3" t="s">
        <v>1610</v>
      </c>
      <c r="N70" s="4">
        <v>250</v>
      </c>
      <c r="O70" s="4" t="s">
        <v>1261</v>
      </c>
      <c r="P70" s="3" t="s">
        <v>1459</v>
      </c>
      <c r="Q70" s="3" t="s">
        <v>1263</v>
      </c>
      <c r="R70" s="3" t="s">
        <v>1264</v>
      </c>
      <c r="S70" s="4" t="s">
        <v>1265</v>
      </c>
      <c r="T70" s="4" t="s">
        <v>1266</v>
      </c>
      <c r="U70" s="4" t="s">
        <v>1611</v>
      </c>
      <c r="V70" s="4" t="s">
        <v>1268</v>
      </c>
      <c r="W70" s="4" t="s">
        <v>1443</v>
      </c>
      <c r="X70" s="27">
        <v>3</v>
      </c>
      <c r="Y70" s="4" t="s">
        <v>1612</v>
      </c>
      <c r="Z70" s="4" t="s">
        <v>66</v>
      </c>
      <c r="AA70" s="5" t="s">
        <v>1722</v>
      </c>
      <c r="AB70" s="5" t="s">
        <v>1723</v>
      </c>
      <c r="AC70" s="4" t="s">
        <v>1615</v>
      </c>
      <c r="AD70" s="3" t="s">
        <v>1274</v>
      </c>
      <c r="AE70" s="3" t="s">
        <v>1275</v>
      </c>
    </row>
    <row r="71" spans="1:31" ht="56">
      <c r="A71" s="4" t="s">
        <v>1724</v>
      </c>
      <c r="B71" s="4" t="s">
        <v>819</v>
      </c>
      <c r="C71" s="4" t="s">
        <v>1725</v>
      </c>
      <c r="D71" s="4" t="s">
        <v>1605</v>
      </c>
      <c r="E71" s="4" t="s">
        <v>1726</v>
      </c>
      <c r="F71" s="4" t="s">
        <v>1607</v>
      </c>
      <c r="G71" s="16">
        <v>22.624860000000002</v>
      </c>
      <c r="H71" s="16">
        <v>120.28912</v>
      </c>
      <c r="I71" s="4">
        <v>5</v>
      </c>
      <c r="J71" s="4" t="s">
        <v>1257</v>
      </c>
      <c r="K71" s="3" t="s">
        <v>1727</v>
      </c>
      <c r="L71" s="3" t="s">
        <v>1728</v>
      </c>
      <c r="M71" s="3" t="s">
        <v>1610</v>
      </c>
      <c r="N71" s="4">
        <v>250</v>
      </c>
      <c r="O71" s="4" t="s">
        <v>1261</v>
      </c>
      <c r="P71" s="3" t="s">
        <v>1459</v>
      </c>
      <c r="Q71" s="3" t="s">
        <v>1263</v>
      </c>
      <c r="R71" s="3" t="s">
        <v>1264</v>
      </c>
      <c r="S71" s="4" t="s">
        <v>1265</v>
      </c>
      <c r="T71" s="4" t="s">
        <v>1266</v>
      </c>
      <c r="U71" s="4" t="s">
        <v>1611</v>
      </c>
      <c r="V71" s="4" t="s">
        <v>1268</v>
      </c>
      <c r="W71" s="4" t="s">
        <v>1443</v>
      </c>
      <c r="X71" s="27">
        <v>3</v>
      </c>
      <c r="Y71" s="4" t="s">
        <v>1612</v>
      </c>
      <c r="Z71" s="4" t="s">
        <v>29</v>
      </c>
      <c r="AA71" s="5" t="s">
        <v>1729</v>
      </c>
      <c r="AB71" s="5" t="s">
        <v>1730</v>
      </c>
      <c r="AC71" s="4" t="s">
        <v>1615</v>
      </c>
      <c r="AD71" s="3" t="s">
        <v>1274</v>
      </c>
      <c r="AE71" s="3" t="s">
        <v>1275</v>
      </c>
    </row>
    <row r="72" spans="1:31" ht="56">
      <c r="A72" s="4" t="s">
        <v>1731</v>
      </c>
      <c r="B72" s="4" t="s">
        <v>819</v>
      </c>
      <c r="C72" s="4" t="s">
        <v>825</v>
      </c>
      <c r="D72" s="4" t="s">
        <v>1605</v>
      </c>
      <c r="E72" s="4" t="s">
        <v>1732</v>
      </c>
      <c r="F72" s="4" t="s">
        <v>1607</v>
      </c>
      <c r="G72" s="16">
        <v>22.599017</v>
      </c>
      <c r="H72" s="16">
        <v>120.28843000000001</v>
      </c>
      <c r="I72" s="4">
        <v>5</v>
      </c>
      <c r="J72" s="4" t="s">
        <v>1257</v>
      </c>
      <c r="K72" s="3" t="s">
        <v>1733</v>
      </c>
      <c r="L72" s="3" t="s">
        <v>1734</v>
      </c>
      <c r="M72" s="3" t="s">
        <v>1610</v>
      </c>
      <c r="N72" s="4">
        <v>250</v>
      </c>
      <c r="O72" s="4" t="s">
        <v>1261</v>
      </c>
      <c r="P72" s="3" t="s">
        <v>1459</v>
      </c>
      <c r="Q72" s="3" t="s">
        <v>1263</v>
      </c>
      <c r="R72" s="3" t="s">
        <v>1264</v>
      </c>
      <c r="S72" s="4" t="s">
        <v>1265</v>
      </c>
      <c r="T72" s="4" t="s">
        <v>1266</v>
      </c>
      <c r="U72" s="4" t="s">
        <v>1611</v>
      </c>
      <c r="V72" s="4" t="s">
        <v>1268</v>
      </c>
      <c r="W72" s="4" t="s">
        <v>1443</v>
      </c>
      <c r="X72" s="27">
        <v>3</v>
      </c>
      <c r="Y72" s="4" t="s">
        <v>1612</v>
      </c>
      <c r="Z72" s="4" t="s">
        <v>29</v>
      </c>
      <c r="AA72" s="5" t="s">
        <v>1735</v>
      </c>
      <c r="AB72" s="5" t="s">
        <v>1736</v>
      </c>
      <c r="AC72" s="4" t="s">
        <v>1615</v>
      </c>
      <c r="AD72" s="3" t="s">
        <v>1274</v>
      </c>
      <c r="AE72" s="3" t="s">
        <v>1275</v>
      </c>
    </row>
    <row r="73" spans="1:31" ht="70">
      <c r="A73" s="4" t="s">
        <v>1737</v>
      </c>
      <c r="B73" s="4" t="s">
        <v>914</v>
      </c>
      <c r="C73" s="4" t="s">
        <v>938</v>
      </c>
      <c r="D73" s="4" t="s">
        <v>1605</v>
      </c>
      <c r="E73" s="4" t="s">
        <v>1738</v>
      </c>
      <c r="F73" s="4" t="s">
        <v>1607</v>
      </c>
      <c r="G73" s="16">
        <v>22.468088999999999</v>
      </c>
      <c r="H73" s="16">
        <v>120.44332</v>
      </c>
      <c r="I73" s="4">
        <v>5</v>
      </c>
      <c r="J73" s="4" t="s">
        <v>1257</v>
      </c>
      <c r="K73" s="3" t="s">
        <v>1739</v>
      </c>
      <c r="L73" s="3" t="s">
        <v>1740</v>
      </c>
      <c r="M73" s="3" t="s">
        <v>1610</v>
      </c>
      <c r="N73" s="4">
        <v>250</v>
      </c>
      <c r="O73" s="4" t="s">
        <v>1261</v>
      </c>
      <c r="P73" s="3" t="s">
        <v>1459</v>
      </c>
      <c r="Q73" s="3" t="s">
        <v>1263</v>
      </c>
      <c r="R73" s="3" t="s">
        <v>1264</v>
      </c>
      <c r="S73" s="4" t="s">
        <v>1265</v>
      </c>
      <c r="T73" s="4" t="s">
        <v>1266</v>
      </c>
      <c r="U73" s="4" t="s">
        <v>1611</v>
      </c>
      <c r="V73" s="4" t="s">
        <v>1268</v>
      </c>
      <c r="W73" s="4" t="s">
        <v>1443</v>
      </c>
      <c r="X73" s="27">
        <v>3</v>
      </c>
      <c r="Y73" s="4" t="s">
        <v>1612</v>
      </c>
      <c r="Z73" s="4" t="s">
        <v>29</v>
      </c>
      <c r="AA73" s="5" t="s">
        <v>1741</v>
      </c>
      <c r="AB73" s="5" t="s">
        <v>1742</v>
      </c>
      <c r="AC73" s="4" t="s">
        <v>1615</v>
      </c>
      <c r="AD73" s="3" t="s">
        <v>1274</v>
      </c>
      <c r="AE73" s="3" t="s">
        <v>1275</v>
      </c>
    </row>
    <row r="74" spans="1:31" ht="56">
      <c r="A74" s="4" t="s">
        <v>1743</v>
      </c>
      <c r="B74" s="4" t="s">
        <v>958</v>
      </c>
      <c r="C74" s="4" t="s">
        <v>994</v>
      </c>
      <c r="D74" s="4" t="s">
        <v>1605</v>
      </c>
      <c r="E74" s="4" t="s">
        <v>1744</v>
      </c>
      <c r="F74" s="4" t="s">
        <v>1607</v>
      </c>
      <c r="G74" s="16">
        <v>24.584472000000002</v>
      </c>
      <c r="H74" s="16">
        <v>121.86452</v>
      </c>
      <c r="I74" s="4">
        <v>5</v>
      </c>
      <c r="J74" s="4" t="s">
        <v>1257</v>
      </c>
      <c r="K74" s="3" t="s">
        <v>1745</v>
      </c>
      <c r="L74" s="3" t="s">
        <v>1746</v>
      </c>
      <c r="M74" s="3" t="s">
        <v>1610</v>
      </c>
      <c r="N74" s="4">
        <v>250</v>
      </c>
      <c r="O74" s="4" t="s">
        <v>1261</v>
      </c>
      <c r="P74" s="3" t="s">
        <v>1459</v>
      </c>
      <c r="Q74" s="3" t="s">
        <v>1263</v>
      </c>
      <c r="R74" s="3" t="s">
        <v>1264</v>
      </c>
      <c r="S74" s="4" t="s">
        <v>1265</v>
      </c>
      <c r="T74" s="4" t="s">
        <v>1266</v>
      </c>
      <c r="U74" s="4" t="s">
        <v>1611</v>
      </c>
      <c r="V74" s="4" t="s">
        <v>1268</v>
      </c>
      <c r="W74" s="4" t="s">
        <v>1443</v>
      </c>
      <c r="X74" s="27">
        <v>3</v>
      </c>
      <c r="Y74" s="4" t="s">
        <v>1612</v>
      </c>
      <c r="Z74" s="4" t="s">
        <v>29</v>
      </c>
      <c r="AA74" s="5" t="s">
        <v>1747</v>
      </c>
      <c r="AB74" s="5" t="s">
        <v>1748</v>
      </c>
      <c r="AC74" s="4" t="s">
        <v>1615</v>
      </c>
      <c r="AD74" s="3" t="s">
        <v>1274</v>
      </c>
      <c r="AE74" s="3" t="s">
        <v>1275</v>
      </c>
    </row>
    <row r="75" spans="1:31" ht="70">
      <c r="A75" s="4" t="s">
        <v>1749</v>
      </c>
      <c r="B75" s="4" t="s">
        <v>1008</v>
      </c>
      <c r="C75" s="4" t="s">
        <v>1009</v>
      </c>
      <c r="D75" s="4" t="s">
        <v>1605</v>
      </c>
      <c r="E75" s="4" t="s">
        <v>1750</v>
      </c>
      <c r="F75" s="4" t="s">
        <v>1607</v>
      </c>
      <c r="G75" s="16">
        <v>23.966387999999998</v>
      </c>
      <c r="H75" s="16">
        <v>121.60916</v>
      </c>
      <c r="I75" s="4">
        <v>4</v>
      </c>
      <c r="J75" s="4" t="s">
        <v>1305</v>
      </c>
      <c r="K75" s="3" t="s">
        <v>1751</v>
      </c>
      <c r="L75" s="3" t="s">
        <v>1752</v>
      </c>
      <c r="M75" s="3" t="s">
        <v>1610</v>
      </c>
      <c r="N75" s="4">
        <v>250</v>
      </c>
      <c r="O75" s="4" t="s">
        <v>1261</v>
      </c>
      <c r="P75" s="3" t="s">
        <v>1459</v>
      </c>
      <c r="Q75" s="3" t="s">
        <v>1263</v>
      </c>
      <c r="R75" s="3" t="s">
        <v>1264</v>
      </c>
      <c r="S75" s="4" t="s">
        <v>1265</v>
      </c>
      <c r="T75" s="4" t="s">
        <v>1266</v>
      </c>
      <c r="U75" s="4" t="s">
        <v>1611</v>
      </c>
      <c r="V75" s="4" t="s">
        <v>1268</v>
      </c>
      <c r="W75" s="4" t="s">
        <v>1443</v>
      </c>
      <c r="X75" s="27">
        <v>3</v>
      </c>
      <c r="Y75" s="4" t="s">
        <v>1612</v>
      </c>
      <c r="Z75" s="4" t="s">
        <v>66</v>
      </c>
      <c r="AA75" s="5" t="s">
        <v>1753</v>
      </c>
      <c r="AB75" s="5" t="s">
        <v>1013</v>
      </c>
      <c r="AC75" s="4" t="s">
        <v>1615</v>
      </c>
      <c r="AD75" s="3" t="s">
        <v>1274</v>
      </c>
      <c r="AE75" s="3" t="s">
        <v>1275</v>
      </c>
    </row>
    <row r="76" spans="1:31" ht="56">
      <c r="A76" s="4" t="s">
        <v>1754</v>
      </c>
      <c r="B76" s="4" t="s">
        <v>1048</v>
      </c>
      <c r="C76" s="4" t="s">
        <v>1049</v>
      </c>
      <c r="D76" s="4" t="s">
        <v>1605</v>
      </c>
      <c r="E76" s="4" t="s">
        <v>1755</v>
      </c>
      <c r="F76" s="4" t="s">
        <v>1607</v>
      </c>
      <c r="G76" s="16">
        <v>22.791674</v>
      </c>
      <c r="H76" s="16">
        <v>121.19204999999999</v>
      </c>
      <c r="I76" s="4">
        <v>4</v>
      </c>
      <c r="J76" s="4" t="s">
        <v>1305</v>
      </c>
      <c r="K76" s="3" t="s">
        <v>1756</v>
      </c>
      <c r="L76" s="3" t="s">
        <v>1757</v>
      </c>
      <c r="M76" s="3" t="s">
        <v>1610</v>
      </c>
      <c r="N76" s="4">
        <v>250</v>
      </c>
      <c r="O76" s="4" t="s">
        <v>1261</v>
      </c>
      <c r="P76" s="3" t="s">
        <v>1459</v>
      </c>
      <c r="Q76" s="3" t="s">
        <v>1263</v>
      </c>
      <c r="R76" s="3" t="s">
        <v>1264</v>
      </c>
      <c r="S76" s="4" t="s">
        <v>1265</v>
      </c>
      <c r="T76" s="4" t="s">
        <v>1266</v>
      </c>
      <c r="U76" s="4" t="s">
        <v>1611</v>
      </c>
      <c r="V76" s="4" t="s">
        <v>1268</v>
      </c>
      <c r="W76" s="4" t="s">
        <v>1443</v>
      </c>
      <c r="X76" s="27">
        <v>3</v>
      </c>
      <c r="Y76" s="4" t="s">
        <v>1612</v>
      </c>
      <c r="Z76" s="4" t="s">
        <v>66</v>
      </c>
      <c r="AA76" s="5" t="s">
        <v>1758</v>
      </c>
      <c r="AB76" s="5" t="s">
        <v>1759</v>
      </c>
      <c r="AC76" s="4" t="s">
        <v>1615</v>
      </c>
      <c r="AD76" s="3" t="s">
        <v>1274</v>
      </c>
      <c r="AE76" s="3" t="s">
        <v>1275</v>
      </c>
    </row>
    <row r="77" spans="1:31" ht="70">
      <c r="A77" s="4" t="s">
        <v>1760</v>
      </c>
      <c r="B77" s="4" t="s">
        <v>1087</v>
      </c>
      <c r="C77" s="4" t="s">
        <v>1088</v>
      </c>
      <c r="D77" s="4" t="s">
        <v>1605</v>
      </c>
      <c r="E77" s="4" t="s">
        <v>1089</v>
      </c>
      <c r="F77" s="4" t="s">
        <v>1607</v>
      </c>
      <c r="G77" s="16">
        <v>23.567592000000001</v>
      </c>
      <c r="H77" s="16">
        <v>119.56206</v>
      </c>
      <c r="I77" s="4">
        <v>5</v>
      </c>
      <c r="J77" s="4" t="s">
        <v>1257</v>
      </c>
      <c r="K77" s="3" t="s">
        <v>1761</v>
      </c>
      <c r="L77" s="3" t="s">
        <v>1762</v>
      </c>
      <c r="M77" s="3" t="s">
        <v>1610</v>
      </c>
      <c r="N77" s="4">
        <v>250</v>
      </c>
      <c r="O77" s="4" t="s">
        <v>1261</v>
      </c>
      <c r="P77" s="3" t="s">
        <v>1459</v>
      </c>
      <c r="Q77" s="3" t="s">
        <v>1263</v>
      </c>
      <c r="R77" s="3" t="s">
        <v>1264</v>
      </c>
      <c r="S77" s="4" t="s">
        <v>1265</v>
      </c>
      <c r="T77" s="4" t="s">
        <v>1266</v>
      </c>
      <c r="U77" s="4" t="s">
        <v>1611</v>
      </c>
      <c r="V77" s="4" t="s">
        <v>1268</v>
      </c>
      <c r="W77" s="4" t="s">
        <v>1443</v>
      </c>
      <c r="X77" s="27">
        <v>3</v>
      </c>
      <c r="Y77" s="4" t="s">
        <v>1612</v>
      </c>
      <c r="Z77" s="4" t="s">
        <v>29</v>
      </c>
      <c r="AA77" s="5" t="s">
        <v>1091</v>
      </c>
      <c r="AB77" s="5" t="s">
        <v>1763</v>
      </c>
      <c r="AC77" s="4" t="s">
        <v>1615</v>
      </c>
      <c r="AD77" s="3" t="s">
        <v>1274</v>
      </c>
      <c r="AE77" s="3" t="s">
        <v>1764</v>
      </c>
    </row>
    <row r="78" spans="1:31" ht="84">
      <c r="A78" s="4" t="s">
        <v>1765</v>
      </c>
      <c r="B78" s="4" t="s">
        <v>24</v>
      </c>
      <c r="C78" s="4" t="s">
        <v>44</v>
      </c>
      <c r="D78" s="4" t="s">
        <v>1766</v>
      </c>
      <c r="E78" s="4" t="s">
        <v>1767</v>
      </c>
      <c r="F78" s="4" t="s">
        <v>1768</v>
      </c>
      <c r="G78" s="16">
        <v>25.044129999999999</v>
      </c>
      <c r="H78" s="16">
        <v>121.52939000000001</v>
      </c>
      <c r="I78" s="4">
        <v>5</v>
      </c>
      <c r="J78" s="4" t="s">
        <v>1257</v>
      </c>
      <c r="K78" s="3" t="s">
        <v>1769</v>
      </c>
      <c r="L78" s="3" t="s">
        <v>1770</v>
      </c>
      <c r="M78" s="3" t="s">
        <v>1771</v>
      </c>
      <c r="N78" s="4">
        <v>160</v>
      </c>
      <c r="O78" s="4" t="s">
        <v>1772</v>
      </c>
      <c r="P78" s="3" t="s">
        <v>1361</v>
      </c>
      <c r="Q78" s="3" t="s">
        <v>1263</v>
      </c>
      <c r="R78" s="3" t="s">
        <v>1264</v>
      </c>
      <c r="S78" s="4" t="s">
        <v>1265</v>
      </c>
      <c r="T78" s="4" t="s">
        <v>1266</v>
      </c>
      <c r="U78" s="4" t="s">
        <v>1773</v>
      </c>
      <c r="V78" s="4" t="s">
        <v>1268</v>
      </c>
      <c r="W78" s="4" t="s">
        <v>1774</v>
      </c>
      <c r="X78" s="27">
        <v>1.8</v>
      </c>
      <c r="Y78" s="4" t="s">
        <v>1775</v>
      </c>
      <c r="Z78" s="4" t="s">
        <v>29</v>
      </c>
      <c r="AA78" s="5" t="s">
        <v>1776</v>
      </c>
      <c r="AB78" s="5" t="s">
        <v>1777</v>
      </c>
      <c r="AC78" s="4" t="s">
        <v>1778</v>
      </c>
      <c r="AD78" s="3" t="s">
        <v>1274</v>
      </c>
      <c r="AE78" s="3" t="s">
        <v>1275</v>
      </c>
    </row>
    <row r="79" spans="1:31" ht="70">
      <c r="A79" s="4" t="s">
        <v>1779</v>
      </c>
      <c r="B79" s="4" t="s">
        <v>24</v>
      </c>
      <c r="C79" s="4" t="s">
        <v>275</v>
      </c>
      <c r="D79" s="4" t="s">
        <v>1766</v>
      </c>
      <c r="E79" s="4" t="s">
        <v>1780</v>
      </c>
      <c r="F79" s="4" t="s">
        <v>1768</v>
      </c>
      <c r="G79" s="16">
        <v>25.043848000000001</v>
      </c>
      <c r="H79" s="16">
        <v>121.56063</v>
      </c>
      <c r="I79" s="4">
        <v>5</v>
      </c>
      <c r="J79" s="4" t="s">
        <v>1257</v>
      </c>
      <c r="K79" s="3" t="s">
        <v>1781</v>
      </c>
      <c r="L79" s="3" t="s">
        <v>1782</v>
      </c>
      <c r="M79" s="3" t="s">
        <v>1771</v>
      </c>
      <c r="N79" s="4">
        <v>160</v>
      </c>
      <c r="O79" s="4" t="s">
        <v>1772</v>
      </c>
      <c r="P79" s="3" t="s">
        <v>1361</v>
      </c>
      <c r="Q79" s="3" t="s">
        <v>1263</v>
      </c>
      <c r="R79" s="3" t="s">
        <v>1264</v>
      </c>
      <c r="S79" s="4" t="s">
        <v>1265</v>
      </c>
      <c r="T79" s="4" t="s">
        <v>1266</v>
      </c>
      <c r="U79" s="4" t="s">
        <v>1773</v>
      </c>
      <c r="V79" s="4" t="s">
        <v>1268</v>
      </c>
      <c r="W79" s="4" t="s">
        <v>1774</v>
      </c>
      <c r="X79" s="27">
        <v>1.8</v>
      </c>
      <c r="Y79" s="4" t="s">
        <v>1775</v>
      </c>
      <c r="Z79" s="4" t="s">
        <v>29</v>
      </c>
      <c r="AA79" s="5" t="s">
        <v>1783</v>
      </c>
      <c r="AB79" s="5" t="s">
        <v>1784</v>
      </c>
      <c r="AC79" s="4" t="s">
        <v>1778</v>
      </c>
      <c r="AD79" s="3" t="s">
        <v>1274</v>
      </c>
      <c r="AE79" s="3" t="s">
        <v>1275</v>
      </c>
    </row>
    <row r="80" spans="1:31" ht="56">
      <c r="A80" s="4" t="s">
        <v>1785</v>
      </c>
      <c r="B80" s="4" t="s">
        <v>24</v>
      </c>
      <c r="C80" s="4" t="s">
        <v>275</v>
      </c>
      <c r="D80" s="4" t="s">
        <v>1766</v>
      </c>
      <c r="E80" s="4" t="s">
        <v>1786</v>
      </c>
      <c r="F80" s="4" t="s">
        <v>1768</v>
      </c>
      <c r="G80" s="16">
        <v>25.031161000000001</v>
      </c>
      <c r="H80" s="16">
        <v>121.56179</v>
      </c>
      <c r="I80" s="4">
        <v>5</v>
      </c>
      <c r="J80" s="4" t="s">
        <v>1257</v>
      </c>
      <c r="K80" s="3" t="s">
        <v>1787</v>
      </c>
      <c r="L80" s="3" t="s">
        <v>1788</v>
      </c>
      <c r="M80" s="3" t="s">
        <v>1771</v>
      </c>
      <c r="N80" s="4">
        <v>160</v>
      </c>
      <c r="O80" s="4" t="s">
        <v>1772</v>
      </c>
      <c r="P80" s="3" t="s">
        <v>1361</v>
      </c>
      <c r="Q80" s="3" t="s">
        <v>1263</v>
      </c>
      <c r="R80" s="3" t="s">
        <v>1264</v>
      </c>
      <c r="S80" s="4" t="s">
        <v>1265</v>
      </c>
      <c r="T80" s="4" t="s">
        <v>1266</v>
      </c>
      <c r="U80" s="4" t="s">
        <v>1773</v>
      </c>
      <c r="V80" s="4" t="s">
        <v>1268</v>
      </c>
      <c r="W80" s="4" t="s">
        <v>1774</v>
      </c>
      <c r="X80" s="27">
        <v>1.8</v>
      </c>
      <c r="Y80" s="4" t="s">
        <v>1775</v>
      </c>
      <c r="Z80" s="4" t="s">
        <v>29</v>
      </c>
      <c r="AA80" s="5" t="s">
        <v>1789</v>
      </c>
      <c r="AB80" s="5" t="s">
        <v>1790</v>
      </c>
      <c r="AC80" s="4" t="s">
        <v>1778</v>
      </c>
      <c r="AD80" s="3" t="s">
        <v>1274</v>
      </c>
      <c r="AE80" s="3" t="s">
        <v>1275</v>
      </c>
    </row>
    <row r="81" spans="1:31" ht="84">
      <c r="A81" s="4" t="s">
        <v>1791</v>
      </c>
      <c r="B81" s="4" t="s">
        <v>24</v>
      </c>
      <c r="C81" s="4" t="s">
        <v>97</v>
      </c>
      <c r="D81" s="4" t="s">
        <v>1766</v>
      </c>
      <c r="E81" s="4" t="s">
        <v>1792</v>
      </c>
      <c r="F81" s="4" t="s">
        <v>1768</v>
      </c>
      <c r="G81" s="16">
        <v>25.071749000000001</v>
      </c>
      <c r="H81" s="16">
        <v>121.53035</v>
      </c>
      <c r="I81" s="4">
        <v>4</v>
      </c>
      <c r="J81" s="4" t="s">
        <v>1305</v>
      </c>
      <c r="K81" s="3" t="s">
        <v>1793</v>
      </c>
      <c r="L81" s="3" t="s">
        <v>1794</v>
      </c>
      <c r="M81" s="3" t="s">
        <v>1771</v>
      </c>
      <c r="N81" s="4">
        <v>160</v>
      </c>
      <c r="O81" s="4" t="s">
        <v>1772</v>
      </c>
      <c r="P81" s="3" t="s">
        <v>1361</v>
      </c>
      <c r="Q81" s="3" t="s">
        <v>1263</v>
      </c>
      <c r="R81" s="3" t="s">
        <v>1264</v>
      </c>
      <c r="S81" s="4" t="s">
        <v>1265</v>
      </c>
      <c r="T81" s="4" t="s">
        <v>1266</v>
      </c>
      <c r="U81" s="4" t="s">
        <v>1773</v>
      </c>
      <c r="V81" s="4" t="s">
        <v>1268</v>
      </c>
      <c r="W81" s="4" t="s">
        <v>1774</v>
      </c>
      <c r="X81" s="27">
        <v>1.8</v>
      </c>
      <c r="Y81" s="4" t="s">
        <v>1775</v>
      </c>
      <c r="Z81" s="4" t="s">
        <v>66</v>
      </c>
      <c r="AA81" s="5" t="s">
        <v>1795</v>
      </c>
      <c r="AB81" s="5" t="s">
        <v>1796</v>
      </c>
      <c r="AC81" s="4" t="s">
        <v>1778</v>
      </c>
      <c r="AD81" s="3" t="s">
        <v>1274</v>
      </c>
      <c r="AE81" s="3" t="s">
        <v>1275</v>
      </c>
    </row>
    <row r="82" spans="1:31" ht="84">
      <c r="A82" s="4" t="s">
        <v>1797</v>
      </c>
      <c r="B82" s="4" t="s">
        <v>151</v>
      </c>
      <c r="C82" s="4" t="s">
        <v>172</v>
      </c>
      <c r="D82" s="4" t="s">
        <v>1766</v>
      </c>
      <c r="E82" s="4" t="s">
        <v>1798</v>
      </c>
      <c r="F82" s="4" t="s">
        <v>1768</v>
      </c>
      <c r="G82" s="16">
        <v>25.011119000000001</v>
      </c>
      <c r="H82" s="16">
        <v>121.45459</v>
      </c>
      <c r="I82" s="4">
        <v>5</v>
      </c>
      <c r="J82" s="4" t="s">
        <v>1257</v>
      </c>
      <c r="K82" s="3" t="s">
        <v>1799</v>
      </c>
      <c r="L82" s="3" t="s">
        <v>1800</v>
      </c>
      <c r="M82" s="3" t="s">
        <v>1771</v>
      </c>
      <c r="N82" s="4">
        <v>160</v>
      </c>
      <c r="O82" s="4" t="s">
        <v>1772</v>
      </c>
      <c r="P82" s="3" t="s">
        <v>1361</v>
      </c>
      <c r="Q82" s="3" t="s">
        <v>1263</v>
      </c>
      <c r="R82" s="3" t="s">
        <v>1264</v>
      </c>
      <c r="S82" s="4" t="s">
        <v>1265</v>
      </c>
      <c r="T82" s="4" t="s">
        <v>1266</v>
      </c>
      <c r="U82" s="4" t="s">
        <v>1773</v>
      </c>
      <c r="V82" s="4" t="s">
        <v>1268</v>
      </c>
      <c r="W82" s="4" t="s">
        <v>1774</v>
      </c>
      <c r="X82" s="27">
        <v>1.8</v>
      </c>
      <c r="Y82" s="4" t="s">
        <v>1775</v>
      </c>
      <c r="Z82" s="4" t="s">
        <v>29</v>
      </c>
      <c r="AA82" s="5" t="s">
        <v>1801</v>
      </c>
      <c r="AB82" s="5" t="s">
        <v>1802</v>
      </c>
      <c r="AC82" s="4" t="s">
        <v>1778</v>
      </c>
      <c r="AD82" s="3" t="s">
        <v>1274</v>
      </c>
      <c r="AE82" s="3" t="s">
        <v>1275</v>
      </c>
    </row>
    <row r="83" spans="1:31" ht="70">
      <c r="A83" s="4" t="s">
        <v>1803</v>
      </c>
      <c r="B83" s="4" t="s">
        <v>151</v>
      </c>
      <c r="C83" s="4" t="s">
        <v>1464</v>
      </c>
      <c r="D83" s="4" t="s">
        <v>1766</v>
      </c>
      <c r="E83" s="4" t="s">
        <v>1804</v>
      </c>
      <c r="F83" s="4" t="s">
        <v>1768</v>
      </c>
      <c r="G83" s="16">
        <v>24.864090000000001</v>
      </c>
      <c r="H83" s="16">
        <v>121.5515</v>
      </c>
      <c r="I83" s="4">
        <v>4</v>
      </c>
      <c r="J83" s="4" t="s">
        <v>1305</v>
      </c>
      <c r="K83" s="3" t="s">
        <v>1805</v>
      </c>
      <c r="L83" s="3" t="s">
        <v>1806</v>
      </c>
      <c r="M83" s="3" t="s">
        <v>1771</v>
      </c>
      <c r="N83" s="4">
        <v>160</v>
      </c>
      <c r="O83" s="4" t="s">
        <v>1772</v>
      </c>
      <c r="P83" s="3" t="s">
        <v>1361</v>
      </c>
      <c r="Q83" s="3" t="s">
        <v>1263</v>
      </c>
      <c r="R83" s="3" t="s">
        <v>1264</v>
      </c>
      <c r="S83" s="4" t="s">
        <v>1265</v>
      </c>
      <c r="T83" s="4" t="s">
        <v>1266</v>
      </c>
      <c r="U83" s="4" t="s">
        <v>1773</v>
      </c>
      <c r="V83" s="4" t="s">
        <v>1268</v>
      </c>
      <c r="W83" s="4" t="s">
        <v>1774</v>
      </c>
      <c r="X83" s="27">
        <v>1.8</v>
      </c>
      <c r="Y83" s="4" t="s">
        <v>1775</v>
      </c>
      <c r="Z83" s="4" t="s">
        <v>66</v>
      </c>
      <c r="AA83" s="5" t="s">
        <v>1807</v>
      </c>
      <c r="AB83" s="5" t="s">
        <v>1808</v>
      </c>
      <c r="AC83" s="4" t="s">
        <v>1778</v>
      </c>
      <c r="AD83" s="3" t="s">
        <v>1274</v>
      </c>
      <c r="AE83" s="3" t="s">
        <v>1275</v>
      </c>
    </row>
    <row r="84" spans="1:31" ht="56">
      <c r="A84" s="4" t="s">
        <v>1809</v>
      </c>
      <c r="B84" s="4" t="s">
        <v>281</v>
      </c>
      <c r="C84" s="4" t="s">
        <v>1674</v>
      </c>
      <c r="D84" s="4" t="s">
        <v>1766</v>
      </c>
      <c r="E84" s="4" t="s">
        <v>1810</v>
      </c>
      <c r="F84" s="4" t="s">
        <v>1768</v>
      </c>
      <c r="G84" s="16">
        <v>24.976194</v>
      </c>
      <c r="H84" s="16">
        <v>121.10444</v>
      </c>
      <c r="I84" s="4">
        <v>4</v>
      </c>
      <c r="J84" s="4" t="s">
        <v>1305</v>
      </c>
      <c r="K84" s="3" t="s">
        <v>1811</v>
      </c>
      <c r="L84" s="3" t="s">
        <v>1812</v>
      </c>
      <c r="M84" s="3" t="s">
        <v>1771</v>
      </c>
      <c r="N84" s="4">
        <v>200</v>
      </c>
      <c r="O84" s="4" t="s">
        <v>1261</v>
      </c>
      <c r="P84" s="3" t="s">
        <v>1459</v>
      </c>
      <c r="Q84" s="3" t="s">
        <v>1263</v>
      </c>
      <c r="R84" s="3" t="s">
        <v>1264</v>
      </c>
      <c r="S84" s="4" t="s">
        <v>1265</v>
      </c>
      <c r="T84" s="4" t="s">
        <v>1266</v>
      </c>
      <c r="U84" s="4" t="s">
        <v>1773</v>
      </c>
      <c r="V84" s="4" t="s">
        <v>1268</v>
      </c>
      <c r="W84" s="4" t="s">
        <v>1774</v>
      </c>
      <c r="X84" s="27">
        <v>1.8</v>
      </c>
      <c r="Y84" s="4" t="s">
        <v>1775</v>
      </c>
      <c r="Z84" s="4" t="s">
        <v>66</v>
      </c>
      <c r="AA84" s="5" t="s">
        <v>1813</v>
      </c>
      <c r="AB84" s="5" t="s">
        <v>1814</v>
      </c>
      <c r="AC84" s="4" t="s">
        <v>1815</v>
      </c>
      <c r="AD84" s="3" t="s">
        <v>1274</v>
      </c>
      <c r="AE84" s="3" t="s">
        <v>1275</v>
      </c>
    </row>
    <row r="85" spans="1:31" ht="56">
      <c r="A85" s="4" t="s">
        <v>1816</v>
      </c>
      <c r="B85" s="4" t="s">
        <v>281</v>
      </c>
      <c r="C85" s="4" t="s">
        <v>1318</v>
      </c>
      <c r="D85" s="4" t="s">
        <v>1766</v>
      </c>
      <c r="E85" s="4" t="s">
        <v>1817</v>
      </c>
      <c r="F85" s="4" t="s">
        <v>1768</v>
      </c>
      <c r="G85" s="16">
        <v>24.830646999999999</v>
      </c>
      <c r="H85" s="16">
        <v>121.32838</v>
      </c>
      <c r="I85" s="4">
        <v>5</v>
      </c>
      <c r="J85" s="4" t="s">
        <v>1257</v>
      </c>
      <c r="K85" s="3" t="s">
        <v>1818</v>
      </c>
      <c r="L85" s="3" t="s">
        <v>1819</v>
      </c>
      <c r="M85" s="3" t="s">
        <v>1771</v>
      </c>
      <c r="N85" s="4">
        <v>160</v>
      </c>
      <c r="O85" s="4" t="s">
        <v>1772</v>
      </c>
      <c r="P85" s="3" t="s">
        <v>1361</v>
      </c>
      <c r="Q85" s="3" t="s">
        <v>1263</v>
      </c>
      <c r="R85" s="3" t="s">
        <v>1264</v>
      </c>
      <c r="S85" s="4" t="s">
        <v>1265</v>
      </c>
      <c r="T85" s="4" t="s">
        <v>1266</v>
      </c>
      <c r="U85" s="4" t="s">
        <v>1773</v>
      </c>
      <c r="V85" s="4" t="s">
        <v>1268</v>
      </c>
      <c r="W85" s="4" t="s">
        <v>1774</v>
      </c>
      <c r="X85" s="27">
        <v>1.8</v>
      </c>
      <c r="Y85" s="4" t="s">
        <v>1775</v>
      </c>
      <c r="Z85" s="4" t="s">
        <v>29</v>
      </c>
      <c r="AA85" s="5" t="s">
        <v>1820</v>
      </c>
      <c r="AB85" s="5" t="s">
        <v>1821</v>
      </c>
      <c r="AC85" s="4" t="s">
        <v>1778</v>
      </c>
      <c r="AD85" s="3" t="s">
        <v>1274</v>
      </c>
      <c r="AE85" s="3" t="s">
        <v>1275</v>
      </c>
    </row>
    <row r="86" spans="1:31" ht="70">
      <c r="A86" s="4" t="s">
        <v>1822</v>
      </c>
      <c r="B86" s="4" t="s">
        <v>400</v>
      </c>
      <c r="C86" s="4" t="s">
        <v>1823</v>
      </c>
      <c r="D86" s="4" t="s">
        <v>1766</v>
      </c>
      <c r="E86" s="4" t="s">
        <v>1824</v>
      </c>
      <c r="F86" s="4" t="s">
        <v>1768</v>
      </c>
      <c r="G86" s="16">
        <v>24.572472000000001</v>
      </c>
      <c r="H86" s="16">
        <v>121.10536</v>
      </c>
      <c r="I86" s="4">
        <v>5</v>
      </c>
      <c r="J86" s="4" t="s">
        <v>1257</v>
      </c>
      <c r="K86" s="3" t="s">
        <v>1825</v>
      </c>
      <c r="L86" s="3" t="s">
        <v>1826</v>
      </c>
      <c r="M86" s="3" t="s">
        <v>1771</v>
      </c>
      <c r="N86" s="4">
        <v>160</v>
      </c>
      <c r="O86" s="4" t="s">
        <v>1772</v>
      </c>
      <c r="P86" s="3" t="s">
        <v>1361</v>
      </c>
      <c r="Q86" s="3" t="s">
        <v>1263</v>
      </c>
      <c r="R86" s="3" t="s">
        <v>1264</v>
      </c>
      <c r="S86" s="4" t="s">
        <v>1265</v>
      </c>
      <c r="T86" s="4" t="s">
        <v>1266</v>
      </c>
      <c r="U86" s="4" t="s">
        <v>1773</v>
      </c>
      <c r="V86" s="4" t="s">
        <v>1268</v>
      </c>
      <c r="W86" s="4" t="s">
        <v>1774</v>
      </c>
      <c r="X86" s="27">
        <v>1.8</v>
      </c>
      <c r="Y86" s="4" t="s">
        <v>1775</v>
      </c>
      <c r="Z86" s="4" t="s">
        <v>29</v>
      </c>
      <c r="AA86" s="5" t="s">
        <v>1827</v>
      </c>
      <c r="AB86" s="5" t="s">
        <v>1828</v>
      </c>
      <c r="AC86" s="4" t="s">
        <v>1778</v>
      </c>
      <c r="AD86" s="3" t="s">
        <v>1274</v>
      </c>
      <c r="AE86" s="3" t="s">
        <v>1275</v>
      </c>
    </row>
    <row r="87" spans="1:31" ht="70">
      <c r="A87" s="4" t="s">
        <v>1829</v>
      </c>
      <c r="B87" s="4" t="s">
        <v>436</v>
      </c>
      <c r="C87" s="4" t="s">
        <v>1830</v>
      </c>
      <c r="D87" s="4" t="s">
        <v>1766</v>
      </c>
      <c r="E87" s="4" t="s">
        <v>1831</v>
      </c>
      <c r="F87" s="4" t="s">
        <v>1768</v>
      </c>
      <c r="G87" s="16">
        <v>24.460023</v>
      </c>
      <c r="H87" s="16">
        <v>120.85601</v>
      </c>
      <c r="I87" s="4">
        <v>4</v>
      </c>
      <c r="J87" s="4" t="s">
        <v>1305</v>
      </c>
      <c r="K87" s="3" t="s">
        <v>1832</v>
      </c>
      <c r="L87" s="3" t="s">
        <v>1833</v>
      </c>
      <c r="M87" s="3" t="s">
        <v>1771</v>
      </c>
      <c r="N87" s="4">
        <v>160</v>
      </c>
      <c r="O87" s="4" t="s">
        <v>1772</v>
      </c>
      <c r="P87" s="3" t="s">
        <v>1361</v>
      </c>
      <c r="Q87" s="3" t="s">
        <v>1263</v>
      </c>
      <c r="R87" s="3" t="s">
        <v>1264</v>
      </c>
      <c r="S87" s="4" t="s">
        <v>1265</v>
      </c>
      <c r="T87" s="4" t="s">
        <v>1266</v>
      </c>
      <c r="U87" s="4" t="s">
        <v>1773</v>
      </c>
      <c r="V87" s="4" t="s">
        <v>1268</v>
      </c>
      <c r="W87" s="4" t="s">
        <v>1774</v>
      </c>
      <c r="X87" s="27">
        <v>1.8</v>
      </c>
      <c r="Y87" s="4" t="s">
        <v>1775</v>
      </c>
      <c r="Z87" s="4" t="s">
        <v>66</v>
      </c>
      <c r="AA87" s="5" t="s">
        <v>1834</v>
      </c>
      <c r="AB87" s="5" t="s">
        <v>1835</v>
      </c>
      <c r="AC87" s="4" t="s">
        <v>1778</v>
      </c>
      <c r="AD87" s="3" t="s">
        <v>1274</v>
      </c>
      <c r="AE87" s="3" t="s">
        <v>1275</v>
      </c>
    </row>
    <row r="88" spans="1:31" ht="70">
      <c r="A88" s="4" t="s">
        <v>1836</v>
      </c>
      <c r="B88" s="4" t="s">
        <v>559</v>
      </c>
      <c r="C88" s="4" t="s">
        <v>588</v>
      </c>
      <c r="D88" s="4" t="s">
        <v>1766</v>
      </c>
      <c r="E88" s="4" t="s">
        <v>1837</v>
      </c>
      <c r="F88" s="4" t="s">
        <v>1768</v>
      </c>
      <c r="G88" s="16">
        <v>24.053882999999999</v>
      </c>
      <c r="H88" s="16">
        <v>120.43648</v>
      </c>
      <c r="I88" s="4">
        <v>4</v>
      </c>
      <c r="J88" s="4" t="s">
        <v>1305</v>
      </c>
      <c r="K88" s="3" t="s">
        <v>1838</v>
      </c>
      <c r="L88" s="3" t="s">
        <v>1839</v>
      </c>
      <c r="M88" s="3" t="s">
        <v>1771</v>
      </c>
      <c r="N88" s="4">
        <v>160</v>
      </c>
      <c r="O88" s="4" t="s">
        <v>1772</v>
      </c>
      <c r="P88" s="3" t="s">
        <v>1361</v>
      </c>
      <c r="Q88" s="3" t="s">
        <v>1263</v>
      </c>
      <c r="R88" s="3" t="s">
        <v>1264</v>
      </c>
      <c r="S88" s="4" t="s">
        <v>1265</v>
      </c>
      <c r="T88" s="4" t="s">
        <v>1266</v>
      </c>
      <c r="U88" s="4" t="s">
        <v>1773</v>
      </c>
      <c r="V88" s="4" t="s">
        <v>1268</v>
      </c>
      <c r="W88" s="4" t="s">
        <v>1774</v>
      </c>
      <c r="X88" s="27">
        <v>1.8</v>
      </c>
      <c r="Y88" s="4" t="s">
        <v>1775</v>
      </c>
      <c r="Z88" s="4" t="s">
        <v>66</v>
      </c>
      <c r="AA88" s="5" t="s">
        <v>1840</v>
      </c>
      <c r="AB88" s="5" t="s">
        <v>1841</v>
      </c>
      <c r="AC88" s="4" t="s">
        <v>1778</v>
      </c>
      <c r="AD88" s="3" t="s">
        <v>1274</v>
      </c>
      <c r="AE88" s="3" t="s">
        <v>1275</v>
      </c>
    </row>
    <row r="89" spans="1:31" ht="70">
      <c r="A89" s="4" t="s">
        <v>1842</v>
      </c>
      <c r="B89" s="4" t="s">
        <v>436</v>
      </c>
      <c r="C89" s="4" t="s">
        <v>475</v>
      </c>
      <c r="D89" s="4" t="s">
        <v>1766</v>
      </c>
      <c r="E89" s="4" t="s">
        <v>1843</v>
      </c>
      <c r="F89" s="4" t="s">
        <v>1768</v>
      </c>
      <c r="G89" s="16">
        <v>24.462385000000001</v>
      </c>
      <c r="H89" s="16">
        <v>120.77124000000001</v>
      </c>
      <c r="I89" s="4">
        <v>5</v>
      </c>
      <c r="J89" s="4" t="s">
        <v>1257</v>
      </c>
      <c r="K89" s="3" t="s">
        <v>1844</v>
      </c>
      <c r="L89" s="3" t="s">
        <v>1845</v>
      </c>
      <c r="M89" s="3" t="s">
        <v>1771</v>
      </c>
      <c r="N89" s="4">
        <v>160</v>
      </c>
      <c r="O89" s="4" t="s">
        <v>1772</v>
      </c>
      <c r="P89" s="3" t="s">
        <v>1361</v>
      </c>
      <c r="Q89" s="3" t="s">
        <v>1263</v>
      </c>
      <c r="R89" s="3" t="s">
        <v>1264</v>
      </c>
      <c r="S89" s="4" t="s">
        <v>1265</v>
      </c>
      <c r="T89" s="4" t="s">
        <v>1266</v>
      </c>
      <c r="U89" s="4" t="s">
        <v>1773</v>
      </c>
      <c r="V89" s="4" t="s">
        <v>1268</v>
      </c>
      <c r="W89" s="4" t="s">
        <v>1774</v>
      </c>
      <c r="X89" s="27">
        <v>1.8</v>
      </c>
      <c r="Y89" s="4" t="s">
        <v>1775</v>
      </c>
      <c r="Z89" s="4" t="s">
        <v>29</v>
      </c>
      <c r="AA89" s="5" t="s">
        <v>1846</v>
      </c>
      <c r="AB89" s="5" t="s">
        <v>1847</v>
      </c>
      <c r="AC89" s="4" t="s">
        <v>1778</v>
      </c>
      <c r="AD89" s="3" t="s">
        <v>1274</v>
      </c>
      <c r="AE89" s="3" t="s">
        <v>1275</v>
      </c>
    </row>
    <row r="90" spans="1:31" ht="84">
      <c r="A90" s="4" t="s">
        <v>1848</v>
      </c>
      <c r="B90" s="4" t="s">
        <v>714</v>
      </c>
      <c r="C90" s="4" t="s">
        <v>1849</v>
      </c>
      <c r="D90" s="4" t="s">
        <v>1766</v>
      </c>
      <c r="E90" s="4" t="s">
        <v>1850</v>
      </c>
      <c r="F90" s="4" t="s">
        <v>1768</v>
      </c>
      <c r="G90" s="16">
        <v>23.453945000000001</v>
      </c>
      <c r="H90" s="16">
        <v>120.74937</v>
      </c>
      <c r="I90" s="4">
        <v>4</v>
      </c>
      <c r="J90" s="4" t="s">
        <v>1305</v>
      </c>
      <c r="K90" s="3" t="s">
        <v>1851</v>
      </c>
      <c r="L90" s="3" t="s">
        <v>1852</v>
      </c>
      <c r="M90" s="3" t="s">
        <v>1771</v>
      </c>
      <c r="N90" s="4">
        <v>160</v>
      </c>
      <c r="O90" s="4" t="s">
        <v>1772</v>
      </c>
      <c r="P90" s="3" t="s">
        <v>1361</v>
      </c>
      <c r="Q90" s="3" t="s">
        <v>1263</v>
      </c>
      <c r="R90" s="3" t="s">
        <v>1264</v>
      </c>
      <c r="S90" s="4" t="s">
        <v>1265</v>
      </c>
      <c r="T90" s="4" t="s">
        <v>1266</v>
      </c>
      <c r="U90" s="4" t="s">
        <v>1773</v>
      </c>
      <c r="V90" s="4" t="s">
        <v>1268</v>
      </c>
      <c r="W90" s="4" t="s">
        <v>1774</v>
      </c>
      <c r="X90" s="27">
        <v>1.8</v>
      </c>
      <c r="Y90" s="4" t="s">
        <v>1775</v>
      </c>
      <c r="Z90" s="4" t="s">
        <v>66</v>
      </c>
      <c r="AA90" s="5" t="s">
        <v>1853</v>
      </c>
      <c r="AB90" s="5" t="s">
        <v>1854</v>
      </c>
      <c r="AC90" s="4" t="s">
        <v>1778</v>
      </c>
      <c r="AD90" s="3" t="s">
        <v>1274</v>
      </c>
      <c r="AE90" s="3" t="s">
        <v>1275</v>
      </c>
    </row>
    <row r="91" spans="1:31" ht="70">
      <c r="A91" s="4" t="s">
        <v>1855</v>
      </c>
      <c r="B91" s="4" t="s">
        <v>750</v>
      </c>
      <c r="C91" s="4" t="s">
        <v>805</v>
      </c>
      <c r="D91" s="4" t="s">
        <v>1766</v>
      </c>
      <c r="E91" s="4" t="s">
        <v>1856</v>
      </c>
      <c r="F91" s="4" t="s">
        <v>1768</v>
      </c>
      <c r="G91" s="16">
        <v>23.213932</v>
      </c>
      <c r="H91" s="16">
        <v>120.3648</v>
      </c>
      <c r="I91" s="4">
        <v>5</v>
      </c>
      <c r="J91" s="4" t="s">
        <v>1257</v>
      </c>
      <c r="K91" s="3" t="s">
        <v>1857</v>
      </c>
      <c r="L91" s="3" t="s">
        <v>1858</v>
      </c>
      <c r="M91" s="3" t="s">
        <v>1771</v>
      </c>
      <c r="N91" s="4">
        <v>160</v>
      </c>
      <c r="O91" s="4" t="s">
        <v>1772</v>
      </c>
      <c r="P91" s="3" t="s">
        <v>1361</v>
      </c>
      <c r="Q91" s="3" t="s">
        <v>1263</v>
      </c>
      <c r="R91" s="3" t="s">
        <v>1264</v>
      </c>
      <c r="S91" s="4" t="s">
        <v>1265</v>
      </c>
      <c r="T91" s="4" t="s">
        <v>1266</v>
      </c>
      <c r="U91" s="4" t="s">
        <v>1773</v>
      </c>
      <c r="V91" s="4" t="s">
        <v>1268</v>
      </c>
      <c r="W91" s="4" t="s">
        <v>1774</v>
      </c>
      <c r="X91" s="27">
        <v>1.8</v>
      </c>
      <c r="Y91" s="4" t="s">
        <v>1775</v>
      </c>
      <c r="Z91" s="4" t="s">
        <v>29</v>
      </c>
      <c r="AA91" s="5" t="s">
        <v>1859</v>
      </c>
      <c r="AB91" s="5" t="s">
        <v>1860</v>
      </c>
      <c r="AC91" s="4" t="s">
        <v>1778</v>
      </c>
      <c r="AD91" s="3" t="s">
        <v>1274</v>
      </c>
      <c r="AE91" s="3" t="s">
        <v>1275</v>
      </c>
    </row>
    <row r="92" spans="1:31" ht="70">
      <c r="A92" s="4" t="s">
        <v>1861</v>
      </c>
      <c r="B92" s="4" t="s">
        <v>750</v>
      </c>
      <c r="C92" s="4" t="s">
        <v>1862</v>
      </c>
      <c r="D92" s="4" t="s">
        <v>1766</v>
      </c>
      <c r="E92" s="4" t="s">
        <v>1863</v>
      </c>
      <c r="F92" s="4" t="s">
        <v>1768</v>
      </c>
      <c r="G92" s="16">
        <v>23.25883</v>
      </c>
      <c r="H92" s="16">
        <v>120.10756000000001</v>
      </c>
      <c r="I92" s="4">
        <v>5</v>
      </c>
      <c r="J92" s="4" t="s">
        <v>1257</v>
      </c>
      <c r="K92" s="3" t="s">
        <v>1864</v>
      </c>
      <c r="L92" s="3" t="s">
        <v>1865</v>
      </c>
      <c r="M92" s="3" t="s">
        <v>1771</v>
      </c>
      <c r="N92" s="4">
        <v>160</v>
      </c>
      <c r="O92" s="4" t="s">
        <v>1772</v>
      </c>
      <c r="P92" s="3" t="s">
        <v>1361</v>
      </c>
      <c r="Q92" s="3" t="s">
        <v>1263</v>
      </c>
      <c r="R92" s="3" t="s">
        <v>1264</v>
      </c>
      <c r="S92" s="4" t="s">
        <v>1265</v>
      </c>
      <c r="T92" s="4" t="s">
        <v>1266</v>
      </c>
      <c r="U92" s="4" t="s">
        <v>1773</v>
      </c>
      <c r="V92" s="4" t="s">
        <v>1268</v>
      </c>
      <c r="W92" s="4" t="s">
        <v>1774</v>
      </c>
      <c r="X92" s="27">
        <v>1.8</v>
      </c>
      <c r="Y92" s="4" t="s">
        <v>1775</v>
      </c>
      <c r="Z92" s="4" t="s">
        <v>29</v>
      </c>
      <c r="AA92" s="5" t="s">
        <v>1866</v>
      </c>
      <c r="AB92" s="5" t="s">
        <v>1867</v>
      </c>
      <c r="AC92" s="4" t="s">
        <v>1778</v>
      </c>
      <c r="AD92" s="3" t="s">
        <v>1274</v>
      </c>
      <c r="AE92" s="3" t="s">
        <v>1275</v>
      </c>
    </row>
    <row r="93" spans="1:31" ht="70">
      <c r="A93" s="4" t="s">
        <v>1868</v>
      </c>
      <c r="B93" s="4" t="s">
        <v>750</v>
      </c>
      <c r="C93" s="4" t="s">
        <v>1869</v>
      </c>
      <c r="D93" s="4" t="s">
        <v>1766</v>
      </c>
      <c r="E93" s="4" t="s">
        <v>1870</v>
      </c>
      <c r="F93" s="4" t="s">
        <v>1768</v>
      </c>
      <c r="G93" s="16">
        <v>23.058373</v>
      </c>
      <c r="H93" s="16">
        <v>120.23497999999999</v>
      </c>
      <c r="I93" s="4">
        <v>5</v>
      </c>
      <c r="J93" s="4" t="s">
        <v>1257</v>
      </c>
      <c r="K93" s="3" t="s">
        <v>1871</v>
      </c>
      <c r="L93" s="3" t="s">
        <v>1872</v>
      </c>
      <c r="M93" s="3" t="s">
        <v>1771</v>
      </c>
      <c r="N93" s="4">
        <v>160</v>
      </c>
      <c r="O93" s="4" t="s">
        <v>1772</v>
      </c>
      <c r="P93" s="3" t="s">
        <v>1361</v>
      </c>
      <c r="Q93" s="3" t="s">
        <v>1263</v>
      </c>
      <c r="R93" s="3" t="s">
        <v>1264</v>
      </c>
      <c r="S93" s="4" t="s">
        <v>1265</v>
      </c>
      <c r="T93" s="4" t="s">
        <v>1266</v>
      </c>
      <c r="U93" s="4" t="s">
        <v>1773</v>
      </c>
      <c r="V93" s="4" t="s">
        <v>1268</v>
      </c>
      <c r="W93" s="4" t="s">
        <v>1774</v>
      </c>
      <c r="X93" s="27">
        <v>1.8</v>
      </c>
      <c r="Y93" s="4" t="s">
        <v>1775</v>
      </c>
      <c r="Z93" s="4" t="s">
        <v>29</v>
      </c>
      <c r="AA93" s="5" t="s">
        <v>1873</v>
      </c>
      <c r="AB93" s="5" t="s">
        <v>1874</v>
      </c>
      <c r="AC93" s="4" t="s">
        <v>1778</v>
      </c>
      <c r="AD93" s="3" t="s">
        <v>1274</v>
      </c>
      <c r="AE93" s="3" t="s">
        <v>1275</v>
      </c>
    </row>
    <row r="94" spans="1:31" ht="70">
      <c r="A94" s="4" t="s">
        <v>1875</v>
      </c>
      <c r="B94" s="4" t="s">
        <v>819</v>
      </c>
      <c r="C94" s="4" t="s">
        <v>1876</v>
      </c>
      <c r="D94" s="4" t="s">
        <v>1766</v>
      </c>
      <c r="E94" s="4" t="s">
        <v>1877</v>
      </c>
      <c r="F94" s="4" t="s">
        <v>1768</v>
      </c>
      <c r="G94" s="16">
        <v>22.550687</v>
      </c>
      <c r="H94" s="16">
        <v>120.31793999999999</v>
      </c>
      <c r="I94" s="4">
        <v>5</v>
      </c>
      <c r="J94" s="4" t="s">
        <v>1257</v>
      </c>
      <c r="K94" s="3" t="s">
        <v>1878</v>
      </c>
      <c r="L94" s="3" t="s">
        <v>1879</v>
      </c>
      <c r="M94" s="3" t="s">
        <v>1771</v>
      </c>
      <c r="N94" s="4">
        <v>160</v>
      </c>
      <c r="O94" s="4" t="s">
        <v>1772</v>
      </c>
      <c r="P94" s="3" t="s">
        <v>1361</v>
      </c>
      <c r="Q94" s="3" t="s">
        <v>1263</v>
      </c>
      <c r="R94" s="3" t="s">
        <v>1264</v>
      </c>
      <c r="S94" s="4" t="s">
        <v>1265</v>
      </c>
      <c r="T94" s="4" t="s">
        <v>1266</v>
      </c>
      <c r="U94" s="4" t="s">
        <v>1773</v>
      </c>
      <c r="V94" s="4" t="s">
        <v>1268</v>
      </c>
      <c r="W94" s="4" t="s">
        <v>1774</v>
      </c>
      <c r="X94" s="27">
        <v>1.8</v>
      </c>
      <c r="Y94" s="4" t="s">
        <v>1775</v>
      </c>
      <c r="Z94" s="4" t="s">
        <v>29</v>
      </c>
      <c r="AA94" s="5" t="s">
        <v>1880</v>
      </c>
      <c r="AB94" s="5" t="s">
        <v>1881</v>
      </c>
      <c r="AC94" s="4" t="s">
        <v>1778</v>
      </c>
      <c r="AD94" s="3" t="s">
        <v>1274</v>
      </c>
      <c r="AE94" s="3" t="s">
        <v>1275</v>
      </c>
    </row>
    <row r="95" spans="1:31" ht="98">
      <c r="A95" s="4" t="s">
        <v>1882</v>
      </c>
      <c r="B95" s="4" t="s">
        <v>819</v>
      </c>
      <c r="C95" s="4" t="s">
        <v>848</v>
      </c>
      <c r="D95" s="4" t="s">
        <v>1766</v>
      </c>
      <c r="E95" s="4" t="s">
        <v>1883</v>
      </c>
      <c r="F95" s="4" t="s">
        <v>1768</v>
      </c>
      <c r="G95" s="16">
        <v>22.692489999999999</v>
      </c>
      <c r="H95" s="16">
        <v>120.289</v>
      </c>
      <c r="I95" s="4">
        <v>5</v>
      </c>
      <c r="J95" s="4" t="s">
        <v>1257</v>
      </c>
      <c r="K95" s="3" t="s">
        <v>1884</v>
      </c>
      <c r="L95" s="3" t="s">
        <v>1885</v>
      </c>
      <c r="M95" s="3" t="s">
        <v>1771</v>
      </c>
      <c r="N95" s="4">
        <v>200</v>
      </c>
      <c r="O95" s="4" t="s">
        <v>1261</v>
      </c>
      <c r="P95" s="3" t="s">
        <v>1459</v>
      </c>
      <c r="Q95" s="3" t="s">
        <v>1263</v>
      </c>
      <c r="R95" s="3" t="s">
        <v>1264</v>
      </c>
      <c r="S95" s="4" t="s">
        <v>1265</v>
      </c>
      <c r="T95" s="4" t="s">
        <v>1266</v>
      </c>
      <c r="U95" s="4" t="s">
        <v>1773</v>
      </c>
      <c r="V95" s="4" t="s">
        <v>1268</v>
      </c>
      <c r="W95" s="4" t="s">
        <v>1774</v>
      </c>
      <c r="X95" s="27">
        <v>1.8</v>
      </c>
      <c r="Y95" s="4" t="s">
        <v>1775</v>
      </c>
      <c r="Z95" s="4" t="s">
        <v>29</v>
      </c>
      <c r="AA95" s="5" t="s">
        <v>1886</v>
      </c>
      <c r="AB95" s="5" t="s">
        <v>1887</v>
      </c>
      <c r="AC95" s="4" t="s">
        <v>1815</v>
      </c>
      <c r="AD95" s="3" t="s">
        <v>1274</v>
      </c>
      <c r="AE95" s="3" t="s">
        <v>1275</v>
      </c>
    </row>
    <row r="96" spans="1:31" ht="70">
      <c r="A96" s="4" t="s">
        <v>1888</v>
      </c>
      <c r="B96" s="4" t="s">
        <v>819</v>
      </c>
      <c r="C96" s="4" t="s">
        <v>1889</v>
      </c>
      <c r="D96" s="4" t="s">
        <v>1766</v>
      </c>
      <c r="E96" s="4" t="s">
        <v>1890</v>
      </c>
      <c r="F96" s="4" t="s">
        <v>1768</v>
      </c>
      <c r="G96" s="16">
        <v>22.911073999999999</v>
      </c>
      <c r="H96" s="16">
        <v>120.55754</v>
      </c>
      <c r="I96" s="4">
        <v>4</v>
      </c>
      <c r="J96" s="4" t="s">
        <v>1305</v>
      </c>
      <c r="K96" s="3" t="s">
        <v>1891</v>
      </c>
      <c r="L96" s="3" t="s">
        <v>1892</v>
      </c>
      <c r="M96" s="3" t="s">
        <v>1771</v>
      </c>
      <c r="N96" s="4">
        <v>160</v>
      </c>
      <c r="O96" s="4" t="s">
        <v>1772</v>
      </c>
      <c r="P96" s="3" t="s">
        <v>1361</v>
      </c>
      <c r="Q96" s="3" t="s">
        <v>1263</v>
      </c>
      <c r="R96" s="3" t="s">
        <v>1264</v>
      </c>
      <c r="S96" s="4" t="s">
        <v>1265</v>
      </c>
      <c r="T96" s="4" t="s">
        <v>1266</v>
      </c>
      <c r="U96" s="4" t="s">
        <v>1773</v>
      </c>
      <c r="V96" s="4" t="s">
        <v>1268</v>
      </c>
      <c r="W96" s="4" t="s">
        <v>1774</v>
      </c>
      <c r="X96" s="27">
        <v>1.8</v>
      </c>
      <c r="Y96" s="4" t="s">
        <v>1775</v>
      </c>
      <c r="Z96" s="4" t="s">
        <v>66</v>
      </c>
      <c r="AA96" s="5" t="s">
        <v>1893</v>
      </c>
      <c r="AB96" s="5" t="s">
        <v>1894</v>
      </c>
      <c r="AC96" s="4" t="s">
        <v>1778</v>
      </c>
      <c r="AD96" s="3" t="s">
        <v>1274</v>
      </c>
      <c r="AE96" s="3" t="s">
        <v>1275</v>
      </c>
    </row>
    <row r="97" spans="1:31" ht="56">
      <c r="A97" s="4" t="s">
        <v>1895</v>
      </c>
      <c r="B97" s="4" t="s">
        <v>914</v>
      </c>
      <c r="C97" s="4" t="s">
        <v>1896</v>
      </c>
      <c r="D97" s="4" t="s">
        <v>1766</v>
      </c>
      <c r="E97" s="4" t="s">
        <v>1897</v>
      </c>
      <c r="F97" s="4" t="s">
        <v>1768</v>
      </c>
      <c r="G97" s="16">
        <v>22.701433000000002</v>
      </c>
      <c r="H97" s="16">
        <v>120.64645</v>
      </c>
      <c r="I97" s="4">
        <v>5</v>
      </c>
      <c r="J97" s="4" t="s">
        <v>1257</v>
      </c>
      <c r="K97" s="3" t="s">
        <v>1898</v>
      </c>
      <c r="L97" s="3" t="s">
        <v>1899</v>
      </c>
      <c r="M97" s="3" t="s">
        <v>1771</v>
      </c>
      <c r="N97" s="4">
        <v>200</v>
      </c>
      <c r="O97" s="4" t="s">
        <v>1261</v>
      </c>
      <c r="P97" s="3" t="s">
        <v>1459</v>
      </c>
      <c r="Q97" s="3" t="s">
        <v>1263</v>
      </c>
      <c r="R97" s="3" t="s">
        <v>1264</v>
      </c>
      <c r="S97" s="4" t="s">
        <v>1265</v>
      </c>
      <c r="T97" s="4" t="s">
        <v>1266</v>
      </c>
      <c r="U97" s="4" t="s">
        <v>1773</v>
      </c>
      <c r="V97" s="4" t="s">
        <v>1268</v>
      </c>
      <c r="W97" s="4" t="s">
        <v>1774</v>
      </c>
      <c r="X97" s="27">
        <v>1.8</v>
      </c>
      <c r="Y97" s="4" t="s">
        <v>1775</v>
      </c>
      <c r="Z97" s="4" t="s">
        <v>29</v>
      </c>
      <c r="AA97" s="5" t="s">
        <v>1900</v>
      </c>
      <c r="AB97" s="5" t="s">
        <v>1901</v>
      </c>
      <c r="AC97" s="4" t="s">
        <v>1815</v>
      </c>
      <c r="AD97" s="3" t="s">
        <v>1274</v>
      </c>
      <c r="AE97" s="3" t="s">
        <v>1275</v>
      </c>
    </row>
    <row r="98" spans="1:31" ht="70">
      <c r="A98" s="4" t="s">
        <v>1902</v>
      </c>
      <c r="B98" s="4" t="s">
        <v>914</v>
      </c>
      <c r="C98" s="4" t="s">
        <v>948</v>
      </c>
      <c r="D98" s="4" t="s">
        <v>1766</v>
      </c>
      <c r="E98" s="4" t="s">
        <v>949</v>
      </c>
      <c r="F98" s="4" t="s">
        <v>1768</v>
      </c>
      <c r="G98" s="16">
        <v>22.658422000000002</v>
      </c>
      <c r="H98" s="16">
        <v>120.55880999999999</v>
      </c>
      <c r="I98" s="4">
        <v>5</v>
      </c>
      <c r="J98" s="4" t="s">
        <v>1257</v>
      </c>
      <c r="K98" s="3" t="s">
        <v>1903</v>
      </c>
      <c r="L98" s="3" t="s">
        <v>1904</v>
      </c>
      <c r="M98" s="3" t="s">
        <v>1771</v>
      </c>
      <c r="N98" s="4">
        <v>160</v>
      </c>
      <c r="O98" s="4" t="s">
        <v>1772</v>
      </c>
      <c r="P98" s="3" t="s">
        <v>1361</v>
      </c>
      <c r="Q98" s="3" t="s">
        <v>1263</v>
      </c>
      <c r="R98" s="3" t="s">
        <v>1264</v>
      </c>
      <c r="S98" s="4" t="s">
        <v>1265</v>
      </c>
      <c r="T98" s="4" t="s">
        <v>1266</v>
      </c>
      <c r="U98" s="4" t="s">
        <v>1773</v>
      </c>
      <c r="V98" s="4" t="s">
        <v>1268</v>
      </c>
      <c r="W98" s="4" t="s">
        <v>1774</v>
      </c>
      <c r="X98" s="27">
        <v>1.8</v>
      </c>
      <c r="Y98" s="4" t="s">
        <v>1775</v>
      </c>
      <c r="Z98" s="4" t="s">
        <v>29</v>
      </c>
      <c r="AA98" s="5" t="s">
        <v>950</v>
      </c>
      <c r="AB98" s="5" t="s">
        <v>1905</v>
      </c>
      <c r="AC98" s="4" t="s">
        <v>1778</v>
      </c>
      <c r="AD98" s="3" t="s">
        <v>1274</v>
      </c>
      <c r="AE98" s="3" t="s">
        <v>1764</v>
      </c>
    </row>
    <row r="99" spans="1:31" ht="70">
      <c r="A99" s="4" t="s">
        <v>1906</v>
      </c>
      <c r="B99" s="4" t="s">
        <v>914</v>
      </c>
      <c r="C99" s="4" t="s">
        <v>943</v>
      </c>
      <c r="D99" s="4" t="s">
        <v>1766</v>
      </c>
      <c r="E99" s="4" t="s">
        <v>1907</v>
      </c>
      <c r="F99" s="4" t="s">
        <v>1768</v>
      </c>
      <c r="G99" s="16">
        <v>21.96509</v>
      </c>
      <c r="H99" s="16">
        <v>120.74177</v>
      </c>
      <c r="I99" s="4">
        <v>4</v>
      </c>
      <c r="J99" s="4" t="s">
        <v>1305</v>
      </c>
      <c r="K99" s="3" t="s">
        <v>1908</v>
      </c>
      <c r="L99" s="3" t="s">
        <v>1909</v>
      </c>
      <c r="M99" s="3" t="s">
        <v>1771</v>
      </c>
      <c r="N99" s="4">
        <v>160</v>
      </c>
      <c r="O99" s="4" t="s">
        <v>1772</v>
      </c>
      <c r="P99" s="3" t="s">
        <v>1361</v>
      </c>
      <c r="Q99" s="3" t="s">
        <v>1263</v>
      </c>
      <c r="R99" s="3" t="s">
        <v>1264</v>
      </c>
      <c r="S99" s="4" t="s">
        <v>1265</v>
      </c>
      <c r="T99" s="4" t="s">
        <v>1266</v>
      </c>
      <c r="U99" s="4" t="s">
        <v>1773</v>
      </c>
      <c r="V99" s="4" t="s">
        <v>1268</v>
      </c>
      <c r="W99" s="4" t="s">
        <v>1774</v>
      </c>
      <c r="X99" s="27">
        <v>1.8</v>
      </c>
      <c r="Y99" s="4" t="s">
        <v>1775</v>
      </c>
      <c r="Z99" s="4" t="s">
        <v>66</v>
      </c>
      <c r="AA99" s="5" t="s">
        <v>1910</v>
      </c>
      <c r="AB99" s="5" t="s">
        <v>1911</v>
      </c>
      <c r="AC99" s="4" t="s">
        <v>1778</v>
      </c>
      <c r="AD99" s="3" t="s">
        <v>1274</v>
      </c>
      <c r="AE99" s="3" t="s">
        <v>1275</v>
      </c>
    </row>
    <row r="100" spans="1:31" ht="70">
      <c r="A100" s="4" t="s">
        <v>1912</v>
      </c>
      <c r="B100" s="4" t="s">
        <v>1087</v>
      </c>
      <c r="C100" s="4" t="s">
        <v>1913</v>
      </c>
      <c r="D100" s="4" t="s">
        <v>1766</v>
      </c>
      <c r="E100" s="4" t="s">
        <v>1914</v>
      </c>
      <c r="F100" s="4" t="s">
        <v>1768</v>
      </c>
      <c r="G100" s="16">
        <v>23.605174000000002</v>
      </c>
      <c r="H100" s="16">
        <v>119.51961</v>
      </c>
      <c r="I100" s="4">
        <v>5</v>
      </c>
      <c r="J100" s="4" t="s">
        <v>1257</v>
      </c>
      <c r="K100" s="3" t="s">
        <v>1915</v>
      </c>
      <c r="L100" s="3" t="s">
        <v>1916</v>
      </c>
      <c r="M100" s="3" t="s">
        <v>1771</v>
      </c>
      <c r="N100" s="4">
        <v>200</v>
      </c>
      <c r="O100" s="4" t="s">
        <v>1261</v>
      </c>
      <c r="P100" s="3" t="s">
        <v>1459</v>
      </c>
      <c r="Q100" s="3" t="s">
        <v>1263</v>
      </c>
      <c r="R100" s="3" t="s">
        <v>1264</v>
      </c>
      <c r="S100" s="4" t="s">
        <v>1265</v>
      </c>
      <c r="T100" s="4" t="s">
        <v>1266</v>
      </c>
      <c r="U100" s="4" t="s">
        <v>1773</v>
      </c>
      <c r="V100" s="4" t="s">
        <v>1268</v>
      </c>
      <c r="W100" s="4" t="s">
        <v>1774</v>
      </c>
      <c r="X100" s="27">
        <v>1.8</v>
      </c>
      <c r="Y100" s="4" t="s">
        <v>1775</v>
      </c>
      <c r="Z100" s="4" t="s">
        <v>29</v>
      </c>
      <c r="AA100" s="5" t="s">
        <v>1917</v>
      </c>
      <c r="AB100" s="5" t="s">
        <v>1918</v>
      </c>
      <c r="AC100" s="4" t="s">
        <v>1815</v>
      </c>
      <c r="AD100" s="3" t="s">
        <v>1274</v>
      </c>
      <c r="AE100" s="3" t="s">
        <v>1275</v>
      </c>
    </row>
    <row r="101" spans="1:31" ht="84">
      <c r="A101" s="4" t="s">
        <v>1919</v>
      </c>
      <c r="B101" s="4" t="s">
        <v>1087</v>
      </c>
      <c r="C101" s="4" t="s">
        <v>1088</v>
      </c>
      <c r="D101" s="4" t="s">
        <v>1766</v>
      </c>
      <c r="E101" s="4" t="s">
        <v>1920</v>
      </c>
      <c r="F101" s="4" t="s">
        <v>1768</v>
      </c>
      <c r="G101" s="16">
        <v>23.563853999999999</v>
      </c>
      <c r="H101" s="16">
        <v>119.56094</v>
      </c>
      <c r="I101" s="4">
        <v>5</v>
      </c>
      <c r="J101" s="4" t="s">
        <v>1257</v>
      </c>
      <c r="K101" s="3" t="s">
        <v>1921</v>
      </c>
      <c r="L101" s="3" t="s">
        <v>1922</v>
      </c>
      <c r="M101" s="3" t="s">
        <v>1771</v>
      </c>
      <c r="N101" s="4">
        <v>200</v>
      </c>
      <c r="O101" s="4" t="s">
        <v>1261</v>
      </c>
      <c r="P101" s="3" t="s">
        <v>1459</v>
      </c>
      <c r="Q101" s="3" t="s">
        <v>1263</v>
      </c>
      <c r="R101" s="3" t="s">
        <v>1264</v>
      </c>
      <c r="S101" s="4" t="s">
        <v>1265</v>
      </c>
      <c r="T101" s="4" t="s">
        <v>1266</v>
      </c>
      <c r="U101" s="4" t="s">
        <v>1773</v>
      </c>
      <c r="V101" s="4" t="s">
        <v>1268</v>
      </c>
      <c r="W101" s="4" t="s">
        <v>1774</v>
      </c>
      <c r="X101" s="27">
        <v>1.8</v>
      </c>
      <c r="Y101" s="4" t="s">
        <v>1775</v>
      </c>
      <c r="Z101" s="4" t="s">
        <v>29</v>
      </c>
      <c r="AA101" s="5" t="s">
        <v>1923</v>
      </c>
      <c r="AB101" s="5" t="s">
        <v>1924</v>
      </c>
      <c r="AC101" s="4" t="s">
        <v>1815</v>
      </c>
      <c r="AD101" s="3" t="s">
        <v>1274</v>
      </c>
      <c r="AE101" s="3" t="s">
        <v>1275</v>
      </c>
    </row>
    <row r="102" spans="1:31" ht="70">
      <c r="A102" s="4" t="s">
        <v>1925</v>
      </c>
      <c r="B102" s="4" t="s">
        <v>1120</v>
      </c>
      <c r="C102" s="4" t="s">
        <v>1926</v>
      </c>
      <c r="D102" s="4" t="s">
        <v>1766</v>
      </c>
      <c r="E102" s="4" t="s">
        <v>1927</v>
      </c>
      <c r="F102" s="4" t="s">
        <v>1768</v>
      </c>
      <c r="G102" s="16">
        <v>24.503810999999999</v>
      </c>
      <c r="H102" s="16">
        <v>118.44041</v>
      </c>
      <c r="I102" s="4">
        <v>5</v>
      </c>
      <c r="J102" s="4" t="s">
        <v>1257</v>
      </c>
      <c r="K102" s="3" t="s">
        <v>1928</v>
      </c>
      <c r="L102" s="3" t="s">
        <v>1929</v>
      </c>
      <c r="M102" s="3" t="s">
        <v>1771</v>
      </c>
      <c r="N102" s="4">
        <v>160</v>
      </c>
      <c r="O102" s="4" t="s">
        <v>1772</v>
      </c>
      <c r="P102" s="3" t="s">
        <v>1361</v>
      </c>
      <c r="Q102" s="3" t="s">
        <v>1263</v>
      </c>
      <c r="R102" s="3" t="s">
        <v>1264</v>
      </c>
      <c r="S102" s="4" t="s">
        <v>1265</v>
      </c>
      <c r="T102" s="4" t="s">
        <v>1266</v>
      </c>
      <c r="U102" s="4" t="s">
        <v>1773</v>
      </c>
      <c r="V102" s="4" t="s">
        <v>1268</v>
      </c>
      <c r="W102" s="4" t="s">
        <v>1774</v>
      </c>
      <c r="X102" s="27">
        <v>1.8</v>
      </c>
      <c r="Y102" s="4" t="s">
        <v>1775</v>
      </c>
      <c r="Z102" s="4" t="s">
        <v>29</v>
      </c>
      <c r="AA102" s="5" t="s">
        <v>1930</v>
      </c>
      <c r="AB102" s="5" t="s">
        <v>1931</v>
      </c>
      <c r="AC102" s="4" t="s">
        <v>1778</v>
      </c>
      <c r="AD102" s="3" t="s">
        <v>1274</v>
      </c>
      <c r="AE102" s="3" t="s">
        <v>1275</v>
      </c>
    </row>
    <row r="103" spans="1:31" ht="70">
      <c r="A103" s="4" t="s">
        <v>1932</v>
      </c>
      <c r="B103" s="4" t="s">
        <v>24</v>
      </c>
      <c r="C103" s="4" t="s">
        <v>58</v>
      </c>
      <c r="D103" s="4" t="s">
        <v>1933</v>
      </c>
      <c r="E103" s="4" t="s">
        <v>1934</v>
      </c>
      <c r="F103" s="4" t="s">
        <v>1935</v>
      </c>
      <c r="G103" s="16">
        <v>25.125630000000001</v>
      </c>
      <c r="H103" s="16">
        <v>121.4671</v>
      </c>
      <c r="I103" s="4">
        <v>5</v>
      </c>
      <c r="J103" s="4" t="s">
        <v>1257</v>
      </c>
      <c r="K103" s="3" t="s">
        <v>1936</v>
      </c>
      <c r="L103" s="3" t="s">
        <v>1937</v>
      </c>
      <c r="M103" s="3" t="s">
        <v>1938</v>
      </c>
      <c r="N103" s="4">
        <v>300</v>
      </c>
      <c r="O103" s="4" t="s">
        <v>1261</v>
      </c>
      <c r="P103" s="3" t="s">
        <v>1459</v>
      </c>
      <c r="Q103" s="3" t="s">
        <v>1263</v>
      </c>
      <c r="R103" s="3" t="s">
        <v>1264</v>
      </c>
      <c r="S103" s="4" t="s">
        <v>1265</v>
      </c>
      <c r="T103" s="4" t="s">
        <v>1266</v>
      </c>
      <c r="U103" s="4" t="s">
        <v>1939</v>
      </c>
      <c r="V103" s="4" t="s">
        <v>1442</v>
      </c>
      <c r="W103" s="4" t="s">
        <v>1940</v>
      </c>
      <c r="X103" s="27">
        <v>4</v>
      </c>
      <c r="Y103" s="4" t="s">
        <v>1941</v>
      </c>
      <c r="Z103" s="4" t="s">
        <v>29</v>
      </c>
      <c r="AA103" s="5" t="s">
        <v>1942</v>
      </c>
      <c r="AB103" s="5" t="s">
        <v>1943</v>
      </c>
      <c r="AC103" s="4" t="s">
        <v>1944</v>
      </c>
      <c r="AD103" s="3" t="s">
        <v>1274</v>
      </c>
      <c r="AE103" s="3" t="s">
        <v>1275</v>
      </c>
    </row>
    <row r="104" spans="1:31" ht="84">
      <c r="A104" s="4" t="s">
        <v>1945</v>
      </c>
      <c r="B104" s="4" t="s">
        <v>151</v>
      </c>
      <c r="C104" s="4" t="s">
        <v>1290</v>
      </c>
      <c r="D104" s="4" t="s">
        <v>1933</v>
      </c>
      <c r="E104" s="4" t="s">
        <v>1946</v>
      </c>
      <c r="F104" s="4" t="s">
        <v>1935</v>
      </c>
      <c r="G104" s="16">
        <v>25.156302</v>
      </c>
      <c r="H104" s="16">
        <v>121.45654999999999</v>
      </c>
      <c r="I104" s="4">
        <v>4</v>
      </c>
      <c r="J104" s="4" t="s">
        <v>1305</v>
      </c>
      <c r="K104" s="3" t="s">
        <v>1947</v>
      </c>
      <c r="L104" s="3" t="s">
        <v>1948</v>
      </c>
      <c r="M104" s="3" t="s">
        <v>1938</v>
      </c>
      <c r="N104" s="4">
        <v>300</v>
      </c>
      <c r="O104" s="4" t="s">
        <v>1261</v>
      </c>
      <c r="P104" s="3" t="s">
        <v>1459</v>
      </c>
      <c r="Q104" s="3" t="s">
        <v>1263</v>
      </c>
      <c r="R104" s="3" t="s">
        <v>1264</v>
      </c>
      <c r="S104" s="4" t="s">
        <v>1265</v>
      </c>
      <c r="T104" s="4" t="s">
        <v>1266</v>
      </c>
      <c r="U104" s="4" t="s">
        <v>1939</v>
      </c>
      <c r="V104" s="4" t="s">
        <v>1442</v>
      </c>
      <c r="W104" s="4" t="s">
        <v>1940</v>
      </c>
      <c r="X104" s="27">
        <v>4</v>
      </c>
      <c r="Y104" s="4" t="s">
        <v>1941</v>
      </c>
      <c r="Z104" s="4" t="s">
        <v>66</v>
      </c>
      <c r="AA104" s="5" t="s">
        <v>1949</v>
      </c>
      <c r="AB104" s="5" t="s">
        <v>1950</v>
      </c>
      <c r="AC104" s="4" t="s">
        <v>1944</v>
      </c>
      <c r="AD104" s="3" t="s">
        <v>1274</v>
      </c>
      <c r="AE104" s="3" t="s">
        <v>1275</v>
      </c>
    </row>
    <row r="105" spans="1:31" ht="84">
      <c r="A105" s="4" t="s">
        <v>1951</v>
      </c>
      <c r="B105" s="4" t="s">
        <v>151</v>
      </c>
      <c r="C105" s="4" t="s">
        <v>1952</v>
      </c>
      <c r="D105" s="4" t="s">
        <v>1933</v>
      </c>
      <c r="E105" s="4" t="s">
        <v>1953</v>
      </c>
      <c r="F105" s="4" t="s">
        <v>1935</v>
      </c>
      <c r="G105" s="16">
        <v>25.128150000000002</v>
      </c>
      <c r="H105" s="16">
        <v>121.41998</v>
      </c>
      <c r="I105" s="4">
        <v>4</v>
      </c>
      <c r="J105" s="4" t="s">
        <v>1305</v>
      </c>
      <c r="K105" s="3" t="s">
        <v>1954</v>
      </c>
      <c r="L105" s="3" t="s">
        <v>1955</v>
      </c>
      <c r="M105" s="3" t="s">
        <v>1938</v>
      </c>
      <c r="N105" s="4">
        <v>300</v>
      </c>
      <c r="O105" s="4" t="s">
        <v>1261</v>
      </c>
      <c r="P105" s="3" t="s">
        <v>1459</v>
      </c>
      <c r="Q105" s="3" t="s">
        <v>1263</v>
      </c>
      <c r="R105" s="3" t="s">
        <v>1264</v>
      </c>
      <c r="S105" s="4" t="s">
        <v>1265</v>
      </c>
      <c r="T105" s="4" t="s">
        <v>1266</v>
      </c>
      <c r="U105" s="4" t="s">
        <v>1939</v>
      </c>
      <c r="V105" s="4" t="s">
        <v>1442</v>
      </c>
      <c r="W105" s="4" t="s">
        <v>1940</v>
      </c>
      <c r="X105" s="27">
        <v>4</v>
      </c>
      <c r="Y105" s="4" t="s">
        <v>1941</v>
      </c>
      <c r="Z105" s="4" t="s">
        <v>66</v>
      </c>
      <c r="AA105" s="5" t="s">
        <v>1956</v>
      </c>
      <c r="AB105" s="5" t="s">
        <v>1957</v>
      </c>
      <c r="AC105" s="4" t="s">
        <v>1944</v>
      </c>
      <c r="AD105" s="3" t="s">
        <v>1274</v>
      </c>
      <c r="AE105" s="3" t="s">
        <v>1275</v>
      </c>
    </row>
    <row r="106" spans="1:31" ht="70">
      <c r="A106" s="4" t="s">
        <v>1958</v>
      </c>
      <c r="B106" s="4" t="s">
        <v>281</v>
      </c>
      <c r="C106" s="4" t="s">
        <v>1674</v>
      </c>
      <c r="D106" s="4" t="s">
        <v>1933</v>
      </c>
      <c r="E106" s="4" t="s">
        <v>1959</v>
      </c>
      <c r="F106" s="4" t="s">
        <v>1935</v>
      </c>
      <c r="G106" s="16">
        <v>24.969405999999999</v>
      </c>
      <c r="H106" s="16">
        <v>121.01237999999999</v>
      </c>
      <c r="I106" s="4">
        <v>5</v>
      </c>
      <c r="J106" s="4" t="s">
        <v>1257</v>
      </c>
      <c r="K106" s="3" t="s">
        <v>1960</v>
      </c>
      <c r="L106" s="3" t="s">
        <v>1961</v>
      </c>
      <c r="M106" s="3" t="s">
        <v>1938</v>
      </c>
      <c r="N106" s="4">
        <v>300</v>
      </c>
      <c r="O106" s="4" t="s">
        <v>1261</v>
      </c>
      <c r="P106" s="3" t="s">
        <v>1459</v>
      </c>
      <c r="Q106" s="3" t="s">
        <v>1263</v>
      </c>
      <c r="R106" s="3" t="s">
        <v>1264</v>
      </c>
      <c r="S106" s="4" t="s">
        <v>1265</v>
      </c>
      <c r="T106" s="4" t="s">
        <v>1266</v>
      </c>
      <c r="U106" s="4" t="s">
        <v>1939</v>
      </c>
      <c r="V106" s="4" t="s">
        <v>1442</v>
      </c>
      <c r="W106" s="4" t="s">
        <v>1940</v>
      </c>
      <c r="X106" s="27">
        <v>4</v>
      </c>
      <c r="Y106" s="4" t="s">
        <v>1941</v>
      </c>
      <c r="Z106" s="4" t="s">
        <v>29</v>
      </c>
      <c r="AA106" s="5" t="s">
        <v>1962</v>
      </c>
      <c r="AB106" s="5" t="s">
        <v>1963</v>
      </c>
      <c r="AC106" s="4" t="s">
        <v>1944</v>
      </c>
      <c r="AD106" s="3" t="s">
        <v>1274</v>
      </c>
      <c r="AE106" s="3" t="s">
        <v>1275</v>
      </c>
    </row>
    <row r="107" spans="1:31" ht="56">
      <c r="A107" s="4" t="s">
        <v>1964</v>
      </c>
      <c r="B107" s="4" t="s">
        <v>400</v>
      </c>
      <c r="C107" s="4" t="s">
        <v>1965</v>
      </c>
      <c r="D107" s="4" t="s">
        <v>1933</v>
      </c>
      <c r="E107" s="4" t="s">
        <v>1966</v>
      </c>
      <c r="F107" s="4" t="s">
        <v>1935</v>
      </c>
      <c r="G107" s="16">
        <v>24.655282</v>
      </c>
      <c r="H107" s="16">
        <v>121.02327</v>
      </c>
      <c r="I107" s="4">
        <v>4</v>
      </c>
      <c r="J107" s="4" t="s">
        <v>1305</v>
      </c>
      <c r="K107" s="3" t="s">
        <v>1967</v>
      </c>
      <c r="L107" s="3" t="s">
        <v>1968</v>
      </c>
      <c r="M107" s="3" t="s">
        <v>1938</v>
      </c>
      <c r="N107" s="4">
        <v>300</v>
      </c>
      <c r="O107" s="4" t="s">
        <v>1261</v>
      </c>
      <c r="P107" s="3" t="s">
        <v>1459</v>
      </c>
      <c r="Q107" s="3" t="s">
        <v>1263</v>
      </c>
      <c r="R107" s="3" t="s">
        <v>1264</v>
      </c>
      <c r="S107" s="4" t="s">
        <v>1265</v>
      </c>
      <c r="T107" s="4" t="s">
        <v>1266</v>
      </c>
      <c r="U107" s="4" t="s">
        <v>1939</v>
      </c>
      <c r="V107" s="4" t="s">
        <v>1442</v>
      </c>
      <c r="W107" s="4" t="s">
        <v>1940</v>
      </c>
      <c r="X107" s="27">
        <v>4</v>
      </c>
      <c r="Y107" s="4" t="s">
        <v>1941</v>
      </c>
      <c r="Z107" s="4" t="s">
        <v>66</v>
      </c>
      <c r="AA107" s="5" t="s">
        <v>1969</v>
      </c>
      <c r="AB107" s="5" t="s">
        <v>1970</v>
      </c>
      <c r="AC107" s="4" t="s">
        <v>1944</v>
      </c>
      <c r="AD107" s="3" t="s">
        <v>1274</v>
      </c>
      <c r="AE107" s="3" t="s">
        <v>1275</v>
      </c>
    </row>
    <row r="108" spans="1:31" ht="56">
      <c r="A108" s="4" t="s">
        <v>1971</v>
      </c>
      <c r="B108" s="4" t="s">
        <v>355</v>
      </c>
      <c r="C108" s="4" t="s">
        <v>356</v>
      </c>
      <c r="D108" s="4" t="s">
        <v>1933</v>
      </c>
      <c r="E108" s="4" t="s">
        <v>1972</v>
      </c>
      <c r="F108" s="4" t="s">
        <v>1935</v>
      </c>
      <c r="G108" s="16">
        <v>24.774933999999998</v>
      </c>
      <c r="H108" s="16">
        <v>120.9709</v>
      </c>
      <c r="I108" s="4">
        <v>4</v>
      </c>
      <c r="J108" s="4" t="s">
        <v>1305</v>
      </c>
      <c r="K108" s="3" t="s">
        <v>1973</v>
      </c>
      <c r="L108" s="3" t="s">
        <v>1974</v>
      </c>
      <c r="M108" s="3" t="s">
        <v>1938</v>
      </c>
      <c r="N108" s="4">
        <v>300</v>
      </c>
      <c r="O108" s="4" t="s">
        <v>1261</v>
      </c>
      <c r="P108" s="3" t="s">
        <v>1459</v>
      </c>
      <c r="Q108" s="3" t="s">
        <v>1263</v>
      </c>
      <c r="R108" s="3" t="s">
        <v>1264</v>
      </c>
      <c r="S108" s="4" t="s">
        <v>1265</v>
      </c>
      <c r="T108" s="4" t="s">
        <v>1266</v>
      </c>
      <c r="U108" s="4" t="s">
        <v>1939</v>
      </c>
      <c r="V108" s="4" t="s">
        <v>1442</v>
      </c>
      <c r="W108" s="4" t="s">
        <v>1940</v>
      </c>
      <c r="X108" s="27">
        <v>4</v>
      </c>
      <c r="Y108" s="4" t="s">
        <v>1941</v>
      </c>
      <c r="Z108" s="4" t="s">
        <v>66</v>
      </c>
      <c r="AA108" s="5" t="s">
        <v>1975</v>
      </c>
      <c r="AB108" s="5" t="s">
        <v>1976</v>
      </c>
      <c r="AC108" s="4" t="s">
        <v>1944</v>
      </c>
      <c r="AD108" s="3" t="s">
        <v>1274</v>
      </c>
      <c r="AE108" s="3" t="s">
        <v>1275</v>
      </c>
    </row>
    <row r="109" spans="1:31" ht="56">
      <c r="A109" s="4" t="s">
        <v>1977</v>
      </c>
      <c r="B109" s="4" t="s">
        <v>355</v>
      </c>
      <c r="C109" s="4" t="s">
        <v>356</v>
      </c>
      <c r="D109" s="4" t="s">
        <v>1933</v>
      </c>
      <c r="E109" s="4" t="s">
        <v>1978</v>
      </c>
      <c r="F109" s="4" t="s">
        <v>1935</v>
      </c>
      <c r="G109" s="16">
        <v>24.792534</v>
      </c>
      <c r="H109" s="16">
        <v>120.98459</v>
      </c>
      <c r="I109" s="4">
        <v>5</v>
      </c>
      <c r="J109" s="4" t="s">
        <v>1257</v>
      </c>
      <c r="K109" s="3" t="s">
        <v>1979</v>
      </c>
      <c r="L109" s="3" t="s">
        <v>1980</v>
      </c>
      <c r="M109" s="3" t="s">
        <v>1938</v>
      </c>
      <c r="N109" s="4">
        <v>300</v>
      </c>
      <c r="O109" s="4" t="s">
        <v>1261</v>
      </c>
      <c r="P109" s="3" t="s">
        <v>1459</v>
      </c>
      <c r="Q109" s="3" t="s">
        <v>1263</v>
      </c>
      <c r="R109" s="3" t="s">
        <v>1264</v>
      </c>
      <c r="S109" s="4" t="s">
        <v>1265</v>
      </c>
      <c r="T109" s="4" t="s">
        <v>1266</v>
      </c>
      <c r="U109" s="4" t="s">
        <v>1939</v>
      </c>
      <c r="V109" s="4" t="s">
        <v>1442</v>
      </c>
      <c r="W109" s="4" t="s">
        <v>1940</v>
      </c>
      <c r="X109" s="27">
        <v>4</v>
      </c>
      <c r="Y109" s="4" t="s">
        <v>1941</v>
      </c>
      <c r="Z109" s="4" t="s">
        <v>29</v>
      </c>
      <c r="AA109" s="5" t="s">
        <v>1981</v>
      </c>
      <c r="AB109" s="5" t="s">
        <v>1982</v>
      </c>
      <c r="AC109" s="4" t="s">
        <v>1944</v>
      </c>
      <c r="AD109" s="3" t="s">
        <v>1274</v>
      </c>
      <c r="AE109" s="3" t="s">
        <v>1983</v>
      </c>
    </row>
    <row r="110" spans="1:31" ht="84">
      <c r="A110" s="4" t="s">
        <v>1984</v>
      </c>
      <c r="B110" s="4" t="s">
        <v>436</v>
      </c>
      <c r="C110" s="4" t="s">
        <v>447</v>
      </c>
      <c r="D110" s="4" t="s">
        <v>1933</v>
      </c>
      <c r="E110" s="4" t="s">
        <v>1985</v>
      </c>
      <c r="F110" s="4" t="s">
        <v>1935</v>
      </c>
      <c r="G110" s="16">
        <v>24.666495999999999</v>
      </c>
      <c r="H110" s="16">
        <v>120.84343</v>
      </c>
      <c r="I110" s="4">
        <v>4</v>
      </c>
      <c r="J110" s="4" t="s">
        <v>1305</v>
      </c>
      <c r="K110" s="3" t="s">
        <v>1986</v>
      </c>
      <c r="L110" s="3" t="s">
        <v>1987</v>
      </c>
      <c r="M110" s="3" t="s">
        <v>1938</v>
      </c>
      <c r="N110" s="4">
        <v>300</v>
      </c>
      <c r="O110" s="4" t="s">
        <v>1261</v>
      </c>
      <c r="P110" s="3" t="s">
        <v>1459</v>
      </c>
      <c r="Q110" s="3" t="s">
        <v>1263</v>
      </c>
      <c r="R110" s="3" t="s">
        <v>1264</v>
      </c>
      <c r="S110" s="4" t="s">
        <v>1265</v>
      </c>
      <c r="T110" s="4" t="s">
        <v>1266</v>
      </c>
      <c r="U110" s="4" t="s">
        <v>1939</v>
      </c>
      <c r="V110" s="4" t="s">
        <v>1442</v>
      </c>
      <c r="W110" s="4" t="s">
        <v>1940</v>
      </c>
      <c r="X110" s="27">
        <v>4</v>
      </c>
      <c r="Y110" s="4" t="s">
        <v>1941</v>
      </c>
      <c r="Z110" s="4" t="s">
        <v>66</v>
      </c>
      <c r="AA110" s="5" t="s">
        <v>1988</v>
      </c>
      <c r="AB110" s="5" t="s">
        <v>1989</v>
      </c>
      <c r="AC110" s="4" t="s">
        <v>1944</v>
      </c>
      <c r="AD110" s="3" t="s">
        <v>1274</v>
      </c>
      <c r="AE110" s="3" t="s">
        <v>1275</v>
      </c>
    </row>
    <row r="111" spans="1:31" ht="56">
      <c r="A111" s="4" t="s">
        <v>1990</v>
      </c>
      <c r="B111" s="4" t="s">
        <v>480</v>
      </c>
      <c r="C111" s="4" t="s">
        <v>535</v>
      </c>
      <c r="D111" s="4" t="s">
        <v>1933</v>
      </c>
      <c r="E111" s="4" t="s">
        <v>1991</v>
      </c>
      <c r="F111" s="4" t="s">
        <v>1935</v>
      </c>
      <c r="G111" s="16">
        <v>24.311951000000001</v>
      </c>
      <c r="H111" s="16">
        <v>120.54980999999999</v>
      </c>
      <c r="I111" s="4">
        <v>5</v>
      </c>
      <c r="J111" s="4" t="s">
        <v>1257</v>
      </c>
      <c r="K111" s="3" t="s">
        <v>1992</v>
      </c>
      <c r="L111" s="3" t="s">
        <v>1993</v>
      </c>
      <c r="M111" s="3" t="s">
        <v>1938</v>
      </c>
      <c r="N111" s="4">
        <v>300</v>
      </c>
      <c r="O111" s="4" t="s">
        <v>1261</v>
      </c>
      <c r="P111" s="3" t="s">
        <v>1459</v>
      </c>
      <c r="Q111" s="3" t="s">
        <v>1263</v>
      </c>
      <c r="R111" s="3" t="s">
        <v>1264</v>
      </c>
      <c r="S111" s="4" t="s">
        <v>1265</v>
      </c>
      <c r="T111" s="4" t="s">
        <v>1266</v>
      </c>
      <c r="U111" s="4" t="s">
        <v>1939</v>
      </c>
      <c r="V111" s="4" t="s">
        <v>1442</v>
      </c>
      <c r="W111" s="4" t="s">
        <v>1940</v>
      </c>
      <c r="X111" s="27">
        <v>4</v>
      </c>
      <c r="Y111" s="4" t="s">
        <v>1941</v>
      </c>
      <c r="Z111" s="4" t="s">
        <v>29</v>
      </c>
      <c r="AA111" s="5" t="s">
        <v>1994</v>
      </c>
      <c r="AB111" s="5" t="s">
        <v>1995</v>
      </c>
      <c r="AC111" s="4" t="s">
        <v>1944</v>
      </c>
      <c r="AD111" s="3" t="s">
        <v>1274</v>
      </c>
      <c r="AE111" s="3" t="s">
        <v>1275</v>
      </c>
    </row>
    <row r="112" spans="1:31" ht="56">
      <c r="A112" s="4" t="s">
        <v>1996</v>
      </c>
      <c r="B112" s="4" t="s">
        <v>480</v>
      </c>
      <c r="C112" s="4" t="s">
        <v>523</v>
      </c>
      <c r="D112" s="4" t="s">
        <v>1933</v>
      </c>
      <c r="E112" s="4" t="s">
        <v>528</v>
      </c>
      <c r="F112" s="4" t="s">
        <v>1935</v>
      </c>
      <c r="G112" s="16">
        <v>24.148399999999999</v>
      </c>
      <c r="H112" s="16">
        <v>120.66477</v>
      </c>
      <c r="I112" s="4">
        <v>5</v>
      </c>
      <c r="J112" s="4" t="s">
        <v>1257</v>
      </c>
      <c r="K112" s="3" t="s">
        <v>1997</v>
      </c>
      <c r="L112" s="3" t="s">
        <v>1998</v>
      </c>
      <c r="M112" s="3" t="s">
        <v>1938</v>
      </c>
      <c r="N112" s="4">
        <v>300</v>
      </c>
      <c r="O112" s="4" t="s">
        <v>1261</v>
      </c>
      <c r="P112" s="3" t="s">
        <v>1459</v>
      </c>
      <c r="Q112" s="3" t="s">
        <v>1263</v>
      </c>
      <c r="R112" s="3" t="s">
        <v>1264</v>
      </c>
      <c r="S112" s="4" t="s">
        <v>1265</v>
      </c>
      <c r="T112" s="4" t="s">
        <v>1266</v>
      </c>
      <c r="U112" s="4" t="s">
        <v>1939</v>
      </c>
      <c r="V112" s="4" t="s">
        <v>1442</v>
      </c>
      <c r="W112" s="4" t="s">
        <v>1940</v>
      </c>
      <c r="X112" s="27">
        <v>4</v>
      </c>
      <c r="Y112" s="4" t="s">
        <v>1941</v>
      </c>
      <c r="Z112" s="4" t="s">
        <v>29</v>
      </c>
      <c r="AA112" s="5" t="s">
        <v>532</v>
      </c>
      <c r="AB112" s="5" t="s">
        <v>1999</v>
      </c>
      <c r="AC112" s="4" t="s">
        <v>1944</v>
      </c>
      <c r="AD112" s="3" t="s">
        <v>1274</v>
      </c>
      <c r="AE112" s="3" t="s">
        <v>1764</v>
      </c>
    </row>
    <row r="113" spans="1:31" ht="56">
      <c r="A113" s="4" t="s">
        <v>2000</v>
      </c>
      <c r="B113" s="4" t="s">
        <v>480</v>
      </c>
      <c r="C113" s="4" t="s">
        <v>2001</v>
      </c>
      <c r="D113" s="4" t="s">
        <v>1933</v>
      </c>
      <c r="E113" s="4" t="s">
        <v>2002</v>
      </c>
      <c r="F113" s="4" t="s">
        <v>1935</v>
      </c>
      <c r="G113" s="16">
        <v>24.205635000000001</v>
      </c>
      <c r="H113" s="16">
        <v>121.00572</v>
      </c>
      <c r="I113" s="4">
        <v>4</v>
      </c>
      <c r="J113" s="4" t="s">
        <v>1305</v>
      </c>
      <c r="K113" s="3" t="s">
        <v>2003</v>
      </c>
      <c r="L113" s="3" t="s">
        <v>2004</v>
      </c>
      <c r="M113" s="3" t="s">
        <v>1938</v>
      </c>
      <c r="N113" s="4">
        <v>300</v>
      </c>
      <c r="O113" s="4" t="s">
        <v>1261</v>
      </c>
      <c r="P113" s="3" t="s">
        <v>1459</v>
      </c>
      <c r="Q113" s="3" t="s">
        <v>1263</v>
      </c>
      <c r="R113" s="3" t="s">
        <v>1264</v>
      </c>
      <c r="S113" s="4" t="s">
        <v>1265</v>
      </c>
      <c r="T113" s="4" t="s">
        <v>1266</v>
      </c>
      <c r="U113" s="4" t="s">
        <v>1939</v>
      </c>
      <c r="V113" s="4" t="s">
        <v>1442</v>
      </c>
      <c r="W113" s="4" t="s">
        <v>1940</v>
      </c>
      <c r="X113" s="27">
        <v>4</v>
      </c>
      <c r="Y113" s="4" t="s">
        <v>1941</v>
      </c>
      <c r="Z113" s="4" t="s">
        <v>66</v>
      </c>
      <c r="AA113" s="5" t="s">
        <v>2005</v>
      </c>
      <c r="AB113" s="5" t="s">
        <v>2006</v>
      </c>
      <c r="AC113" s="4" t="s">
        <v>1944</v>
      </c>
      <c r="AD113" s="3" t="s">
        <v>1274</v>
      </c>
      <c r="AE113" s="3" t="s">
        <v>1275</v>
      </c>
    </row>
    <row r="114" spans="1:31" ht="70">
      <c r="A114" s="4" t="s">
        <v>2007</v>
      </c>
      <c r="B114" s="4" t="s">
        <v>559</v>
      </c>
      <c r="C114" s="4" t="s">
        <v>2008</v>
      </c>
      <c r="D114" s="4" t="s">
        <v>1933</v>
      </c>
      <c r="E114" s="4" t="s">
        <v>2009</v>
      </c>
      <c r="F114" s="4" t="s">
        <v>1935</v>
      </c>
      <c r="G114" s="16">
        <v>23.814388000000001</v>
      </c>
      <c r="H114" s="16">
        <v>120.61744</v>
      </c>
      <c r="I114" s="4">
        <v>5</v>
      </c>
      <c r="J114" s="4" t="s">
        <v>1257</v>
      </c>
      <c r="K114" s="3" t="s">
        <v>2010</v>
      </c>
      <c r="L114" s="3" t="s">
        <v>2011</v>
      </c>
      <c r="M114" s="3" t="s">
        <v>1938</v>
      </c>
      <c r="N114" s="4">
        <v>300</v>
      </c>
      <c r="O114" s="4" t="s">
        <v>1261</v>
      </c>
      <c r="P114" s="3" t="s">
        <v>1459</v>
      </c>
      <c r="Q114" s="3" t="s">
        <v>1263</v>
      </c>
      <c r="R114" s="3" t="s">
        <v>1264</v>
      </c>
      <c r="S114" s="4" t="s">
        <v>1265</v>
      </c>
      <c r="T114" s="4" t="s">
        <v>1266</v>
      </c>
      <c r="U114" s="4" t="s">
        <v>1939</v>
      </c>
      <c r="V114" s="4" t="s">
        <v>1442</v>
      </c>
      <c r="W114" s="4" t="s">
        <v>1940</v>
      </c>
      <c r="X114" s="27">
        <v>4</v>
      </c>
      <c r="Y114" s="4" t="s">
        <v>1941</v>
      </c>
      <c r="Z114" s="4" t="s">
        <v>29</v>
      </c>
      <c r="AA114" s="5" t="s">
        <v>2012</v>
      </c>
      <c r="AB114" s="5" t="s">
        <v>2013</v>
      </c>
      <c r="AC114" s="4" t="s">
        <v>1944</v>
      </c>
      <c r="AD114" s="3" t="s">
        <v>1274</v>
      </c>
      <c r="AE114" s="3" t="s">
        <v>1275</v>
      </c>
    </row>
    <row r="115" spans="1:31" ht="70">
      <c r="A115" s="4" t="s">
        <v>2014</v>
      </c>
      <c r="B115" s="4" t="s">
        <v>603</v>
      </c>
      <c r="C115" s="4" t="s">
        <v>2015</v>
      </c>
      <c r="D115" s="4" t="s">
        <v>1933</v>
      </c>
      <c r="E115" s="4" t="s">
        <v>2016</v>
      </c>
      <c r="F115" s="4" t="s">
        <v>1935</v>
      </c>
      <c r="G115" s="16">
        <v>23.852933</v>
      </c>
      <c r="H115" s="16">
        <v>120.90173</v>
      </c>
      <c r="I115" s="4">
        <v>5</v>
      </c>
      <c r="J115" s="4" t="s">
        <v>1257</v>
      </c>
      <c r="K115" s="3" t="s">
        <v>2017</v>
      </c>
      <c r="L115" s="3" t="s">
        <v>2018</v>
      </c>
      <c r="M115" s="3" t="s">
        <v>1938</v>
      </c>
      <c r="N115" s="4">
        <v>300</v>
      </c>
      <c r="O115" s="4" t="s">
        <v>1261</v>
      </c>
      <c r="P115" s="3" t="s">
        <v>1459</v>
      </c>
      <c r="Q115" s="3" t="s">
        <v>1263</v>
      </c>
      <c r="R115" s="3" t="s">
        <v>1264</v>
      </c>
      <c r="S115" s="4" t="s">
        <v>1265</v>
      </c>
      <c r="T115" s="4" t="s">
        <v>1266</v>
      </c>
      <c r="U115" s="4" t="s">
        <v>1939</v>
      </c>
      <c r="V115" s="4" t="s">
        <v>1442</v>
      </c>
      <c r="W115" s="4" t="s">
        <v>1940</v>
      </c>
      <c r="X115" s="27">
        <v>4</v>
      </c>
      <c r="Y115" s="4" t="s">
        <v>1941</v>
      </c>
      <c r="Z115" s="4" t="s">
        <v>29</v>
      </c>
      <c r="AA115" s="5" t="s">
        <v>2019</v>
      </c>
      <c r="AB115" s="5" t="s">
        <v>2020</v>
      </c>
      <c r="AC115" s="4" t="s">
        <v>1944</v>
      </c>
      <c r="AD115" s="3" t="s">
        <v>1274</v>
      </c>
      <c r="AE115" s="3" t="s">
        <v>1275</v>
      </c>
    </row>
    <row r="116" spans="1:31" ht="70">
      <c r="A116" s="4" t="s">
        <v>2021</v>
      </c>
      <c r="B116" s="4" t="s">
        <v>603</v>
      </c>
      <c r="C116" s="4" t="s">
        <v>2015</v>
      </c>
      <c r="D116" s="4" t="s">
        <v>1933</v>
      </c>
      <c r="E116" s="4" t="s">
        <v>2022</v>
      </c>
      <c r="F116" s="4" t="s">
        <v>1935</v>
      </c>
      <c r="G116" s="16">
        <v>23.862238999999999</v>
      </c>
      <c r="H116" s="16">
        <v>120.90869000000001</v>
      </c>
      <c r="I116" s="4">
        <v>5</v>
      </c>
      <c r="J116" s="4" t="s">
        <v>1257</v>
      </c>
      <c r="K116" s="3" t="s">
        <v>2023</v>
      </c>
      <c r="L116" s="3" t="s">
        <v>2024</v>
      </c>
      <c r="M116" s="3" t="s">
        <v>1938</v>
      </c>
      <c r="N116" s="4">
        <v>300</v>
      </c>
      <c r="O116" s="4" t="s">
        <v>1261</v>
      </c>
      <c r="P116" s="3" t="s">
        <v>1459</v>
      </c>
      <c r="Q116" s="3" t="s">
        <v>1263</v>
      </c>
      <c r="R116" s="3" t="s">
        <v>1264</v>
      </c>
      <c r="S116" s="4" t="s">
        <v>1265</v>
      </c>
      <c r="T116" s="4" t="s">
        <v>1266</v>
      </c>
      <c r="U116" s="4" t="s">
        <v>1939</v>
      </c>
      <c r="V116" s="4" t="s">
        <v>1442</v>
      </c>
      <c r="W116" s="4" t="s">
        <v>1940</v>
      </c>
      <c r="X116" s="27">
        <v>4</v>
      </c>
      <c r="Y116" s="4" t="s">
        <v>1941</v>
      </c>
      <c r="Z116" s="4" t="s">
        <v>29</v>
      </c>
      <c r="AA116" s="5" t="s">
        <v>2025</v>
      </c>
      <c r="AB116" s="5" t="s">
        <v>2026</v>
      </c>
      <c r="AC116" s="4" t="s">
        <v>1944</v>
      </c>
      <c r="AD116" s="3" t="s">
        <v>1274</v>
      </c>
      <c r="AE116" s="3" t="s">
        <v>1275</v>
      </c>
    </row>
    <row r="117" spans="1:31" ht="70">
      <c r="A117" s="4" t="s">
        <v>2027</v>
      </c>
      <c r="B117" s="4" t="s">
        <v>643</v>
      </c>
      <c r="C117" s="4" t="s">
        <v>676</v>
      </c>
      <c r="D117" s="4" t="s">
        <v>1933</v>
      </c>
      <c r="E117" s="4" t="s">
        <v>2028</v>
      </c>
      <c r="F117" s="4" t="s">
        <v>1935</v>
      </c>
      <c r="G117" s="16">
        <v>23.659291</v>
      </c>
      <c r="H117" s="16">
        <v>120.54098</v>
      </c>
      <c r="I117" s="4">
        <v>5</v>
      </c>
      <c r="J117" s="4" t="s">
        <v>1257</v>
      </c>
      <c r="K117" s="3" t="s">
        <v>2029</v>
      </c>
      <c r="L117" s="3" t="s">
        <v>2030</v>
      </c>
      <c r="M117" s="3" t="s">
        <v>1938</v>
      </c>
      <c r="N117" s="4">
        <v>300</v>
      </c>
      <c r="O117" s="4" t="s">
        <v>1261</v>
      </c>
      <c r="P117" s="3" t="s">
        <v>1459</v>
      </c>
      <c r="Q117" s="3" t="s">
        <v>1263</v>
      </c>
      <c r="R117" s="3" t="s">
        <v>1264</v>
      </c>
      <c r="S117" s="4" t="s">
        <v>1265</v>
      </c>
      <c r="T117" s="4" t="s">
        <v>1266</v>
      </c>
      <c r="U117" s="4" t="s">
        <v>1939</v>
      </c>
      <c r="V117" s="4" t="s">
        <v>1442</v>
      </c>
      <c r="W117" s="4" t="s">
        <v>1940</v>
      </c>
      <c r="X117" s="27">
        <v>4</v>
      </c>
      <c r="Y117" s="4" t="s">
        <v>1941</v>
      </c>
      <c r="Z117" s="4" t="s">
        <v>29</v>
      </c>
      <c r="AA117" s="5" t="s">
        <v>2031</v>
      </c>
      <c r="AB117" s="5" t="s">
        <v>2032</v>
      </c>
      <c r="AC117" s="4" t="s">
        <v>1944</v>
      </c>
      <c r="AD117" s="3" t="s">
        <v>1274</v>
      </c>
      <c r="AE117" s="3" t="s">
        <v>2033</v>
      </c>
    </row>
    <row r="118" spans="1:31" ht="70">
      <c r="A118" s="4" t="s">
        <v>2034</v>
      </c>
      <c r="B118" s="4" t="s">
        <v>750</v>
      </c>
      <c r="C118" s="4" t="s">
        <v>2035</v>
      </c>
      <c r="D118" s="4" t="s">
        <v>1933</v>
      </c>
      <c r="E118" s="4" t="s">
        <v>2036</v>
      </c>
      <c r="F118" s="4" t="s">
        <v>1935</v>
      </c>
      <c r="G118" s="16">
        <v>23.378122999999999</v>
      </c>
      <c r="H118" s="16">
        <v>120.40994000000001</v>
      </c>
      <c r="I118" s="4">
        <v>5</v>
      </c>
      <c r="J118" s="4" t="s">
        <v>1257</v>
      </c>
      <c r="K118" s="3" t="s">
        <v>2037</v>
      </c>
      <c r="L118" s="3" t="s">
        <v>2038</v>
      </c>
      <c r="M118" s="3" t="s">
        <v>1938</v>
      </c>
      <c r="N118" s="4">
        <v>300</v>
      </c>
      <c r="O118" s="4" t="s">
        <v>1261</v>
      </c>
      <c r="P118" s="3" t="s">
        <v>1459</v>
      </c>
      <c r="Q118" s="3" t="s">
        <v>1263</v>
      </c>
      <c r="R118" s="3" t="s">
        <v>1264</v>
      </c>
      <c r="S118" s="4" t="s">
        <v>1265</v>
      </c>
      <c r="T118" s="4" t="s">
        <v>1266</v>
      </c>
      <c r="U118" s="4" t="s">
        <v>1939</v>
      </c>
      <c r="V118" s="4" t="s">
        <v>1442</v>
      </c>
      <c r="W118" s="4" t="s">
        <v>1940</v>
      </c>
      <c r="X118" s="27">
        <v>4</v>
      </c>
      <c r="Y118" s="4" t="s">
        <v>1941</v>
      </c>
      <c r="Z118" s="4" t="s">
        <v>29</v>
      </c>
      <c r="AA118" s="5" t="s">
        <v>2039</v>
      </c>
      <c r="AB118" s="5" t="s">
        <v>2040</v>
      </c>
      <c r="AC118" s="4" t="s">
        <v>1944</v>
      </c>
      <c r="AD118" s="3" t="s">
        <v>1274</v>
      </c>
      <c r="AE118" s="3" t="s">
        <v>1275</v>
      </c>
    </row>
    <row r="119" spans="1:31" ht="70">
      <c r="A119" s="4" t="s">
        <v>2041</v>
      </c>
      <c r="B119" s="4" t="s">
        <v>750</v>
      </c>
      <c r="C119" s="4" t="s">
        <v>1869</v>
      </c>
      <c r="D119" s="4" t="s">
        <v>1933</v>
      </c>
      <c r="E119" s="4" t="s">
        <v>2042</v>
      </c>
      <c r="F119" s="4" t="s">
        <v>1935</v>
      </c>
      <c r="G119" s="16">
        <v>23.002870000000001</v>
      </c>
      <c r="H119" s="16">
        <v>120.13625999999999</v>
      </c>
      <c r="I119" s="4">
        <v>4</v>
      </c>
      <c r="J119" s="4" t="s">
        <v>1305</v>
      </c>
      <c r="K119" s="3" t="s">
        <v>2043</v>
      </c>
      <c r="L119" s="3" t="s">
        <v>2044</v>
      </c>
      <c r="M119" s="3" t="s">
        <v>1938</v>
      </c>
      <c r="N119" s="4">
        <v>300</v>
      </c>
      <c r="O119" s="4" t="s">
        <v>1261</v>
      </c>
      <c r="P119" s="3" t="s">
        <v>1459</v>
      </c>
      <c r="Q119" s="3" t="s">
        <v>1263</v>
      </c>
      <c r="R119" s="3" t="s">
        <v>1264</v>
      </c>
      <c r="S119" s="4" t="s">
        <v>1265</v>
      </c>
      <c r="T119" s="4" t="s">
        <v>1266</v>
      </c>
      <c r="U119" s="4" t="s">
        <v>1939</v>
      </c>
      <c r="V119" s="4" t="s">
        <v>1442</v>
      </c>
      <c r="W119" s="4" t="s">
        <v>1940</v>
      </c>
      <c r="X119" s="27">
        <v>4</v>
      </c>
      <c r="Y119" s="4" t="s">
        <v>1941</v>
      </c>
      <c r="Z119" s="4" t="s">
        <v>66</v>
      </c>
      <c r="AA119" s="5" t="s">
        <v>2045</v>
      </c>
      <c r="AB119" s="5" t="s">
        <v>2046</v>
      </c>
      <c r="AC119" s="4" t="s">
        <v>1944</v>
      </c>
      <c r="AD119" s="3" t="s">
        <v>1274</v>
      </c>
      <c r="AE119" s="3" t="s">
        <v>1275</v>
      </c>
    </row>
    <row r="120" spans="1:31" ht="56">
      <c r="A120" s="4" t="s">
        <v>2047</v>
      </c>
      <c r="B120" s="4" t="s">
        <v>819</v>
      </c>
      <c r="C120" s="4" t="s">
        <v>866</v>
      </c>
      <c r="D120" s="4" t="s">
        <v>1933</v>
      </c>
      <c r="E120" s="4" t="s">
        <v>2048</v>
      </c>
      <c r="F120" s="4" t="s">
        <v>1935</v>
      </c>
      <c r="G120" s="16">
        <v>22.652683</v>
      </c>
      <c r="H120" s="16">
        <v>120.30316000000001</v>
      </c>
      <c r="I120" s="4">
        <v>5</v>
      </c>
      <c r="J120" s="4" t="s">
        <v>1257</v>
      </c>
      <c r="K120" s="3" t="s">
        <v>2049</v>
      </c>
      <c r="L120" s="3" t="s">
        <v>2050</v>
      </c>
      <c r="M120" s="3" t="s">
        <v>1938</v>
      </c>
      <c r="N120" s="4">
        <v>300</v>
      </c>
      <c r="O120" s="4" t="s">
        <v>1261</v>
      </c>
      <c r="P120" s="3" t="s">
        <v>1459</v>
      </c>
      <c r="Q120" s="3" t="s">
        <v>1263</v>
      </c>
      <c r="R120" s="3" t="s">
        <v>1264</v>
      </c>
      <c r="S120" s="4" t="s">
        <v>1265</v>
      </c>
      <c r="T120" s="4" t="s">
        <v>1266</v>
      </c>
      <c r="U120" s="4" t="s">
        <v>1939</v>
      </c>
      <c r="V120" s="4" t="s">
        <v>1442</v>
      </c>
      <c r="W120" s="4" t="s">
        <v>1940</v>
      </c>
      <c r="X120" s="27">
        <v>4</v>
      </c>
      <c r="Y120" s="4" t="s">
        <v>1941</v>
      </c>
      <c r="Z120" s="4" t="s">
        <v>29</v>
      </c>
      <c r="AA120" s="5" t="s">
        <v>2051</v>
      </c>
      <c r="AB120" s="5" t="s">
        <v>2052</v>
      </c>
      <c r="AC120" s="4" t="s">
        <v>1944</v>
      </c>
      <c r="AD120" s="3" t="s">
        <v>1274</v>
      </c>
      <c r="AE120" s="3" t="s">
        <v>1275</v>
      </c>
    </row>
    <row r="121" spans="1:31" ht="70">
      <c r="A121" s="4" t="s">
        <v>2053</v>
      </c>
      <c r="B121" s="4" t="s">
        <v>819</v>
      </c>
      <c r="C121" s="4" t="s">
        <v>848</v>
      </c>
      <c r="D121" s="4" t="s">
        <v>1933</v>
      </c>
      <c r="E121" s="4" t="s">
        <v>871</v>
      </c>
      <c r="F121" s="4" t="s">
        <v>1935</v>
      </c>
      <c r="G121" s="16">
        <v>22.680554000000001</v>
      </c>
      <c r="H121" s="16">
        <v>120.29821</v>
      </c>
      <c r="I121" s="4">
        <v>4</v>
      </c>
      <c r="J121" s="4" t="s">
        <v>1305</v>
      </c>
      <c r="K121" s="3" t="s">
        <v>2054</v>
      </c>
      <c r="L121" s="3" t="s">
        <v>2055</v>
      </c>
      <c r="M121" s="3" t="s">
        <v>1938</v>
      </c>
      <c r="N121" s="4">
        <v>300</v>
      </c>
      <c r="O121" s="4" t="s">
        <v>1261</v>
      </c>
      <c r="P121" s="3" t="s">
        <v>1459</v>
      </c>
      <c r="Q121" s="3" t="s">
        <v>1263</v>
      </c>
      <c r="R121" s="3" t="s">
        <v>1264</v>
      </c>
      <c r="S121" s="4" t="s">
        <v>1265</v>
      </c>
      <c r="T121" s="4" t="s">
        <v>1266</v>
      </c>
      <c r="U121" s="4" t="s">
        <v>1939</v>
      </c>
      <c r="V121" s="4" t="s">
        <v>1442</v>
      </c>
      <c r="W121" s="4" t="s">
        <v>1940</v>
      </c>
      <c r="X121" s="27">
        <v>4</v>
      </c>
      <c r="Y121" s="4" t="s">
        <v>1941</v>
      </c>
      <c r="Z121" s="4" t="s">
        <v>66</v>
      </c>
      <c r="AA121" s="5" t="s">
        <v>872</v>
      </c>
      <c r="AB121" s="5" t="s">
        <v>2056</v>
      </c>
      <c r="AC121" s="4" t="s">
        <v>1944</v>
      </c>
      <c r="AD121" s="3" t="s">
        <v>1274</v>
      </c>
      <c r="AE121" s="3" t="s">
        <v>1764</v>
      </c>
    </row>
    <row r="122" spans="1:31" ht="70">
      <c r="A122" s="4" t="s">
        <v>2057</v>
      </c>
      <c r="B122" s="4" t="s">
        <v>914</v>
      </c>
      <c r="C122" s="4" t="s">
        <v>2058</v>
      </c>
      <c r="D122" s="4" t="s">
        <v>1933</v>
      </c>
      <c r="E122" s="4" t="s">
        <v>2059</v>
      </c>
      <c r="F122" s="4" t="s">
        <v>1935</v>
      </c>
      <c r="G122" s="16">
        <v>22.43207</v>
      </c>
      <c r="H122" s="16">
        <v>120.49007</v>
      </c>
      <c r="I122" s="4">
        <v>4</v>
      </c>
      <c r="J122" s="4" t="s">
        <v>1305</v>
      </c>
      <c r="K122" s="3" t="s">
        <v>2060</v>
      </c>
      <c r="L122" s="3" t="s">
        <v>2061</v>
      </c>
      <c r="M122" s="3" t="s">
        <v>1938</v>
      </c>
      <c r="N122" s="4">
        <v>300</v>
      </c>
      <c r="O122" s="4" t="s">
        <v>1261</v>
      </c>
      <c r="P122" s="3" t="s">
        <v>1459</v>
      </c>
      <c r="Q122" s="3" t="s">
        <v>1263</v>
      </c>
      <c r="R122" s="3" t="s">
        <v>1264</v>
      </c>
      <c r="S122" s="4" t="s">
        <v>1265</v>
      </c>
      <c r="T122" s="4" t="s">
        <v>1266</v>
      </c>
      <c r="U122" s="4" t="s">
        <v>1939</v>
      </c>
      <c r="V122" s="4" t="s">
        <v>1442</v>
      </c>
      <c r="W122" s="4" t="s">
        <v>1940</v>
      </c>
      <c r="X122" s="27">
        <v>4</v>
      </c>
      <c r="Y122" s="4" t="s">
        <v>1941</v>
      </c>
      <c r="Z122" s="4" t="s">
        <v>66</v>
      </c>
      <c r="AA122" s="5" t="s">
        <v>2062</v>
      </c>
      <c r="AB122" s="5" t="s">
        <v>2063</v>
      </c>
      <c r="AC122" s="4" t="s">
        <v>1944</v>
      </c>
      <c r="AD122" s="3" t="s">
        <v>1274</v>
      </c>
      <c r="AE122" s="3" t="s">
        <v>1275</v>
      </c>
    </row>
    <row r="123" spans="1:31" ht="70">
      <c r="A123" s="4" t="s">
        <v>2064</v>
      </c>
      <c r="B123" s="4" t="s">
        <v>958</v>
      </c>
      <c r="C123" s="4" t="s">
        <v>2065</v>
      </c>
      <c r="D123" s="4" t="s">
        <v>1933</v>
      </c>
      <c r="E123" s="4" t="s">
        <v>986</v>
      </c>
      <c r="F123" s="4" t="s">
        <v>1935</v>
      </c>
      <c r="G123" s="16">
        <v>24.672993000000002</v>
      </c>
      <c r="H123" s="16">
        <v>121.81581</v>
      </c>
      <c r="I123" s="4">
        <v>5</v>
      </c>
      <c r="J123" s="4" t="s">
        <v>1257</v>
      </c>
      <c r="K123" s="3" t="s">
        <v>2066</v>
      </c>
      <c r="L123" s="3" t="s">
        <v>2067</v>
      </c>
      <c r="M123" s="3" t="s">
        <v>1938</v>
      </c>
      <c r="N123" s="4">
        <v>300</v>
      </c>
      <c r="O123" s="4" t="s">
        <v>1261</v>
      </c>
      <c r="P123" s="3" t="s">
        <v>1459</v>
      </c>
      <c r="Q123" s="3" t="s">
        <v>1263</v>
      </c>
      <c r="R123" s="3" t="s">
        <v>1264</v>
      </c>
      <c r="S123" s="4" t="s">
        <v>1265</v>
      </c>
      <c r="T123" s="4" t="s">
        <v>1266</v>
      </c>
      <c r="U123" s="4" t="s">
        <v>1939</v>
      </c>
      <c r="V123" s="4" t="s">
        <v>1442</v>
      </c>
      <c r="W123" s="4" t="s">
        <v>1940</v>
      </c>
      <c r="X123" s="27">
        <v>4</v>
      </c>
      <c r="Y123" s="4" t="s">
        <v>1941</v>
      </c>
      <c r="Z123" s="4" t="s">
        <v>29</v>
      </c>
      <c r="AA123" s="5" t="s">
        <v>2068</v>
      </c>
      <c r="AB123" s="5" t="s">
        <v>2069</v>
      </c>
      <c r="AC123" s="4" t="s">
        <v>1944</v>
      </c>
      <c r="AD123" s="3" t="s">
        <v>1274</v>
      </c>
      <c r="AE123" s="3" t="s">
        <v>1764</v>
      </c>
    </row>
    <row r="124" spans="1:31" ht="70">
      <c r="A124" s="4" t="s">
        <v>2070</v>
      </c>
      <c r="B124" s="4" t="s">
        <v>1008</v>
      </c>
      <c r="C124" s="4" t="s">
        <v>1028</v>
      </c>
      <c r="D124" s="4" t="s">
        <v>1933</v>
      </c>
      <c r="E124" s="4" t="s">
        <v>2071</v>
      </c>
      <c r="F124" s="4" t="s">
        <v>1935</v>
      </c>
      <c r="G124" s="16">
        <v>24.031426</v>
      </c>
      <c r="H124" s="16">
        <v>121.62717000000001</v>
      </c>
      <c r="I124" s="4">
        <v>5</v>
      </c>
      <c r="J124" s="4" t="s">
        <v>1257</v>
      </c>
      <c r="K124" s="3" t="s">
        <v>2072</v>
      </c>
      <c r="L124" s="3" t="s">
        <v>2073</v>
      </c>
      <c r="M124" s="3" t="s">
        <v>1938</v>
      </c>
      <c r="N124" s="4">
        <v>300</v>
      </c>
      <c r="O124" s="4" t="s">
        <v>1261</v>
      </c>
      <c r="P124" s="3" t="s">
        <v>1459</v>
      </c>
      <c r="Q124" s="3" t="s">
        <v>1263</v>
      </c>
      <c r="R124" s="3" t="s">
        <v>1264</v>
      </c>
      <c r="S124" s="4" t="s">
        <v>1265</v>
      </c>
      <c r="T124" s="4" t="s">
        <v>1266</v>
      </c>
      <c r="U124" s="4" t="s">
        <v>1939</v>
      </c>
      <c r="V124" s="4" t="s">
        <v>1442</v>
      </c>
      <c r="W124" s="4" t="s">
        <v>1940</v>
      </c>
      <c r="X124" s="27">
        <v>4</v>
      </c>
      <c r="Y124" s="4" t="s">
        <v>1941</v>
      </c>
      <c r="Z124" s="4" t="s">
        <v>29</v>
      </c>
      <c r="AA124" s="5" t="s">
        <v>2074</v>
      </c>
      <c r="AB124" s="5" t="s">
        <v>1031</v>
      </c>
      <c r="AC124" s="4" t="s">
        <v>1944</v>
      </c>
      <c r="AD124" s="3" t="s">
        <v>1274</v>
      </c>
      <c r="AE124" s="3" t="s">
        <v>2075</v>
      </c>
    </row>
    <row r="125" spans="1:31" ht="56">
      <c r="A125" s="4" t="s">
        <v>2076</v>
      </c>
      <c r="B125" s="4" t="s">
        <v>1048</v>
      </c>
      <c r="C125" s="4" t="s">
        <v>2077</v>
      </c>
      <c r="D125" s="4" t="s">
        <v>1933</v>
      </c>
      <c r="E125" s="4" t="s">
        <v>2078</v>
      </c>
      <c r="F125" s="4" t="s">
        <v>1935</v>
      </c>
      <c r="G125" s="16">
        <v>23.330549999999999</v>
      </c>
      <c r="H125" s="16">
        <v>121.45135999999999</v>
      </c>
      <c r="I125" s="4">
        <v>4</v>
      </c>
      <c r="J125" s="4" t="s">
        <v>1305</v>
      </c>
      <c r="K125" s="3" t="s">
        <v>2079</v>
      </c>
      <c r="L125" s="3" t="s">
        <v>2080</v>
      </c>
      <c r="M125" s="3" t="s">
        <v>1938</v>
      </c>
      <c r="N125" s="4">
        <v>300</v>
      </c>
      <c r="O125" s="4" t="s">
        <v>1261</v>
      </c>
      <c r="P125" s="3" t="s">
        <v>1459</v>
      </c>
      <c r="Q125" s="3" t="s">
        <v>1263</v>
      </c>
      <c r="R125" s="3" t="s">
        <v>1264</v>
      </c>
      <c r="S125" s="4" t="s">
        <v>1265</v>
      </c>
      <c r="T125" s="4" t="s">
        <v>1266</v>
      </c>
      <c r="U125" s="4" t="s">
        <v>1939</v>
      </c>
      <c r="V125" s="4" t="s">
        <v>1442</v>
      </c>
      <c r="W125" s="4" t="s">
        <v>1940</v>
      </c>
      <c r="X125" s="27">
        <v>4</v>
      </c>
      <c r="Y125" s="4" t="s">
        <v>1941</v>
      </c>
      <c r="Z125" s="4" t="s">
        <v>66</v>
      </c>
      <c r="AA125" s="5" t="s">
        <v>2081</v>
      </c>
      <c r="AB125" s="5" t="s">
        <v>2082</v>
      </c>
      <c r="AC125" s="4" t="s">
        <v>1944</v>
      </c>
      <c r="AD125" s="3" t="s">
        <v>1274</v>
      </c>
      <c r="AE125" s="3" t="s">
        <v>1275</v>
      </c>
    </row>
    <row r="126" spans="1:31" ht="70">
      <c r="A126" s="4" t="s">
        <v>2083</v>
      </c>
      <c r="B126" s="4" t="s">
        <v>1048</v>
      </c>
      <c r="C126" s="4" t="s">
        <v>1067</v>
      </c>
      <c r="D126" s="4" t="s">
        <v>1933</v>
      </c>
      <c r="E126" s="4" t="s">
        <v>1068</v>
      </c>
      <c r="F126" s="4" t="s">
        <v>1935</v>
      </c>
      <c r="G126" s="16">
        <v>23.04</v>
      </c>
      <c r="H126" s="16">
        <v>121.17388</v>
      </c>
      <c r="I126" s="4">
        <v>5</v>
      </c>
      <c r="J126" s="4" t="s">
        <v>1257</v>
      </c>
      <c r="K126" s="3" t="s">
        <v>2084</v>
      </c>
      <c r="L126" s="3" t="s">
        <v>2085</v>
      </c>
      <c r="M126" s="3" t="s">
        <v>1938</v>
      </c>
      <c r="N126" s="4">
        <v>300</v>
      </c>
      <c r="O126" s="4" t="s">
        <v>1261</v>
      </c>
      <c r="P126" s="3" t="s">
        <v>1459</v>
      </c>
      <c r="Q126" s="3" t="s">
        <v>1263</v>
      </c>
      <c r="R126" s="3" t="s">
        <v>1264</v>
      </c>
      <c r="S126" s="4" t="s">
        <v>1265</v>
      </c>
      <c r="T126" s="4" t="s">
        <v>1266</v>
      </c>
      <c r="U126" s="4" t="s">
        <v>1939</v>
      </c>
      <c r="V126" s="4" t="s">
        <v>1442</v>
      </c>
      <c r="W126" s="4" t="s">
        <v>1940</v>
      </c>
      <c r="X126" s="27">
        <v>4</v>
      </c>
      <c r="Y126" s="4" t="s">
        <v>1941</v>
      </c>
      <c r="Z126" s="4" t="s">
        <v>29</v>
      </c>
      <c r="AA126" s="5" t="s">
        <v>1069</v>
      </c>
      <c r="AB126" s="5" t="s">
        <v>1070</v>
      </c>
      <c r="AC126" s="4" t="s">
        <v>1944</v>
      </c>
      <c r="AD126" s="3" t="s">
        <v>1274</v>
      </c>
      <c r="AE126" s="3" t="s">
        <v>1764</v>
      </c>
    </row>
    <row r="127" spans="1:31" ht="56">
      <c r="A127" s="4" t="s">
        <v>2086</v>
      </c>
      <c r="B127" s="4" t="s">
        <v>1120</v>
      </c>
      <c r="C127" s="4" t="s">
        <v>1127</v>
      </c>
      <c r="D127" s="4" t="s">
        <v>1933</v>
      </c>
      <c r="E127" s="4" t="s">
        <v>2087</v>
      </c>
      <c r="F127" s="4" t="s">
        <v>1935</v>
      </c>
      <c r="G127" s="16">
        <v>24.463408000000001</v>
      </c>
      <c r="H127" s="16">
        <v>118.30054</v>
      </c>
      <c r="I127" s="4">
        <v>4</v>
      </c>
      <c r="J127" s="4" t="s">
        <v>1305</v>
      </c>
      <c r="K127" s="3" t="s">
        <v>2088</v>
      </c>
      <c r="L127" s="3" t="s">
        <v>2089</v>
      </c>
      <c r="M127" s="3" t="s">
        <v>1938</v>
      </c>
      <c r="N127" s="4">
        <v>300</v>
      </c>
      <c r="O127" s="4" t="s">
        <v>1261</v>
      </c>
      <c r="P127" s="3" t="s">
        <v>1459</v>
      </c>
      <c r="Q127" s="3" t="s">
        <v>1263</v>
      </c>
      <c r="R127" s="3" t="s">
        <v>1264</v>
      </c>
      <c r="S127" s="4" t="s">
        <v>1265</v>
      </c>
      <c r="T127" s="4" t="s">
        <v>1266</v>
      </c>
      <c r="U127" s="4" t="s">
        <v>1939</v>
      </c>
      <c r="V127" s="4" t="s">
        <v>1442</v>
      </c>
      <c r="W127" s="4" t="s">
        <v>1940</v>
      </c>
      <c r="X127" s="27">
        <v>4</v>
      </c>
      <c r="Y127" s="4" t="s">
        <v>1941</v>
      </c>
      <c r="Z127" s="4" t="s">
        <v>66</v>
      </c>
      <c r="AA127" s="5" t="s">
        <v>2090</v>
      </c>
      <c r="AB127" s="5" t="s">
        <v>2091</v>
      </c>
      <c r="AC127" s="4" t="s">
        <v>1944</v>
      </c>
      <c r="AD127" s="3" t="s">
        <v>1274</v>
      </c>
      <c r="AE127" s="3" t="s">
        <v>1275</v>
      </c>
    </row>
    <row r="128" spans="1:31" ht="56">
      <c r="A128" s="4" t="s">
        <v>2092</v>
      </c>
      <c r="B128" s="4" t="s">
        <v>24</v>
      </c>
      <c r="C128" s="4" t="s">
        <v>58</v>
      </c>
      <c r="D128" s="4" t="s">
        <v>2093</v>
      </c>
      <c r="E128" s="4" t="s">
        <v>2094</v>
      </c>
      <c r="F128" s="4" t="s">
        <v>2095</v>
      </c>
      <c r="G128" s="16">
        <v>25.136524000000001</v>
      </c>
      <c r="H128" s="16">
        <v>121.50637</v>
      </c>
      <c r="I128" s="4">
        <v>5</v>
      </c>
      <c r="J128" s="4" t="s">
        <v>1257</v>
      </c>
      <c r="K128" s="3" t="s">
        <v>2096</v>
      </c>
      <c r="L128" s="3" t="s">
        <v>2097</v>
      </c>
      <c r="M128" s="3" t="s">
        <v>2098</v>
      </c>
      <c r="N128" s="4">
        <v>120</v>
      </c>
      <c r="O128" s="4" t="s">
        <v>1360</v>
      </c>
      <c r="P128" s="3" t="s">
        <v>1361</v>
      </c>
      <c r="Q128" s="3" t="s">
        <v>1263</v>
      </c>
      <c r="R128" s="3" t="s">
        <v>1264</v>
      </c>
      <c r="S128" s="4" t="s">
        <v>1265</v>
      </c>
      <c r="T128" s="4" t="s">
        <v>1266</v>
      </c>
      <c r="U128" s="4" t="s">
        <v>2099</v>
      </c>
      <c r="V128" s="4" t="s">
        <v>1268</v>
      </c>
      <c r="W128" s="4" t="s">
        <v>2100</v>
      </c>
      <c r="X128" s="27">
        <v>1.5</v>
      </c>
      <c r="Y128" s="4" t="s">
        <v>2101</v>
      </c>
      <c r="Z128" s="4" t="s">
        <v>29</v>
      </c>
      <c r="AA128" s="5" t="s">
        <v>2102</v>
      </c>
      <c r="AB128" s="5" t="s">
        <v>2103</v>
      </c>
      <c r="AC128" s="4" t="s">
        <v>2104</v>
      </c>
      <c r="AD128" s="3" t="s">
        <v>1274</v>
      </c>
      <c r="AE128" s="3" t="s">
        <v>1275</v>
      </c>
    </row>
    <row r="129" spans="1:31" ht="56">
      <c r="A129" s="4" t="s">
        <v>2105</v>
      </c>
      <c r="B129" s="4" t="s">
        <v>24</v>
      </c>
      <c r="C129" s="4" t="s">
        <v>44</v>
      </c>
      <c r="D129" s="4" t="s">
        <v>2093</v>
      </c>
      <c r="E129" s="4" t="s">
        <v>2106</v>
      </c>
      <c r="F129" s="4" t="s">
        <v>2095</v>
      </c>
      <c r="G129" s="16">
        <v>25.036756</v>
      </c>
      <c r="H129" s="16">
        <v>121.51904</v>
      </c>
      <c r="I129" s="4">
        <v>5</v>
      </c>
      <c r="J129" s="4" t="s">
        <v>1257</v>
      </c>
      <c r="K129" s="3" t="s">
        <v>2107</v>
      </c>
      <c r="L129" s="3" t="s">
        <v>2108</v>
      </c>
      <c r="M129" s="3" t="s">
        <v>2098</v>
      </c>
      <c r="N129" s="4">
        <v>120</v>
      </c>
      <c r="O129" s="4" t="s">
        <v>1360</v>
      </c>
      <c r="P129" s="3" t="s">
        <v>1361</v>
      </c>
      <c r="Q129" s="3" t="s">
        <v>1263</v>
      </c>
      <c r="R129" s="3" t="s">
        <v>1264</v>
      </c>
      <c r="S129" s="4" t="s">
        <v>1265</v>
      </c>
      <c r="T129" s="4" t="s">
        <v>1266</v>
      </c>
      <c r="U129" s="4" t="s">
        <v>2099</v>
      </c>
      <c r="V129" s="4" t="s">
        <v>1268</v>
      </c>
      <c r="W129" s="4" t="s">
        <v>2100</v>
      </c>
      <c r="X129" s="27">
        <v>1.5</v>
      </c>
      <c r="Y129" s="4" t="s">
        <v>2101</v>
      </c>
      <c r="Z129" s="4" t="s">
        <v>29</v>
      </c>
      <c r="AA129" s="5" t="s">
        <v>2109</v>
      </c>
      <c r="AB129" s="5" t="s">
        <v>2110</v>
      </c>
      <c r="AC129" s="4" t="s">
        <v>2104</v>
      </c>
      <c r="AD129" s="3" t="s">
        <v>1274</v>
      </c>
      <c r="AE129" s="3" t="s">
        <v>1275</v>
      </c>
    </row>
    <row r="130" spans="1:31" ht="56">
      <c r="A130" s="4" t="s">
        <v>2111</v>
      </c>
      <c r="B130" s="4" t="s">
        <v>24</v>
      </c>
      <c r="C130" s="4" t="s">
        <v>275</v>
      </c>
      <c r="D130" s="4" t="s">
        <v>2093</v>
      </c>
      <c r="E130" s="4" t="s">
        <v>2112</v>
      </c>
      <c r="F130" s="4" t="s">
        <v>2095</v>
      </c>
      <c r="G130" s="16">
        <v>25.033975999999999</v>
      </c>
      <c r="H130" s="16">
        <v>121.56453</v>
      </c>
      <c r="I130" s="4">
        <v>5</v>
      </c>
      <c r="J130" s="4" t="s">
        <v>1257</v>
      </c>
      <c r="K130" s="3" t="s">
        <v>2113</v>
      </c>
      <c r="L130" s="3" t="s">
        <v>2114</v>
      </c>
      <c r="M130" s="3" t="s">
        <v>2098</v>
      </c>
      <c r="N130" s="4">
        <v>120</v>
      </c>
      <c r="O130" s="4" t="s">
        <v>1360</v>
      </c>
      <c r="P130" s="3" t="s">
        <v>1361</v>
      </c>
      <c r="Q130" s="3" t="s">
        <v>1263</v>
      </c>
      <c r="R130" s="3" t="s">
        <v>1264</v>
      </c>
      <c r="S130" s="4" t="s">
        <v>1265</v>
      </c>
      <c r="T130" s="4" t="s">
        <v>1266</v>
      </c>
      <c r="U130" s="4" t="s">
        <v>2099</v>
      </c>
      <c r="V130" s="4" t="s">
        <v>1268</v>
      </c>
      <c r="W130" s="4" t="s">
        <v>2100</v>
      </c>
      <c r="X130" s="27">
        <v>1.5</v>
      </c>
      <c r="Y130" s="4" t="s">
        <v>2101</v>
      </c>
      <c r="Z130" s="4" t="s">
        <v>29</v>
      </c>
      <c r="AA130" s="5" t="s">
        <v>2115</v>
      </c>
      <c r="AB130" s="5" t="s">
        <v>2116</v>
      </c>
      <c r="AC130" s="4" t="s">
        <v>2104</v>
      </c>
      <c r="AD130" s="3" t="s">
        <v>1274</v>
      </c>
      <c r="AE130" s="3" t="s">
        <v>1275</v>
      </c>
    </row>
    <row r="131" spans="1:31" ht="56">
      <c r="A131" s="4" t="s">
        <v>2117</v>
      </c>
      <c r="B131" s="4" t="s">
        <v>24</v>
      </c>
      <c r="C131" s="4" t="s">
        <v>89</v>
      </c>
      <c r="D131" s="4" t="s">
        <v>2093</v>
      </c>
      <c r="E131" s="4" t="s">
        <v>2118</v>
      </c>
      <c r="F131" s="4" t="s">
        <v>2095</v>
      </c>
      <c r="G131" s="16">
        <v>25.042013000000001</v>
      </c>
      <c r="H131" s="16">
        <v>121.50685</v>
      </c>
      <c r="I131" s="4">
        <v>5</v>
      </c>
      <c r="J131" s="4" t="s">
        <v>1257</v>
      </c>
      <c r="K131" s="3" t="s">
        <v>2119</v>
      </c>
      <c r="L131" s="3" t="s">
        <v>2120</v>
      </c>
      <c r="M131" s="3" t="s">
        <v>2098</v>
      </c>
      <c r="N131" s="4">
        <v>120</v>
      </c>
      <c r="O131" s="4" t="s">
        <v>1360</v>
      </c>
      <c r="P131" s="3" t="s">
        <v>1361</v>
      </c>
      <c r="Q131" s="3" t="s">
        <v>1263</v>
      </c>
      <c r="R131" s="3" t="s">
        <v>1264</v>
      </c>
      <c r="S131" s="4" t="s">
        <v>1265</v>
      </c>
      <c r="T131" s="4" t="s">
        <v>1266</v>
      </c>
      <c r="U131" s="4" t="s">
        <v>2099</v>
      </c>
      <c r="V131" s="4" t="s">
        <v>1268</v>
      </c>
      <c r="W131" s="4" t="s">
        <v>2100</v>
      </c>
      <c r="X131" s="27">
        <v>1.5</v>
      </c>
      <c r="Y131" s="4" t="s">
        <v>2101</v>
      </c>
      <c r="Z131" s="4" t="s">
        <v>29</v>
      </c>
      <c r="AA131" s="5" t="s">
        <v>2121</v>
      </c>
      <c r="AB131" s="5" t="s">
        <v>2122</v>
      </c>
      <c r="AC131" s="4" t="s">
        <v>2104</v>
      </c>
      <c r="AD131" s="3" t="s">
        <v>1274</v>
      </c>
      <c r="AE131" s="3" t="s">
        <v>1275</v>
      </c>
    </row>
    <row r="132" spans="1:31" ht="70">
      <c r="A132" s="4" t="s">
        <v>2123</v>
      </c>
      <c r="B132" s="4" t="s">
        <v>24</v>
      </c>
      <c r="C132" s="4" t="s">
        <v>97</v>
      </c>
      <c r="D132" s="4" t="s">
        <v>2093</v>
      </c>
      <c r="E132" s="4" t="s">
        <v>2124</v>
      </c>
      <c r="F132" s="4" t="s">
        <v>2095</v>
      </c>
      <c r="G132" s="16">
        <v>25.072410999999999</v>
      </c>
      <c r="H132" s="16">
        <v>121.52481</v>
      </c>
      <c r="I132" s="4">
        <v>5</v>
      </c>
      <c r="J132" s="4" t="s">
        <v>1257</v>
      </c>
      <c r="K132" s="3" t="s">
        <v>2125</v>
      </c>
      <c r="L132" s="3" t="s">
        <v>2126</v>
      </c>
      <c r="M132" s="3" t="s">
        <v>2098</v>
      </c>
      <c r="N132" s="4">
        <v>120</v>
      </c>
      <c r="O132" s="4" t="s">
        <v>1360</v>
      </c>
      <c r="P132" s="3" t="s">
        <v>1361</v>
      </c>
      <c r="Q132" s="3" t="s">
        <v>1263</v>
      </c>
      <c r="R132" s="3" t="s">
        <v>1264</v>
      </c>
      <c r="S132" s="4" t="s">
        <v>1265</v>
      </c>
      <c r="T132" s="4" t="s">
        <v>1266</v>
      </c>
      <c r="U132" s="4" t="s">
        <v>2099</v>
      </c>
      <c r="V132" s="4" t="s">
        <v>1268</v>
      </c>
      <c r="W132" s="4" t="s">
        <v>2100</v>
      </c>
      <c r="X132" s="27">
        <v>1.5</v>
      </c>
      <c r="Y132" s="4" t="s">
        <v>2101</v>
      </c>
      <c r="Z132" s="4" t="s">
        <v>29</v>
      </c>
      <c r="AA132" s="5" t="s">
        <v>2127</v>
      </c>
      <c r="AB132" s="5" t="s">
        <v>2128</v>
      </c>
      <c r="AC132" s="4" t="s">
        <v>2104</v>
      </c>
      <c r="AD132" s="3" t="s">
        <v>1274</v>
      </c>
      <c r="AE132" s="3" t="s">
        <v>1275</v>
      </c>
    </row>
    <row r="133" spans="1:31" ht="84">
      <c r="A133" s="4" t="s">
        <v>2129</v>
      </c>
      <c r="B133" s="4" t="s">
        <v>24</v>
      </c>
      <c r="C133" s="4" t="s">
        <v>44</v>
      </c>
      <c r="D133" s="4" t="s">
        <v>2093</v>
      </c>
      <c r="E133" s="4" t="s">
        <v>2130</v>
      </c>
      <c r="F133" s="4" t="s">
        <v>2095</v>
      </c>
      <c r="G133" s="16">
        <v>25.012516000000002</v>
      </c>
      <c r="H133" s="16">
        <v>121.53</v>
      </c>
      <c r="I133" s="4">
        <v>4</v>
      </c>
      <c r="J133" s="4" t="s">
        <v>1305</v>
      </c>
      <c r="K133" s="3" t="s">
        <v>2131</v>
      </c>
      <c r="L133" s="3" t="s">
        <v>2132</v>
      </c>
      <c r="M133" s="3" t="s">
        <v>2098</v>
      </c>
      <c r="N133" s="4">
        <v>120</v>
      </c>
      <c r="O133" s="4" t="s">
        <v>1360</v>
      </c>
      <c r="P133" s="3" t="s">
        <v>1361</v>
      </c>
      <c r="Q133" s="3" t="s">
        <v>1263</v>
      </c>
      <c r="R133" s="3" t="s">
        <v>1264</v>
      </c>
      <c r="S133" s="4" t="s">
        <v>1265</v>
      </c>
      <c r="T133" s="4" t="s">
        <v>1266</v>
      </c>
      <c r="U133" s="4" t="s">
        <v>2099</v>
      </c>
      <c r="V133" s="4" t="s">
        <v>1268</v>
      </c>
      <c r="W133" s="4" t="s">
        <v>2100</v>
      </c>
      <c r="X133" s="27">
        <v>1.5</v>
      </c>
      <c r="Y133" s="4" t="s">
        <v>2101</v>
      </c>
      <c r="Z133" s="4" t="s">
        <v>66</v>
      </c>
      <c r="AA133" s="5" t="s">
        <v>2133</v>
      </c>
      <c r="AB133" s="5" t="s">
        <v>2134</v>
      </c>
      <c r="AC133" s="4" t="s">
        <v>2104</v>
      </c>
      <c r="AD133" s="3" t="s">
        <v>1274</v>
      </c>
      <c r="AE133" s="3" t="s">
        <v>1275</v>
      </c>
    </row>
    <row r="134" spans="1:31" ht="70">
      <c r="A134" s="4" t="s">
        <v>2135</v>
      </c>
      <c r="B134" s="4" t="s">
        <v>151</v>
      </c>
      <c r="C134" s="4" t="s">
        <v>209</v>
      </c>
      <c r="D134" s="4" t="s">
        <v>2093</v>
      </c>
      <c r="E134" s="4" t="s">
        <v>2136</v>
      </c>
      <c r="F134" s="4" t="s">
        <v>2095</v>
      </c>
      <c r="G134" s="16">
        <v>25.156873000000001</v>
      </c>
      <c r="H134" s="16">
        <v>121.40485</v>
      </c>
      <c r="I134" s="4">
        <v>5</v>
      </c>
      <c r="J134" s="4" t="s">
        <v>1257</v>
      </c>
      <c r="K134" s="3" t="s">
        <v>2137</v>
      </c>
      <c r="L134" s="3" t="s">
        <v>2138</v>
      </c>
      <c r="M134" s="3" t="s">
        <v>2098</v>
      </c>
      <c r="N134" s="4">
        <v>120</v>
      </c>
      <c r="O134" s="4" t="s">
        <v>1360</v>
      </c>
      <c r="P134" s="3" t="s">
        <v>1361</v>
      </c>
      <c r="Q134" s="3" t="s">
        <v>1263</v>
      </c>
      <c r="R134" s="3" t="s">
        <v>1264</v>
      </c>
      <c r="S134" s="4" t="s">
        <v>1265</v>
      </c>
      <c r="T134" s="4" t="s">
        <v>1266</v>
      </c>
      <c r="U134" s="4" t="s">
        <v>2099</v>
      </c>
      <c r="V134" s="4" t="s">
        <v>1268</v>
      </c>
      <c r="W134" s="4" t="s">
        <v>2100</v>
      </c>
      <c r="X134" s="27">
        <v>1.5</v>
      </c>
      <c r="Y134" s="4" t="s">
        <v>2101</v>
      </c>
      <c r="Z134" s="4" t="s">
        <v>29</v>
      </c>
      <c r="AA134" s="5" t="s">
        <v>2139</v>
      </c>
      <c r="AB134" s="5" t="s">
        <v>2140</v>
      </c>
      <c r="AC134" s="4" t="s">
        <v>2104</v>
      </c>
      <c r="AD134" s="3" t="s">
        <v>1274</v>
      </c>
      <c r="AE134" s="3" t="s">
        <v>1275</v>
      </c>
    </row>
    <row r="135" spans="1:31" ht="56">
      <c r="A135" s="4" t="s">
        <v>2141</v>
      </c>
      <c r="B135" s="4" t="s">
        <v>151</v>
      </c>
      <c r="C135" s="4" t="s">
        <v>1303</v>
      </c>
      <c r="D135" s="4" t="s">
        <v>2093</v>
      </c>
      <c r="E135" s="4" t="s">
        <v>2142</v>
      </c>
      <c r="F135" s="4" t="s">
        <v>2095</v>
      </c>
      <c r="G135" s="16">
        <v>25.246441999999998</v>
      </c>
      <c r="H135" s="16">
        <v>121.61121</v>
      </c>
      <c r="I135" s="4">
        <v>5</v>
      </c>
      <c r="J135" s="4" t="s">
        <v>1257</v>
      </c>
      <c r="K135" s="3" t="s">
        <v>2143</v>
      </c>
      <c r="L135" s="3" t="s">
        <v>2144</v>
      </c>
      <c r="M135" s="3" t="s">
        <v>2098</v>
      </c>
      <c r="N135" s="4">
        <v>120</v>
      </c>
      <c r="O135" s="4" t="s">
        <v>1360</v>
      </c>
      <c r="P135" s="3" t="s">
        <v>1361</v>
      </c>
      <c r="Q135" s="3" t="s">
        <v>1263</v>
      </c>
      <c r="R135" s="3" t="s">
        <v>1264</v>
      </c>
      <c r="S135" s="4" t="s">
        <v>1265</v>
      </c>
      <c r="T135" s="4" t="s">
        <v>1266</v>
      </c>
      <c r="U135" s="4" t="s">
        <v>2099</v>
      </c>
      <c r="V135" s="4" t="s">
        <v>1268</v>
      </c>
      <c r="W135" s="4" t="s">
        <v>2100</v>
      </c>
      <c r="X135" s="27">
        <v>1.5</v>
      </c>
      <c r="Y135" s="4" t="s">
        <v>2101</v>
      </c>
      <c r="Z135" s="4" t="s">
        <v>29</v>
      </c>
      <c r="AA135" s="5" t="s">
        <v>2145</v>
      </c>
      <c r="AB135" s="5" t="s">
        <v>2146</v>
      </c>
      <c r="AC135" s="4" t="s">
        <v>2104</v>
      </c>
      <c r="AD135" s="3" t="s">
        <v>1274</v>
      </c>
      <c r="AE135" s="3" t="s">
        <v>1275</v>
      </c>
    </row>
    <row r="136" spans="1:31" ht="84">
      <c r="A136" s="4" t="s">
        <v>2147</v>
      </c>
      <c r="B136" s="4" t="s">
        <v>355</v>
      </c>
      <c r="C136" s="4" t="s">
        <v>366</v>
      </c>
      <c r="D136" s="4" t="s">
        <v>2093</v>
      </c>
      <c r="E136" s="4" t="s">
        <v>2148</v>
      </c>
      <c r="F136" s="4" t="s">
        <v>2095</v>
      </c>
      <c r="G136" s="16">
        <v>24.806764000000001</v>
      </c>
      <c r="H136" s="16">
        <v>120.96879</v>
      </c>
      <c r="I136" s="4">
        <v>4</v>
      </c>
      <c r="J136" s="4" t="s">
        <v>1305</v>
      </c>
      <c r="K136" s="3" t="s">
        <v>2149</v>
      </c>
      <c r="L136" s="3" t="s">
        <v>2150</v>
      </c>
      <c r="M136" s="3" t="s">
        <v>2098</v>
      </c>
      <c r="N136" s="4">
        <v>120</v>
      </c>
      <c r="O136" s="4" t="s">
        <v>1360</v>
      </c>
      <c r="P136" s="3" t="s">
        <v>1361</v>
      </c>
      <c r="Q136" s="3" t="s">
        <v>1263</v>
      </c>
      <c r="R136" s="3" t="s">
        <v>1264</v>
      </c>
      <c r="S136" s="4" t="s">
        <v>1265</v>
      </c>
      <c r="T136" s="4" t="s">
        <v>1266</v>
      </c>
      <c r="U136" s="4" t="s">
        <v>2099</v>
      </c>
      <c r="V136" s="4" t="s">
        <v>1268</v>
      </c>
      <c r="W136" s="4" t="s">
        <v>2100</v>
      </c>
      <c r="X136" s="27">
        <v>1.5</v>
      </c>
      <c r="Y136" s="4" t="s">
        <v>2101</v>
      </c>
      <c r="Z136" s="4" t="s">
        <v>66</v>
      </c>
      <c r="AA136" s="5" t="s">
        <v>2151</v>
      </c>
      <c r="AB136" s="5" t="s">
        <v>2152</v>
      </c>
      <c r="AC136" s="4" t="s">
        <v>2104</v>
      </c>
      <c r="AD136" s="3" t="s">
        <v>1274</v>
      </c>
      <c r="AE136" s="3" t="s">
        <v>1275</v>
      </c>
    </row>
    <row r="137" spans="1:31" ht="70">
      <c r="A137" s="4" t="s">
        <v>2153</v>
      </c>
      <c r="B137" s="4" t="s">
        <v>355</v>
      </c>
      <c r="C137" s="4" t="s">
        <v>366</v>
      </c>
      <c r="D137" s="4" t="s">
        <v>2093</v>
      </c>
      <c r="E137" s="4" t="s">
        <v>2154</v>
      </c>
      <c r="F137" s="4" t="s">
        <v>2095</v>
      </c>
      <c r="G137" s="16">
        <v>24.801313</v>
      </c>
      <c r="H137" s="16">
        <v>120.97811</v>
      </c>
      <c r="I137" s="4">
        <v>4</v>
      </c>
      <c r="J137" s="4" t="s">
        <v>1305</v>
      </c>
      <c r="K137" s="3" t="s">
        <v>2155</v>
      </c>
      <c r="L137" s="3" t="s">
        <v>2156</v>
      </c>
      <c r="M137" s="3" t="s">
        <v>2098</v>
      </c>
      <c r="N137" s="4">
        <v>120</v>
      </c>
      <c r="O137" s="4" t="s">
        <v>1360</v>
      </c>
      <c r="P137" s="3" t="s">
        <v>1361</v>
      </c>
      <c r="Q137" s="3" t="s">
        <v>1263</v>
      </c>
      <c r="R137" s="3" t="s">
        <v>1264</v>
      </c>
      <c r="S137" s="4" t="s">
        <v>1265</v>
      </c>
      <c r="T137" s="4" t="s">
        <v>1266</v>
      </c>
      <c r="U137" s="4" t="s">
        <v>2099</v>
      </c>
      <c r="V137" s="4" t="s">
        <v>1268</v>
      </c>
      <c r="W137" s="4" t="s">
        <v>2100</v>
      </c>
      <c r="X137" s="27">
        <v>1.5</v>
      </c>
      <c r="Y137" s="4" t="s">
        <v>2101</v>
      </c>
      <c r="Z137" s="4" t="s">
        <v>66</v>
      </c>
      <c r="AA137" s="5" t="s">
        <v>2157</v>
      </c>
      <c r="AB137" s="5" t="s">
        <v>2158</v>
      </c>
      <c r="AC137" s="4" t="s">
        <v>2104</v>
      </c>
      <c r="AD137" s="3" t="s">
        <v>1274</v>
      </c>
      <c r="AE137" s="3" t="s">
        <v>1275</v>
      </c>
    </row>
    <row r="138" spans="1:31" ht="70">
      <c r="A138" s="4" t="s">
        <v>2159</v>
      </c>
      <c r="B138" s="4" t="s">
        <v>436</v>
      </c>
      <c r="C138" s="4" t="s">
        <v>1478</v>
      </c>
      <c r="D138" s="4" t="s">
        <v>2093</v>
      </c>
      <c r="E138" s="4" t="s">
        <v>2160</v>
      </c>
      <c r="F138" s="4" t="s">
        <v>2095</v>
      </c>
      <c r="G138" s="16">
        <v>24.406005</v>
      </c>
      <c r="H138" s="16">
        <v>120.76118</v>
      </c>
      <c r="I138" s="4">
        <v>4</v>
      </c>
      <c r="J138" s="4" t="s">
        <v>1305</v>
      </c>
      <c r="K138" s="3" t="s">
        <v>2161</v>
      </c>
      <c r="L138" s="3" t="s">
        <v>2162</v>
      </c>
      <c r="M138" s="3" t="s">
        <v>2098</v>
      </c>
      <c r="N138" s="4">
        <v>120</v>
      </c>
      <c r="O138" s="4" t="s">
        <v>1360</v>
      </c>
      <c r="P138" s="3" t="s">
        <v>1361</v>
      </c>
      <c r="Q138" s="3" t="s">
        <v>1263</v>
      </c>
      <c r="R138" s="3" t="s">
        <v>1264</v>
      </c>
      <c r="S138" s="4" t="s">
        <v>1265</v>
      </c>
      <c r="T138" s="4" t="s">
        <v>1266</v>
      </c>
      <c r="U138" s="4" t="s">
        <v>2099</v>
      </c>
      <c r="V138" s="4" t="s">
        <v>1268</v>
      </c>
      <c r="W138" s="4" t="s">
        <v>2100</v>
      </c>
      <c r="X138" s="27">
        <v>1.5</v>
      </c>
      <c r="Y138" s="4" t="s">
        <v>2101</v>
      </c>
      <c r="Z138" s="4" t="s">
        <v>66</v>
      </c>
      <c r="AA138" s="5" t="s">
        <v>2163</v>
      </c>
      <c r="AB138" s="5" t="s">
        <v>2164</v>
      </c>
      <c r="AC138" s="4" t="s">
        <v>2104</v>
      </c>
      <c r="AD138" s="3" t="s">
        <v>1274</v>
      </c>
      <c r="AE138" s="3" t="s">
        <v>1275</v>
      </c>
    </row>
    <row r="139" spans="1:31" ht="70">
      <c r="A139" s="4" t="s">
        <v>2165</v>
      </c>
      <c r="B139" s="4" t="s">
        <v>480</v>
      </c>
      <c r="C139" s="4" t="s">
        <v>481</v>
      </c>
      <c r="D139" s="4" t="s">
        <v>2093</v>
      </c>
      <c r="E139" s="4" t="s">
        <v>2166</v>
      </c>
      <c r="F139" s="4" t="s">
        <v>2095</v>
      </c>
      <c r="G139" s="16">
        <v>24.162648999999998</v>
      </c>
      <c r="H139" s="16">
        <v>120.6403</v>
      </c>
      <c r="I139" s="4">
        <v>5</v>
      </c>
      <c r="J139" s="4" t="s">
        <v>1257</v>
      </c>
      <c r="K139" s="3" t="s">
        <v>2167</v>
      </c>
      <c r="L139" s="3" t="s">
        <v>2168</v>
      </c>
      <c r="M139" s="3" t="s">
        <v>2098</v>
      </c>
      <c r="N139" s="4">
        <v>120</v>
      </c>
      <c r="O139" s="4" t="s">
        <v>1360</v>
      </c>
      <c r="P139" s="3" t="s">
        <v>1361</v>
      </c>
      <c r="Q139" s="3" t="s">
        <v>1263</v>
      </c>
      <c r="R139" s="3" t="s">
        <v>1264</v>
      </c>
      <c r="S139" s="4" t="s">
        <v>1265</v>
      </c>
      <c r="T139" s="4" t="s">
        <v>1266</v>
      </c>
      <c r="U139" s="4" t="s">
        <v>2099</v>
      </c>
      <c r="V139" s="4" t="s">
        <v>1268</v>
      </c>
      <c r="W139" s="4" t="s">
        <v>2100</v>
      </c>
      <c r="X139" s="27">
        <v>1.5</v>
      </c>
      <c r="Y139" s="4" t="s">
        <v>2101</v>
      </c>
      <c r="Z139" s="4" t="s">
        <v>29</v>
      </c>
      <c r="AA139" s="5" t="s">
        <v>2169</v>
      </c>
      <c r="AB139" s="5" t="s">
        <v>2170</v>
      </c>
      <c r="AC139" s="4" t="s">
        <v>2104</v>
      </c>
      <c r="AD139" s="3" t="s">
        <v>1274</v>
      </c>
      <c r="AE139" s="3" t="s">
        <v>1275</v>
      </c>
    </row>
    <row r="140" spans="1:31" ht="70">
      <c r="A140" s="4" t="s">
        <v>2171</v>
      </c>
      <c r="B140" s="4" t="s">
        <v>480</v>
      </c>
      <c r="C140" s="4" t="s">
        <v>523</v>
      </c>
      <c r="D140" s="4" t="s">
        <v>2093</v>
      </c>
      <c r="E140" s="4" t="s">
        <v>2172</v>
      </c>
      <c r="F140" s="4" t="s">
        <v>2095</v>
      </c>
      <c r="G140" s="16">
        <v>24.141186000000001</v>
      </c>
      <c r="H140" s="16">
        <v>120.66331</v>
      </c>
      <c r="I140" s="4">
        <v>5</v>
      </c>
      <c r="J140" s="4" t="s">
        <v>1257</v>
      </c>
      <c r="K140" s="3" t="s">
        <v>2173</v>
      </c>
      <c r="L140" s="3" t="s">
        <v>2174</v>
      </c>
      <c r="M140" s="3" t="s">
        <v>2098</v>
      </c>
      <c r="N140" s="4">
        <v>120</v>
      </c>
      <c r="O140" s="4" t="s">
        <v>1360</v>
      </c>
      <c r="P140" s="3" t="s">
        <v>1361</v>
      </c>
      <c r="Q140" s="3" t="s">
        <v>1263</v>
      </c>
      <c r="R140" s="3" t="s">
        <v>1264</v>
      </c>
      <c r="S140" s="4" t="s">
        <v>1265</v>
      </c>
      <c r="T140" s="4" t="s">
        <v>1266</v>
      </c>
      <c r="U140" s="4" t="s">
        <v>2099</v>
      </c>
      <c r="V140" s="4" t="s">
        <v>1268</v>
      </c>
      <c r="W140" s="4" t="s">
        <v>2100</v>
      </c>
      <c r="X140" s="27">
        <v>1.5</v>
      </c>
      <c r="Y140" s="4" t="s">
        <v>2101</v>
      </c>
      <c r="Z140" s="4" t="s">
        <v>29</v>
      </c>
      <c r="AA140" s="5" t="s">
        <v>2175</v>
      </c>
      <c r="AB140" s="5" t="s">
        <v>2176</v>
      </c>
      <c r="AC140" s="4" t="s">
        <v>2104</v>
      </c>
      <c r="AD140" s="3" t="s">
        <v>1274</v>
      </c>
      <c r="AE140" s="3" t="s">
        <v>1275</v>
      </c>
    </row>
    <row r="141" spans="1:31" ht="56">
      <c r="A141" s="4" t="s">
        <v>2177</v>
      </c>
      <c r="B141" s="4" t="s">
        <v>480</v>
      </c>
      <c r="C141" s="4" t="s">
        <v>496</v>
      </c>
      <c r="D141" s="4" t="s">
        <v>2093</v>
      </c>
      <c r="E141" s="4" t="s">
        <v>2178</v>
      </c>
      <c r="F141" s="4" t="s">
        <v>2095</v>
      </c>
      <c r="G141" s="16">
        <v>24.133680999999999</v>
      </c>
      <c r="H141" s="16">
        <v>120.60983</v>
      </c>
      <c r="I141" s="4">
        <v>4</v>
      </c>
      <c r="J141" s="4" t="s">
        <v>1305</v>
      </c>
      <c r="K141" s="3" t="s">
        <v>2179</v>
      </c>
      <c r="L141" s="3" t="s">
        <v>2180</v>
      </c>
      <c r="M141" s="3" t="s">
        <v>2098</v>
      </c>
      <c r="N141" s="4">
        <v>120</v>
      </c>
      <c r="O141" s="4" t="s">
        <v>1360</v>
      </c>
      <c r="P141" s="3" t="s">
        <v>1361</v>
      </c>
      <c r="Q141" s="3" t="s">
        <v>1263</v>
      </c>
      <c r="R141" s="3" t="s">
        <v>1264</v>
      </c>
      <c r="S141" s="4" t="s">
        <v>1265</v>
      </c>
      <c r="T141" s="4" t="s">
        <v>1266</v>
      </c>
      <c r="U141" s="4" t="s">
        <v>2099</v>
      </c>
      <c r="V141" s="4" t="s">
        <v>1268</v>
      </c>
      <c r="W141" s="4" t="s">
        <v>2100</v>
      </c>
      <c r="X141" s="27">
        <v>1.5</v>
      </c>
      <c r="Y141" s="4" t="s">
        <v>2101</v>
      </c>
      <c r="Z141" s="4" t="s">
        <v>66</v>
      </c>
      <c r="AA141" s="5" t="s">
        <v>2181</v>
      </c>
      <c r="AB141" s="5" t="s">
        <v>2182</v>
      </c>
      <c r="AC141" s="4" t="s">
        <v>2104</v>
      </c>
      <c r="AD141" s="3" t="s">
        <v>1274</v>
      </c>
      <c r="AE141" s="3" t="s">
        <v>1275</v>
      </c>
    </row>
    <row r="142" spans="1:31" ht="70">
      <c r="A142" s="4" t="s">
        <v>2183</v>
      </c>
      <c r="B142" s="4" t="s">
        <v>559</v>
      </c>
      <c r="C142" s="4" t="s">
        <v>560</v>
      </c>
      <c r="D142" s="4" t="s">
        <v>2093</v>
      </c>
      <c r="E142" s="4" t="s">
        <v>2184</v>
      </c>
      <c r="F142" s="4" t="s">
        <v>2095</v>
      </c>
      <c r="G142" s="16">
        <v>24.078486999999999</v>
      </c>
      <c r="H142" s="16">
        <v>120.54882000000001</v>
      </c>
      <c r="I142" s="4">
        <v>4</v>
      </c>
      <c r="J142" s="4" t="s">
        <v>1305</v>
      </c>
      <c r="K142" s="3" t="s">
        <v>2185</v>
      </c>
      <c r="L142" s="3" t="s">
        <v>2186</v>
      </c>
      <c r="M142" s="3" t="s">
        <v>2098</v>
      </c>
      <c r="N142" s="4">
        <v>120</v>
      </c>
      <c r="O142" s="4" t="s">
        <v>1360</v>
      </c>
      <c r="P142" s="3" t="s">
        <v>1361</v>
      </c>
      <c r="Q142" s="3" t="s">
        <v>1263</v>
      </c>
      <c r="R142" s="3" t="s">
        <v>1264</v>
      </c>
      <c r="S142" s="4" t="s">
        <v>1265</v>
      </c>
      <c r="T142" s="4" t="s">
        <v>1266</v>
      </c>
      <c r="U142" s="4" t="s">
        <v>2099</v>
      </c>
      <c r="V142" s="4" t="s">
        <v>1268</v>
      </c>
      <c r="W142" s="4" t="s">
        <v>2100</v>
      </c>
      <c r="X142" s="27">
        <v>1.5</v>
      </c>
      <c r="Y142" s="4" t="s">
        <v>2101</v>
      </c>
      <c r="Z142" s="4" t="s">
        <v>66</v>
      </c>
      <c r="AA142" s="5" t="s">
        <v>2187</v>
      </c>
      <c r="AB142" s="5" t="s">
        <v>2188</v>
      </c>
      <c r="AC142" s="4" t="s">
        <v>2104</v>
      </c>
      <c r="AD142" s="3" t="s">
        <v>1274</v>
      </c>
      <c r="AE142" s="3" t="s">
        <v>1275</v>
      </c>
    </row>
    <row r="143" spans="1:31" ht="84">
      <c r="A143" s="4" t="s">
        <v>2189</v>
      </c>
      <c r="B143" s="4" t="s">
        <v>603</v>
      </c>
      <c r="C143" s="4" t="s">
        <v>604</v>
      </c>
      <c r="D143" s="4" t="s">
        <v>2093</v>
      </c>
      <c r="E143" s="4" t="s">
        <v>2190</v>
      </c>
      <c r="F143" s="4" t="s">
        <v>2095</v>
      </c>
      <c r="G143" s="16">
        <v>23.980774</v>
      </c>
      <c r="H143" s="16">
        <v>120.69185</v>
      </c>
      <c r="I143" s="4">
        <v>4</v>
      </c>
      <c r="J143" s="4" t="s">
        <v>1305</v>
      </c>
      <c r="K143" s="3" t="s">
        <v>2191</v>
      </c>
      <c r="L143" s="3" t="s">
        <v>2192</v>
      </c>
      <c r="M143" s="3" t="s">
        <v>2098</v>
      </c>
      <c r="N143" s="4">
        <v>120</v>
      </c>
      <c r="O143" s="4" t="s">
        <v>1360</v>
      </c>
      <c r="P143" s="3" t="s">
        <v>1361</v>
      </c>
      <c r="Q143" s="3" t="s">
        <v>1263</v>
      </c>
      <c r="R143" s="3" t="s">
        <v>1264</v>
      </c>
      <c r="S143" s="4" t="s">
        <v>1265</v>
      </c>
      <c r="T143" s="4" t="s">
        <v>1266</v>
      </c>
      <c r="U143" s="4" t="s">
        <v>2099</v>
      </c>
      <c r="V143" s="4" t="s">
        <v>1268</v>
      </c>
      <c r="W143" s="4" t="s">
        <v>2100</v>
      </c>
      <c r="X143" s="27">
        <v>1.5</v>
      </c>
      <c r="Y143" s="4" t="s">
        <v>2101</v>
      </c>
      <c r="Z143" s="4" t="s">
        <v>66</v>
      </c>
      <c r="AA143" s="5" t="s">
        <v>2193</v>
      </c>
      <c r="AB143" s="5" t="s">
        <v>2194</v>
      </c>
      <c r="AC143" s="4" t="s">
        <v>2104</v>
      </c>
      <c r="AD143" s="3" t="s">
        <v>1274</v>
      </c>
      <c r="AE143" s="3" t="s">
        <v>1275</v>
      </c>
    </row>
    <row r="144" spans="1:31" ht="84">
      <c r="A144" s="4" t="s">
        <v>2195</v>
      </c>
      <c r="B144" s="4" t="s">
        <v>714</v>
      </c>
      <c r="C144" s="4" t="s">
        <v>2196</v>
      </c>
      <c r="D144" s="4" t="s">
        <v>2093</v>
      </c>
      <c r="E144" s="4" t="s">
        <v>2197</v>
      </c>
      <c r="F144" s="4" t="s">
        <v>2095</v>
      </c>
      <c r="G144" s="16">
        <v>23.473129</v>
      </c>
      <c r="H144" s="16">
        <v>120.29271</v>
      </c>
      <c r="I144" s="4">
        <v>5</v>
      </c>
      <c r="J144" s="4" t="s">
        <v>1257</v>
      </c>
      <c r="K144" s="3" t="s">
        <v>2198</v>
      </c>
      <c r="L144" s="3" t="s">
        <v>2199</v>
      </c>
      <c r="M144" s="3" t="s">
        <v>2098</v>
      </c>
      <c r="N144" s="4">
        <v>120</v>
      </c>
      <c r="O144" s="4" t="s">
        <v>1360</v>
      </c>
      <c r="P144" s="3" t="s">
        <v>1361</v>
      </c>
      <c r="Q144" s="3" t="s">
        <v>1263</v>
      </c>
      <c r="R144" s="3" t="s">
        <v>1264</v>
      </c>
      <c r="S144" s="4" t="s">
        <v>1265</v>
      </c>
      <c r="T144" s="4" t="s">
        <v>1266</v>
      </c>
      <c r="U144" s="4" t="s">
        <v>2099</v>
      </c>
      <c r="V144" s="4" t="s">
        <v>1268</v>
      </c>
      <c r="W144" s="4" t="s">
        <v>2100</v>
      </c>
      <c r="X144" s="27">
        <v>1.5</v>
      </c>
      <c r="Y144" s="4" t="s">
        <v>2101</v>
      </c>
      <c r="Z144" s="4" t="s">
        <v>29</v>
      </c>
      <c r="AA144" s="5" t="s">
        <v>2200</v>
      </c>
      <c r="AB144" s="5" t="s">
        <v>2201</v>
      </c>
      <c r="AC144" s="4" t="s">
        <v>2104</v>
      </c>
      <c r="AD144" s="3" t="s">
        <v>1274</v>
      </c>
      <c r="AE144" s="3" t="s">
        <v>1275</v>
      </c>
    </row>
    <row r="145" spans="1:31" ht="70">
      <c r="A145" s="4" t="s">
        <v>2202</v>
      </c>
      <c r="B145" s="4" t="s">
        <v>685</v>
      </c>
      <c r="C145" s="4" t="s">
        <v>356</v>
      </c>
      <c r="D145" s="4" t="s">
        <v>2093</v>
      </c>
      <c r="E145" s="4" t="s">
        <v>2203</v>
      </c>
      <c r="F145" s="4" t="s">
        <v>2095</v>
      </c>
      <c r="G145" s="16">
        <v>23.481038999999999</v>
      </c>
      <c r="H145" s="16">
        <v>120.46747999999999</v>
      </c>
      <c r="I145" s="4">
        <v>4</v>
      </c>
      <c r="J145" s="4" t="s">
        <v>1305</v>
      </c>
      <c r="K145" s="3" t="s">
        <v>2204</v>
      </c>
      <c r="L145" s="3" t="s">
        <v>2205</v>
      </c>
      <c r="M145" s="3" t="s">
        <v>2098</v>
      </c>
      <c r="N145" s="4">
        <v>120</v>
      </c>
      <c r="O145" s="4" t="s">
        <v>1360</v>
      </c>
      <c r="P145" s="3" t="s">
        <v>1361</v>
      </c>
      <c r="Q145" s="3" t="s">
        <v>1263</v>
      </c>
      <c r="R145" s="3" t="s">
        <v>1264</v>
      </c>
      <c r="S145" s="4" t="s">
        <v>1265</v>
      </c>
      <c r="T145" s="4" t="s">
        <v>1266</v>
      </c>
      <c r="U145" s="4" t="s">
        <v>2099</v>
      </c>
      <c r="V145" s="4" t="s">
        <v>1268</v>
      </c>
      <c r="W145" s="4" t="s">
        <v>2100</v>
      </c>
      <c r="X145" s="27">
        <v>1.5</v>
      </c>
      <c r="Y145" s="4" t="s">
        <v>2101</v>
      </c>
      <c r="Z145" s="4" t="s">
        <v>66</v>
      </c>
      <c r="AA145" s="5" t="s">
        <v>2206</v>
      </c>
      <c r="AB145" s="5" t="s">
        <v>2207</v>
      </c>
      <c r="AC145" s="4" t="s">
        <v>2104</v>
      </c>
      <c r="AD145" s="3" t="s">
        <v>1274</v>
      </c>
      <c r="AE145" s="3" t="s">
        <v>1275</v>
      </c>
    </row>
    <row r="146" spans="1:31" ht="56">
      <c r="A146" s="4" t="s">
        <v>2208</v>
      </c>
      <c r="B146" s="4" t="s">
        <v>750</v>
      </c>
      <c r="C146" s="4" t="s">
        <v>800</v>
      </c>
      <c r="D146" s="4" t="s">
        <v>2093</v>
      </c>
      <c r="E146" s="4" t="s">
        <v>2209</v>
      </c>
      <c r="F146" s="4" t="s">
        <v>2095</v>
      </c>
      <c r="G146" s="16">
        <v>22.934752</v>
      </c>
      <c r="H146" s="16">
        <v>120.22605</v>
      </c>
      <c r="I146" s="4">
        <v>5</v>
      </c>
      <c r="J146" s="4" t="s">
        <v>1257</v>
      </c>
      <c r="K146" s="3" t="s">
        <v>2210</v>
      </c>
      <c r="L146" s="3" t="s">
        <v>2211</v>
      </c>
      <c r="M146" s="3" t="s">
        <v>2098</v>
      </c>
      <c r="N146" s="4">
        <v>120</v>
      </c>
      <c r="O146" s="4" t="s">
        <v>1360</v>
      </c>
      <c r="P146" s="3" t="s">
        <v>1361</v>
      </c>
      <c r="Q146" s="3" t="s">
        <v>1263</v>
      </c>
      <c r="R146" s="3" t="s">
        <v>1264</v>
      </c>
      <c r="S146" s="4" t="s">
        <v>1265</v>
      </c>
      <c r="T146" s="4" t="s">
        <v>1266</v>
      </c>
      <c r="U146" s="4" t="s">
        <v>2099</v>
      </c>
      <c r="V146" s="4" t="s">
        <v>1268</v>
      </c>
      <c r="W146" s="4" t="s">
        <v>2100</v>
      </c>
      <c r="X146" s="27">
        <v>1.5</v>
      </c>
      <c r="Y146" s="4" t="s">
        <v>2101</v>
      </c>
      <c r="Z146" s="4" t="s">
        <v>29</v>
      </c>
      <c r="AA146" s="5" t="s">
        <v>2212</v>
      </c>
      <c r="AB146" s="5" t="s">
        <v>2213</v>
      </c>
      <c r="AC146" s="4" t="s">
        <v>2104</v>
      </c>
      <c r="AD146" s="3" t="s">
        <v>1274</v>
      </c>
      <c r="AE146" s="3" t="s">
        <v>1275</v>
      </c>
    </row>
    <row r="147" spans="1:31" ht="70">
      <c r="A147" s="4" t="s">
        <v>2214</v>
      </c>
      <c r="B147" s="4" t="s">
        <v>750</v>
      </c>
      <c r="C147" s="4" t="s">
        <v>751</v>
      </c>
      <c r="D147" s="4" t="s">
        <v>2093</v>
      </c>
      <c r="E147" s="4" t="s">
        <v>2215</v>
      </c>
      <c r="F147" s="4" t="s">
        <v>2095</v>
      </c>
      <c r="G147" s="16">
        <v>22.9922</v>
      </c>
      <c r="H147" s="16">
        <v>120.20458000000001</v>
      </c>
      <c r="I147" s="4">
        <v>5</v>
      </c>
      <c r="J147" s="4" t="s">
        <v>1257</v>
      </c>
      <c r="K147" s="3" t="s">
        <v>2216</v>
      </c>
      <c r="L147" s="3" t="s">
        <v>2217</v>
      </c>
      <c r="M147" s="3" t="s">
        <v>2098</v>
      </c>
      <c r="N147" s="4">
        <v>120</v>
      </c>
      <c r="O147" s="4" t="s">
        <v>1360</v>
      </c>
      <c r="P147" s="3" t="s">
        <v>1361</v>
      </c>
      <c r="Q147" s="3" t="s">
        <v>1263</v>
      </c>
      <c r="R147" s="3" t="s">
        <v>1264</v>
      </c>
      <c r="S147" s="4" t="s">
        <v>1265</v>
      </c>
      <c r="T147" s="4" t="s">
        <v>1266</v>
      </c>
      <c r="U147" s="4" t="s">
        <v>2099</v>
      </c>
      <c r="V147" s="4" t="s">
        <v>1268</v>
      </c>
      <c r="W147" s="4" t="s">
        <v>2100</v>
      </c>
      <c r="X147" s="27">
        <v>1.5</v>
      </c>
      <c r="Y147" s="4" t="s">
        <v>2101</v>
      </c>
      <c r="Z147" s="4" t="s">
        <v>29</v>
      </c>
      <c r="AA147" s="5" t="s">
        <v>2218</v>
      </c>
      <c r="AB147" s="5" t="s">
        <v>2219</v>
      </c>
      <c r="AC147" s="4" t="s">
        <v>2104</v>
      </c>
      <c r="AD147" s="3" t="s">
        <v>1274</v>
      </c>
      <c r="AE147" s="3" t="s">
        <v>1275</v>
      </c>
    </row>
    <row r="148" spans="1:31" ht="84">
      <c r="A148" s="4" t="s">
        <v>2220</v>
      </c>
      <c r="B148" s="4" t="s">
        <v>819</v>
      </c>
      <c r="C148" s="4" t="s">
        <v>835</v>
      </c>
      <c r="D148" s="4" t="s">
        <v>2093</v>
      </c>
      <c r="E148" s="4" t="s">
        <v>2221</v>
      </c>
      <c r="F148" s="4" t="s">
        <v>2095</v>
      </c>
      <c r="G148" s="16">
        <v>22.623000000000001</v>
      </c>
      <c r="H148" s="16">
        <v>120.34244</v>
      </c>
      <c r="I148" s="4">
        <v>5</v>
      </c>
      <c r="J148" s="4" t="s">
        <v>1257</v>
      </c>
      <c r="K148" s="3" t="s">
        <v>2222</v>
      </c>
      <c r="L148" s="3" t="s">
        <v>2223</v>
      </c>
      <c r="M148" s="3" t="s">
        <v>2098</v>
      </c>
      <c r="N148" s="4">
        <v>120</v>
      </c>
      <c r="O148" s="4" t="s">
        <v>1360</v>
      </c>
      <c r="P148" s="3" t="s">
        <v>1361</v>
      </c>
      <c r="Q148" s="3" t="s">
        <v>1263</v>
      </c>
      <c r="R148" s="3" t="s">
        <v>1264</v>
      </c>
      <c r="S148" s="4" t="s">
        <v>1265</v>
      </c>
      <c r="T148" s="4" t="s">
        <v>1266</v>
      </c>
      <c r="U148" s="4" t="s">
        <v>2099</v>
      </c>
      <c r="V148" s="4" t="s">
        <v>1268</v>
      </c>
      <c r="W148" s="4" t="s">
        <v>2100</v>
      </c>
      <c r="X148" s="27">
        <v>1.5</v>
      </c>
      <c r="Y148" s="4" t="s">
        <v>2101</v>
      </c>
      <c r="Z148" s="4" t="s">
        <v>29</v>
      </c>
      <c r="AA148" s="5" t="s">
        <v>2224</v>
      </c>
      <c r="AB148" s="5" t="s">
        <v>2225</v>
      </c>
      <c r="AC148" s="4" t="s">
        <v>2104</v>
      </c>
      <c r="AD148" s="3" t="s">
        <v>1274</v>
      </c>
      <c r="AE148" s="3" t="s">
        <v>1275</v>
      </c>
    </row>
    <row r="149" spans="1:31" ht="70">
      <c r="A149" s="4" t="s">
        <v>2226</v>
      </c>
      <c r="B149" s="4" t="s">
        <v>819</v>
      </c>
      <c r="C149" s="4" t="s">
        <v>2227</v>
      </c>
      <c r="D149" s="4" t="s">
        <v>2093</v>
      </c>
      <c r="E149" s="4" t="s">
        <v>2228</v>
      </c>
      <c r="F149" s="4" t="s">
        <v>2095</v>
      </c>
      <c r="G149" s="16">
        <v>22.620004999999999</v>
      </c>
      <c r="H149" s="16">
        <v>120.2816</v>
      </c>
      <c r="I149" s="4">
        <v>5</v>
      </c>
      <c r="J149" s="4" t="s">
        <v>1257</v>
      </c>
      <c r="K149" s="3" t="s">
        <v>2229</v>
      </c>
      <c r="L149" s="3" t="s">
        <v>2230</v>
      </c>
      <c r="M149" s="3" t="s">
        <v>2098</v>
      </c>
      <c r="N149" s="4">
        <v>120</v>
      </c>
      <c r="O149" s="4" t="s">
        <v>1360</v>
      </c>
      <c r="P149" s="3" t="s">
        <v>1361</v>
      </c>
      <c r="Q149" s="3" t="s">
        <v>1263</v>
      </c>
      <c r="R149" s="3" t="s">
        <v>1264</v>
      </c>
      <c r="S149" s="4" t="s">
        <v>1265</v>
      </c>
      <c r="T149" s="4" t="s">
        <v>1266</v>
      </c>
      <c r="U149" s="4" t="s">
        <v>2099</v>
      </c>
      <c r="V149" s="4" t="s">
        <v>1268</v>
      </c>
      <c r="W149" s="4" t="s">
        <v>2100</v>
      </c>
      <c r="X149" s="27">
        <v>1.5</v>
      </c>
      <c r="Y149" s="4" t="s">
        <v>2101</v>
      </c>
      <c r="Z149" s="4" t="s">
        <v>29</v>
      </c>
      <c r="AA149" s="5" t="s">
        <v>2231</v>
      </c>
      <c r="AB149" s="5" t="s">
        <v>2232</v>
      </c>
      <c r="AC149" s="4" t="s">
        <v>2104</v>
      </c>
      <c r="AD149" s="3" t="s">
        <v>1274</v>
      </c>
      <c r="AE149" s="3" t="s">
        <v>1275</v>
      </c>
    </row>
    <row r="150" spans="1:31" ht="70">
      <c r="A150" s="4" t="s">
        <v>2233</v>
      </c>
      <c r="B150" s="4" t="s">
        <v>958</v>
      </c>
      <c r="C150" s="4" t="s">
        <v>2065</v>
      </c>
      <c r="D150" s="4" t="s">
        <v>2093</v>
      </c>
      <c r="E150" s="4" t="s">
        <v>2234</v>
      </c>
      <c r="F150" s="4" t="s">
        <v>2095</v>
      </c>
      <c r="G150" s="16">
        <v>24.685587000000002</v>
      </c>
      <c r="H150" s="16">
        <v>121.82405</v>
      </c>
      <c r="I150" s="4">
        <v>5</v>
      </c>
      <c r="J150" s="4" t="s">
        <v>1257</v>
      </c>
      <c r="K150" s="3" t="s">
        <v>2235</v>
      </c>
      <c r="L150" s="3" t="s">
        <v>2236</v>
      </c>
      <c r="M150" s="3" t="s">
        <v>2098</v>
      </c>
      <c r="N150" s="4">
        <v>120</v>
      </c>
      <c r="O150" s="4" t="s">
        <v>1360</v>
      </c>
      <c r="P150" s="3" t="s">
        <v>1361</v>
      </c>
      <c r="Q150" s="3" t="s">
        <v>1263</v>
      </c>
      <c r="R150" s="3" t="s">
        <v>1264</v>
      </c>
      <c r="S150" s="4" t="s">
        <v>1265</v>
      </c>
      <c r="T150" s="4" t="s">
        <v>1266</v>
      </c>
      <c r="U150" s="4" t="s">
        <v>2099</v>
      </c>
      <c r="V150" s="4" t="s">
        <v>1268</v>
      </c>
      <c r="W150" s="4" t="s">
        <v>2100</v>
      </c>
      <c r="X150" s="27">
        <v>1.5</v>
      </c>
      <c r="Y150" s="4" t="s">
        <v>2101</v>
      </c>
      <c r="Z150" s="4" t="s">
        <v>29</v>
      </c>
      <c r="AA150" s="5" t="s">
        <v>2237</v>
      </c>
      <c r="AB150" s="5" t="s">
        <v>2238</v>
      </c>
      <c r="AC150" s="4" t="s">
        <v>2104</v>
      </c>
      <c r="AD150" s="3" t="s">
        <v>1274</v>
      </c>
      <c r="AE150" s="3" t="s">
        <v>1275</v>
      </c>
    </row>
    <row r="151" spans="1:31" ht="56">
      <c r="A151" s="4" t="s">
        <v>2239</v>
      </c>
      <c r="B151" s="4" t="s">
        <v>1008</v>
      </c>
      <c r="C151" s="4" t="s">
        <v>1009</v>
      </c>
      <c r="D151" s="4" t="s">
        <v>2093</v>
      </c>
      <c r="E151" s="4" t="s">
        <v>2240</v>
      </c>
      <c r="F151" s="4" t="s">
        <v>2095</v>
      </c>
      <c r="G151" s="16">
        <v>23.982804999999999</v>
      </c>
      <c r="H151" s="16">
        <v>121.61548999999999</v>
      </c>
      <c r="I151" s="4">
        <v>5</v>
      </c>
      <c r="J151" s="4" t="s">
        <v>1257</v>
      </c>
      <c r="K151" s="3" t="s">
        <v>2241</v>
      </c>
      <c r="L151" s="3" t="s">
        <v>2242</v>
      </c>
      <c r="M151" s="3" t="s">
        <v>2098</v>
      </c>
      <c r="N151" s="4">
        <v>120</v>
      </c>
      <c r="O151" s="4" t="s">
        <v>1360</v>
      </c>
      <c r="P151" s="3" t="s">
        <v>1361</v>
      </c>
      <c r="Q151" s="3" t="s">
        <v>1263</v>
      </c>
      <c r="R151" s="3" t="s">
        <v>1264</v>
      </c>
      <c r="S151" s="4" t="s">
        <v>1265</v>
      </c>
      <c r="T151" s="4" t="s">
        <v>1266</v>
      </c>
      <c r="U151" s="4" t="s">
        <v>2099</v>
      </c>
      <c r="V151" s="4" t="s">
        <v>1268</v>
      </c>
      <c r="W151" s="4" t="s">
        <v>2100</v>
      </c>
      <c r="X151" s="27">
        <v>1.5</v>
      </c>
      <c r="Y151" s="4" t="s">
        <v>2101</v>
      </c>
      <c r="Z151" s="4" t="s">
        <v>29</v>
      </c>
      <c r="AA151" s="5" t="s">
        <v>2243</v>
      </c>
      <c r="AB151" s="5" t="s">
        <v>2244</v>
      </c>
      <c r="AC151" s="4" t="s">
        <v>2104</v>
      </c>
      <c r="AD151" s="3" t="s">
        <v>1274</v>
      </c>
      <c r="AE151" s="3" t="s">
        <v>1275</v>
      </c>
    </row>
    <row r="152" spans="1:31" ht="70">
      <c r="A152" s="4" t="s">
        <v>2245</v>
      </c>
      <c r="B152" s="4" t="s">
        <v>1048</v>
      </c>
      <c r="C152" s="4" t="s">
        <v>1049</v>
      </c>
      <c r="D152" s="4" t="s">
        <v>2093</v>
      </c>
      <c r="E152" s="4" t="s">
        <v>2246</v>
      </c>
      <c r="F152" s="4" t="s">
        <v>2095</v>
      </c>
      <c r="G152" s="16">
        <v>22.792165000000001</v>
      </c>
      <c r="H152" s="16">
        <v>121.11593000000001</v>
      </c>
      <c r="I152" s="4">
        <v>5</v>
      </c>
      <c r="J152" s="4" t="s">
        <v>1257</v>
      </c>
      <c r="K152" s="3" t="s">
        <v>2247</v>
      </c>
      <c r="L152" s="3" t="s">
        <v>2248</v>
      </c>
      <c r="M152" s="3" t="s">
        <v>2098</v>
      </c>
      <c r="N152" s="4">
        <v>120</v>
      </c>
      <c r="O152" s="4" t="s">
        <v>1360</v>
      </c>
      <c r="P152" s="3" t="s">
        <v>1361</v>
      </c>
      <c r="Q152" s="3" t="s">
        <v>1263</v>
      </c>
      <c r="R152" s="3" t="s">
        <v>1264</v>
      </c>
      <c r="S152" s="4" t="s">
        <v>1265</v>
      </c>
      <c r="T152" s="4" t="s">
        <v>1266</v>
      </c>
      <c r="U152" s="4" t="s">
        <v>2099</v>
      </c>
      <c r="V152" s="4" t="s">
        <v>1268</v>
      </c>
      <c r="W152" s="4" t="s">
        <v>2100</v>
      </c>
      <c r="X152" s="27">
        <v>1.5</v>
      </c>
      <c r="Y152" s="4" t="s">
        <v>2101</v>
      </c>
      <c r="Z152" s="4" t="s">
        <v>29</v>
      </c>
      <c r="AA152" s="5" t="s">
        <v>2249</v>
      </c>
      <c r="AB152" s="5" t="s">
        <v>1065</v>
      </c>
      <c r="AC152" s="4" t="s">
        <v>2104</v>
      </c>
      <c r="AD152" s="3" t="s">
        <v>1274</v>
      </c>
      <c r="AE152" s="3" t="s">
        <v>1275</v>
      </c>
    </row>
  </sheetData>
  <mergeCells count="1">
    <mergeCell ref="A1:AE1"/>
  </mergeCells>
  <phoneticPr fontId="10" type="noConversion"/>
  <conditionalFormatting sqref="O3:O152">
    <cfRule type="expression" dxfId="10" priority="7">
      <formula>LEFT(O3,1)="A"</formula>
    </cfRule>
    <cfRule type="expression" dxfId="9" priority="8">
      <formula>LEFT(O3,1)="B"</formula>
    </cfRule>
  </conditionalFormatting>
  <conditionalFormatting sqref="U3:U152">
    <cfRule type="expression" dxfId="8" priority="1">
      <formula>U3="01｜老街與歷史街區"</formula>
    </cfRule>
    <cfRule type="expression" dxfId="7" priority="2">
      <formula>U3="02｜鐵道與舊鐵路"</formula>
    </cfRule>
    <cfRule type="expression" dxfId="6" priority="3">
      <formula>U3="03｜水岸、港口與漁港"</formula>
    </cfRule>
    <cfRule type="expression" dxfId="5" priority="4">
      <formula>U3="04｜文化聚落與產業遺址"</formula>
    </cfRule>
    <cfRule type="expression" dxfId="4" priority="5">
      <formula>U3="05｜城市綠道與水圳"</formula>
    </cfRule>
    <cfRule type="expression" dxfId="3" priority="6">
      <formula>U3="06｜公共藝術與特色建築"</formula>
    </cfRule>
  </conditionalFormatting>
  <conditionalFormatting sqref="Z3:Z152">
    <cfRule type="expression" dxfId="2" priority="9">
      <formula>LEFT(Z3,2)="P0"</formula>
    </cfRule>
  </conditionalFormatting>
  <conditionalFormatting sqref="AE3:AE152">
    <cfRule type="expression" dxfId="1" priority="10">
      <formula>LEFT(AE3,1)="是"</formula>
    </cfRule>
    <cfRule type="expression" dxfId="0" priority="11">
      <formula>LEFT(AE3,2)="可能"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7"/>
  <sheetViews>
    <sheetView workbookViewId="0"/>
  </sheetViews>
  <sheetFormatPr defaultRowHeight="14"/>
  <cols>
    <col min="1" max="1" width="19" customWidth="1"/>
    <col min="2" max="2" width="10" customWidth="1"/>
    <col min="3" max="3" width="11" customWidth="1"/>
    <col min="4" max="4" width="19" customWidth="1"/>
    <col min="5" max="5" width="31" customWidth="1"/>
    <col min="6" max="6" width="30" customWidth="1"/>
    <col min="7" max="8" width="16" customWidth="1"/>
    <col min="9" max="9" width="8" customWidth="1"/>
    <col min="10" max="10" width="12" customWidth="1"/>
    <col min="11" max="11" width="38" customWidth="1"/>
    <col min="12" max="12" width="48" customWidth="1"/>
    <col min="13" max="13" width="40" customWidth="1"/>
    <col min="14" max="14" width="15" customWidth="1"/>
    <col min="15" max="15" width="27" customWidth="1"/>
    <col min="16" max="16" width="48" customWidth="1"/>
    <col min="17" max="17" width="35" customWidth="1"/>
    <col min="18" max="18" width="34" customWidth="1"/>
    <col min="19" max="20" width="12" customWidth="1"/>
    <col min="21" max="21" width="25" customWidth="1"/>
    <col min="22" max="22" width="13" customWidth="1"/>
    <col min="23" max="23" width="16" customWidth="1"/>
    <col min="24" max="24" width="15" customWidth="1"/>
    <col min="25" max="25" width="42" customWidth="1"/>
    <col min="26" max="26" width="16" customWidth="1"/>
    <col min="27" max="27" width="48" customWidth="1"/>
    <col min="28" max="28" width="42" customWidth="1"/>
    <col min="29" max="29" width="28" customWidth="1"/>
    <col min="30" max="30" width="42" customWidth="1"/>
    <col min="31" max="31" width="38" customWidth="1"/>
  </cols>
  <sheetData>
    <row r="1" spans="1:31" ht="18">
      <c r="A1" s="44" t="s">
        <v>2250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3"/>
    </row>
    <row r="2" spans="1:31">
      <c r="A2" s="28" t="s">
        <v>1225</v>
      </c>
      <c r="B2" s="28" t="s">
        <v>2</v>
      </c>
      <c r="C2" s="28" t="s">
        <v>3</v>
      </c>
      <c r="D2" s="28" t="s">
        <v>5</v>
      </c>
      <c r="E2" s="28" t="s">
        <v>1226</v>
      </c>
      <c r="F2" s="28" t="s">
        <v>1227</v>
      </c>
      <c r="G2" s="28" t="s">
        <v>1228</v>
      </c>
      <c r="H2" s="28" t="s">
        <v>1229</v>
      </c>
      <c r="I2" s="28" t="s">
        <v>1230</v>
      </c>
      <c r="J2" s="28" t="s">
        <v>1231</v>
      </c>
      <c r="K2" s="28" t="s">
        <v>1232</v>
      </c>
      <c r="L2" s="28" t="s">
        <v>1233</v>
      </c>
      <c r="M2" s="28" t="s">
        <v>1234</v>
      </c>
      <c r="N2" s="28" t="s">
        <v>1235</v>
      </c>
      <c r="O2" s="28" t="s">
        <v>1236</v>
      </c>
      <c r="P2" s="28" t="s">
        <v>1237</v>
      </c>
      <c r="Q2" s="28" t="s">
        <v>1238</v>
      </c>
      <c r="R2" s="28" t="s">
        <v>1239</v>
      </c>
      <c r="S2" s="28" t="s">
        <v>1240</v>
      </c>
      <c r="T2" s="28" t="s">
        <v>1241</v>
      </c>
      <c r="U2" s="28" t="s">
        <v>1242</v>
      </c>
      <c r="V2" s="28" t="s">
        <v>1243</v>
      </c>
      <c r="W2" s="28" t="s">
        <v>1244</v>
      </c>
      <c r="X2" s="28" t="s">
        <v>1245</v>
      </c>
      <c r="Y2" s="28" t="s">
        <v>1246</v>
      </c>
      <c r="Z2" s="28" t="s">
        <v>7</v>
      </c>
      <c r="AA2" s="28" t="s">
        <v>1247</v>
      </c>
      <c r="AB2" s="28" t="s">
        <v>1248</v>
      </c>
      <c r="AC2" s="28" t="s">
        <v>1249</v>
      </c>
      <c r="AD2" s="28" t="s">
        <v>1250</v>
      </c>
      <c r="AE2" t="s">
        <v>1251</v>
      </c>
    </row>
    <row r="3" spans="1:31" ht="70">
      <c r="A3" s="3" t="s">
        <v>1252</v>
      </c>
      <c r="B3" s="3" t="s">
        <v>24</v>
      </c>
      <c r="C3" s="3" t="s">
        <v>1253</v>
      </c>
      <c r="D3" s="3" t="s">
        <v>1254</v>
      </c>
      <c r="E3" s="3" t="s">
        <v>1255</v>
      </c>
      <c r="F3" s="3" t="s">
        <v>1256</v>
      </c>
      <c r="G3" s="15">
        <v>25.055104</v>
      </c>
      <c r="H3" s="15">
        <v>121.51003</v>
      </c>
      <c r="I3" s="3">
        <v>5</v>
      </c>
      <c r="J3" s="3" t="s">
        <v>1257</v>
      </c>
      <c r="K3" s="3" t="s">
        <v>1258</v>
      </c>
      <c r="L3" s="3" t="s">
        <v>1259</v>
      </c>
      <c r="M3" s="3" t="s">
        <v>1260</v>
      </c>
      <c r="N3" s="3">
        <v>200</v>
      </c>
      <c r="O3" s="3" t="s">
        <v>1261</v>
      </c>
      <c r="P3" s="3" t="s">
        <v>1262</v>
      </c>
      <c r="Q3" s="3" t="s">
        <v>1263</v>
      </c>
      <c r="R3" s="3" t="s">
        <v>1264</v>
      </c>
      <c r="S3" s="3" t="s">
        <v>1265</v>
      </c>
      <c r="T3" s="3" t="s">
        <v>1266</v>
      </c>
      <c r="U3" s="3" t="s">
        <v>1267</v>
      </c>
      <c r="V3" s="3" t="s">
        <v>1268</v>
      </c>
      <c r="W3" s="3" t="s">
        <v>1269</v>
      </c>
      <c r="X3" s="26">
        <v>1.8</v>
      </c>
      <c r="Y3" s="3" t="s">
        <v>1270</v>
      </c>
      <c r="Z3" s="3" t="s">
        <v>29</v>
      </c>
      <c r="AA3" s="5" t="s">
        <v>1271</v>
      </c>
      <c r="AB3" s="5" t="s">
        <v>1272</v>
      </c>
      <c r="AC3" s="3" t="s">
        <v>1273</v>
      </c>
      <c r="AD3" s="3" t="s">
        <v>1274</v>
      </c>
      <c r="AE3" s="3" t="s">
        <v>1275</v>
      </c>
    </row>
    <row r="4" spans="1:31" ht="56">
      <c r="A4" s="3" t="s">
        <v>1276</v>
      </c>
      <c r="B4" s="3" t="s">
        <v>24</v>
      </c>
      <c r="C4" s="3" t="s">
        <v>89</v>
      </c>
      <c r="D4" s="3" t="s">
        <v>1254</v>
      </c>
      <c r="E4" s="3" t="s">
        <v>1277</v>
      </c>
      <c r="F4" s="3" t="s">
        <v>1256</v>
      </c>
      <c r="G4" s="15">
        <v>25.036837999999999</v>
      </c>
      <c r="H4" s="15">
        <v>121.50216</v>
      </c>
      <c r="I4" s="3">
        <v>5</v>
      </c>
      <c r="J4" s="3" t="s">
        <v>1257</v>
      </c>
      <c r="K4" s="3" t="s">
        <v>1278</v>
      </c>
      <c r="L4" s="3" t="s">
        <v>1279</v>
      </c>
      <c r="M4" s="3" t="s">
        <v>1260</v>
      </c>
      <c r="N4" s="3">
        <v>200</v>
      </c>
      <c r="O4" s="3" t="s">
        <v>1261</v>
      </c>
      <c r="P4" s="3" t="s">
        <v>1262</v>
      </c>
      <c r="Q4" s="3" t="s">
        <v>1263</v>
      </c>
      <c r="R4" s="3" t="s">
        <v>1264</v>
      </c>
      <c r="S4" s="3" t="s">
        <v>1265</v>
      </c>
      <c r="T4" s="3" t="s">
        <v>1266</v>
      </c>
      <c r="U4" s="3" t="s">
        <v>1267</v>
      </c>
      <c r="V4" s="3" t="s">
        <v>1268</v>
      </c>
      <c r="W4" s="3" t="s">
        <v>1269</v>
      </c>
      <c r="X4" s="26">
        <v>1.8</v>
      </c>
      <c r="Y4" s="3" t="s">
        <v>1270</v>
      </c>
      <c r="Z4" s="3" t="s">
        <v>29</v>
      </c>
      <c r="AA4" s="5" t="s">
        <v>1280</v>
      </c>
      <c r="AB4" s="5" t="s">
        <v>1281</v>
      </c>
      <c r="AC4" s="3" t="s">
        <v>1273</v>
      </c>
      <c r="AD4" s="3" t="s">
        <v>1274</v>
      </c>
      <c r="AE4" s="3" t="s">
        <v>1275</v>
      </c>
    </row>
    <row r="5" spans="1:31" ht="56">
      <c r="A5" s="3" t="s">
        <v>1282</v>
      </c>
      <c r="B5" s="3" t="s">
        <v>151</v>
      </c>
      <c r="C5" s="3" t="s">
        <v>1283</v>
      </c>
      <c r="D5" s="3" t="s">
        <v>1254</v>
      </c>
      <c r="E5" s="3" t="s">
        <v>1284</v>
      </c>
      <c r="F5" s="3" t="s">
        <v>1256</v>
      </c>
      <c r="G5" s="15">
        <v>25.109819000000002</v>
      </c>
      <c r="H5" s="15">
        <v>121.84341000000001</v>
      </c>
      <c r="I5" s="3">
        <v>5</v>
      </c>
      <c r="J5" s="3" t="s">
        <v>1257</v>
      </c>
      <c r="K5" s="3" t="s">
        <v>1285</v>
      </c>
      <c r="L5" s="3" t="s">
        <v>1286</v>
      </c>
      <c r="M5" s="3" t="s">
        <v>1260</v>
      </c>
      <c r="N5" s="3">
        <v>200</v>
      </c>
      <c r="O5" s="3" t="s">
        <v>1261</v>
      </c>
      <c r="P5" s="3" t="s">
        <v>1262</v>
      </c>
      <c r="Q5" s="3" t="s">
        <v>1263</v>
      </c>
      <c r="R5" s="3" t="s">
        <v>1264</v>
      </c>
      <c r="S5" s="3" t="s">
        <v>1265</v>
      </c>
      <c r="T5" s="3" t="s">
        <v>1266</v>
      </c>
      <c r="U5" s="3" t="s">
        <v>1267</v>
      </c>
      <c r="V5" s="3" t="s">
        <v>1268</v>
      </c>
      <c r="W5" s="3" t="s">
        <v>1269</v>
      </c>
      <c r="X5" s="26">
        <v>1.8</v>
      </c>
      <c r="Y5" s="3" t="s">
        <v>1270</v>
      </c>
      <c r="Z5" s="3" t="s">
        <v>29</v>
      </c>
      <c r="AA5" s="5" t="s">
        <v>1287</v>
      </c>
      <c r="AB5" s="5" t="s">
        <v>1288</v>
      </c>
      <c r="AC5" s="3" t="s">
        <v>1273</v>
      </c>
      <c r="AD5" s="3" t="s">
        <v>1274</v>
      </c>
      <c r="AE5" s="3" t="s">
        <v>1275</v>
      </c>
    </row>
    <row r="6" spans="1:31" ht="56">
      <c r="A6" s="3" t="s">
        <v>1289</v>
      </c>
      <c r="B6" s="3" t="s">
        <v>151</v>
      </c>
      <c r="C6" s="3" t="s">
        <v>1290</v>
      </c>
      <c r="D6" s="3" t="s">
        <v>1254</v>
      </c>
      <c r="E6" s="3" t="s">
        <v>1291</v>
      </c>
      <c r="F6" s="3" t="s">
        <v>1256</v>
      </c>
      <c r="G6" s="15">
        <v>25.171037999999999</v>
      </c>
      <c r="H6" s="15">
        <v>121.43895000000001</v>
      </c>
      <c r="I6" s="3">
        <v>5</v>
      </c>
      <c r="J6" s="3" t="s">
        <v>1257</v>
      </c>
      <c r="K6" s="3" t="s">
        <v>1292</v>
      </c>
      <c r="L6" s="3" t="s">
        <v>1293</v>
      </c>
      <c r="M6" s="3" t="s">
        <v>1260</v>
      </c>
      <c r="N6" s="3">
        <v>200</v>
      </c>
      <c r="O6" s="3" t="s">
        <v>1261</v>
      </c>
      <c r="P6" s="3" t="s">
        <v>1262</v>
      </c>
      <c r="Q6" s="3" t="s">
        <v>1263</v>
      </c>
      <c r="R6" s="3" t="s">
        <v>1264</v>
      </c>
      <c r="S6" s="3" t="s">
        <v>1265</v>
      </c>
      <c r="T6" s="3" t="s">
        <v>1266</v>
      </c>
      <c r="U6" s="3" t="s">
        <v>1267</v>
      </c>
      <c r="V6" s="3" t="s">
        <v>1268</v>
      </c>
      <c r="W6" s="3" t="s">
        <v>1269</v>
      </c>
      <c r="X6" s="26">
        <v>1.8</v>
      </c>
      <c r="Y6" s="3" t="s">
        <v>1270</v>
      </c>
      <c r="Z6" s="3" t="s">
        <v>29</v>
      </c>
      <c r="AA6" s="5" t="s">
        <v>1294</v>
      </c>
      <c r="AB6" s="5" t="s">
        <v>1295</v>
      </c>
      <c r="AC6" s="3" t="s">
        <v>1273</v>
      </c>
      <c r="AD6" s="3" t="s">
        <v>1274</v>
      </c>
      <c r="AE6" s="3" t="s">
        <v>1275</v>
      </c>
    </row>
    <row r="7" spans="1:31" ht="56">
      <c r="A7" s="3" t="s">
        <v>1296</v>
      </c>
      <c r="B7" s="3" t="s">
        <v>151</v>
      </c>
      <c r="C7" s="3" t="s">
        <v>223</v>
      </c>
      <c r="D7" s="3" t="s">
        <v>1254</v>
      </c>
      <c r="E7" s="3" t="s">
        <v>1297</v>
      </c>
      <c r="F7" s="3" t="s">
        <v>1256</v>
      </c>
      <c r="G7" s="15">
        <v>24.934515999999999</v>
      </c>
      <c r="H7" s="15">
        <v>121.37029</v>
      </c>
      <c r="I7" s="3">
        <v>5</v>
      </c>
      <c r="J7" s="3" t="s">
        <v>1257</v>
      </c>
      <c r="K7" s="3" t="s">
        <v>1298</v>
      </c>
      <c r="L7" s="3" t="s">
        <v>1299</v>
      </c>
      <c r="M7" s="3" t="s">
        <v>1260</v>
      </c>
      <c r="N7" s="3">
        <v>200</v>
      </c>
      <c r="O7" s="3" t="s">
        <v>1261</v>
      </c>
      <c r="P7" s="3" t="s">
        <v>1262</v>
      </c>
      <c r="Q7" s="3" t="s">
        <v>1263</v>
      </c>
      <c r="R7" s="3" t="s">
        <v>1264</v>
      </c>
      <c r="S7" s="3" t="s">
        <v>1265</v>
      </c>
      <c r="T7" s="3" t="s">
        <v>1266</v>
      </c>
      <c r="U7" s="3" t="s">
        <v>1267</v>
      </c>
      <c r="V7" s="3" t="s">
        <v>1268</v>
      </c>
      <c r="W7" s="3" t="s">
        <v>1269</v>
      </c>
      <c r="X7" s="26">
        <v>1.8</v>
      </c>
      <c r="Y7" s="3" t="s">
        <v>1270</v>
      </c>
      <c r="Z7" s="3" t="s">
        <v>29</v>
      </c>
      <c r="AA7" s="5" t="s">
        <v>1300</v>
      </c>
      <c r="AB7" s="5" t="s">
        <v>1301</v>
      </c>
      <c r="AC7" s="3" t="s">
        <v>1273</v>
      </c>
      <c r="AD7" s="3" t="s">
        <v>1274</v>
      </c>
      <c r="AE7" s="3" t="s">
        <v>1275</v>
      </c>
    </row>
    <row r="8" spans="1:31" ht="84">
      <c r="A8" s="3" t="s">
        <v>1302</v>
      </c>
      <c r="B8" s="3" t="s">
        <v>151</v>
      </c>
      <c r="C8" s="3" t="s">
        <v>1303</v>
      </c>
      <c r="D8" s="3" t="s">
        <v>1254</v>
      </c>
      <c r="E8" s="3" t="s">
        <v>1304</v>
      </c>
      <c r="F8" s="3" t="s">
        <v>1256</v>
      </c>
      <c r="G8" s="15">
        <v>25.221824000000002</v>
      </c>
      <c r="H8" s="15">
        <v>121.63826</v>
      </c>
      <c r="I8" s="3">
        <v>4</v>
      </c>
      <c r="J8" s="3" t="s">
        <v>1305</v>
      </c>
      <c r="K8" s="3" t="s">
        <v>1306</v>
      </c>
      <c r="L8" s="3" t="s">
        <v>1307</v>
      </c>
      <c r="M8" s="3" t="s">
        <v>1260</v>
      </c>
      <c r="N8" s="3">
        <v>200</v>
      </c>
      <c r="O8" s="3" t="s">
        <v>1261</v>
      </c>
      <c r="P8" s="3" t="s">
        <v>1262</v>
      </c>
      <c r="Q8" s="3" t="s">
        <v>1263</v>
      </c>
      <c r="R8" s="3" t="s">
        <v>1264</v>
      </c>
      <c r="S8" s="3" t="s">
        <v>1265</v>
      </c>
      <c r="T8" s="3" t="s">
        <v>1266</v>
      </c>
      <c r="U8" s="3" t="s">
        <v>1267</v>
      </c>
      <c r="V8" s="3" t="s">
        <v>1268</v>
      </c>
      <c r="W8" s="3" t="s">
        <v>1269</v>
      </c>
      <c r="X8" s="26">
        <v>1.8</v>
      </c>
      <c r="Y8" s="3" t="s">
        <v>1270</v>
      </c>
      <c r="Z8" s="3" t="s">
        <v>66</v>
      </c>
      <c r="AA8" s="5" t="s">
        <v>1308</v>
      </c>
      <c r="AB8" s="5" t="s">
        <v>1309</v>
      </c>
      <c r="AC8" s="3" t="s">
        <v>1273</v>
      </c>
      <c r="AD8" s="3" t="s">
        <v>1274</v>
      </c>
      <c r="AE8" s="3" t="s">
        <v>1275</v>
      </c>
    </row>
    <row r="9" spans="1:31" ht="56">
      <c r="A9" s="3" t="s">
        <v>1310</v>
      </c>
      <c r="B9" s="3" t="s">
        <v>151</v>
      </c>
      <c r="C9" s="3" t="s">
        <v>1311</v>
      </c>
      <c r="D9" s="3" t="s">
        <v>1254</v>
      </c>
      <c r="E9" s="3" t="s">
        <v>1312</v>
      </c>
      <c r="F9" s="3" t="s">
        <v>1256</v>
      </c>
      <c r="G9" s="15">
        <v>25.001691000000001</v>
      </c>
      <c r="H9" s="15">
        <v>121.61472999999999</v>
      </c>
      <c r="I9" s="3">
        <v>4</v>
      </c>
      <c r="J9" s="3" t="s">
        <v>1305</v>
      </c>
      <c r="K9" s="3" t="s">
        <v>1313</v>
      </c>
      <c r="L9" s="3" t="s">
        <v>1314</v>
      </c>
      <c r="M9" s="3" t="s">
        <v>1260</v>
      </c>
      <c r="N9" s="3">
        <v>200</v>
      </c>
      <c r="O9" s="3" t="s">
        <v>1261</v>
      </c>
      <c r="P9" s="3" t="s">
        <v>1262</v>
      </c>
      <c r="Q9" s="3" t="s">
        <v>1263</v>
      </c>
      <c r="R9" s="3" t="s">
        <v>1264</v>
      </c>
      <c r="S9" s="3" t="s">
        <v>1265</v>
      </c>
      <c r="T9" s="3" t="s">
        <v>1266</v>
      </c>
      <c r="U9" s="3" t="s">
        <v>1267</v>
      </c>
      <c r="V9" s="3" t="s">
        <v>1268</v>
      </c>
      <c r="W9" s="3" t="s">
        <v>1269</v>
      </c>
      <c r="X9" s="26">
        <v>1.8</v>
      </c>
      <c r="Y9" s="3" t="s">
        <v>1270</v>
      </c>
      <c r="Z9" s="3" t="s">
        <v>66</v>
      </c>
      <c r="AA9" s="5" t="s">
        <v>1315</v>
      </c>
      <c r="AB9" s="5" t="s">
        <v>1316</v>
      </c>
      <c r="AC9" s="3" t="s">
        <v>1273</v>
      </c>
      <c r="AD9" s="3" t="s">
        <v>1274</v>
      </c>
      <c r="AE9" s="3" t="s">
        <v>1275</v>
      </c>
    </row>
    <row r="10" spans="1:31" ht="56">
      <c r="A10" s="3" t="s">
        <v>1317</v>
      </c>
      <c r="B10" s="3" t="s">
        <v>281</v>
      </c>
      <c r="C10" s="3" t="s">
        <v>1318</v>
      </c>
      <c r="D10" s="3" t="s">
        <v>1254</v>
      </c>
      <c r="E10" s="3" t="s">
        <v>1319</v>
      </c>
      <c r="F10" s="3" t="s">
        <v>1256</v>
      </c>
      <c r="G10" s="15">
        <v>24.885186000000001</v>
      </c>
      <c r="H10" s="15">
        <v>121.28747</v>
      </c>
      <c r="I10" s="3">
        <v>5</v>
      </c>
      <c r="J10" s="3" t="s">
        <v>1257</v>
      </c>
      <c r="K10" s="3" t="s">
        <v>1320</v>
      </c>
      <c r="L10" s="3" t="s">
        <v>1321</v>
      </c>
      <c r="M10" s="3" t="s">
        <v>1260</v>
      </c>
      <c r="N10" s="3">
        <v>200</v>
      </c>
      <c r="O10" s="3" t="s">
        <v>1261</v>
      </c>
      <c r="P10" s="3" t="s">
        <v>1262</v>
      </c>
      <c r="Q10" s="3" t="s">
        <v>1263</v>
      </c>
      <c r="R10" s="3" t="s">
        <v>1264</v>
      </c>
      <c r="S10" s="3" t="s">
        <v>1265</v>
      </c>
      <c r="T10" s="3" t="s">
        <v>1266</v>
      </c>
      <c r="U10" s="3" t="s">
        <v>1267</v>
      </c>
      <c r="V10" s="3" t="s">
        <v>1268</v>
      </c>
      <c r="W10" s="3" t="s">
        <v>1269</v>
      </c>
      <c r="X10" s="26">
        <v>1.8</v>
      </c>
      <c r="Y10" s="3" t="s">
        <v>1270</v>
      </c>
      <c r="Z10" s="3" t="s">
        <v>29</v>
      </c>
      <c r="AA10" s="5" t="s">
        <v>1322</v>
      </c>
      <c r="AB10" s="5" t="s">
        <v>1323</v>
      </c>
      <c r="AC10" s="3" t="s">
        <v>1273</v>
      </c>
      <c r="AD10" s="3" t="s">
        <v>1274</v>
      </c>
      <c r="AE10" s="3" t="s">
        <v>1275</v>
      </c>
    </row>
    <row r="11" spans="1:31" ht="56">
      <c r="A11" s="3" t="s">
        <v>1324</v>
      </c>
      <c r="B11" s="3" t="s">
        <v>281</v>
      </c>
      <c r="C11" s="3" t="s">
        <v>331</v>
      </c>
      <c r="D11" s="3" t="s">
        <v>1254</v>
      </c>
      <c r="E11" s="3" t="s">
        <v>1325</v>
      </c>
      <c r="F11" s="3" t="s">
        <v>1256</v>
      </c>
      <c r="G11" s="15">
        <v>24.843865000000001</v>
      </c>
      <c r="H11" s="15">
        <v>121.24799</v>
      </c>
      <c r="I11" s="3">
        <v>4</v>
      </c>
      <c r="J11" s="3" t="s">
        <v>1305</v>
      </c>
      <c r="K11" s="3" t="s">
        <v>1326</v>
      </c>
      <c r="L11" s="3" t="s">
        <v>1327</v>
      </c>
      <c r="M11" s="3" t="s">
        <v>1260</v>
      </c>
      <c r="N11" s="3">
        <v>200</v>
      </c>
      <c r="O11" s="3" t="s">
        <v>1261</v>
      </c>
      <c r="P11" s="3" t="s">
        <v>1262</v>
      </c>
      <c r="Q11" s="3" t="s">
        <v>1263</v>
      </c>
      <c r="R11" s="3" t="s">
        <v>1264</v>
      </c>
      <c r="S11" s="3" t="s">
        <v>1265</v>
      </c>
      <c r="T11" s="3" t="s">
        <v>1266</v>
      </c>
      <c r="U11" s="3" t="s">
        <v>1267</v>
      </c>
      <c r="V11" s="3" t="s">
        <v>1268</v>
      </c>
      <c r="W11" s="3" t="s">
        <v>1269</v>
      </c>
      <c r="X11" s="26">
        <v>1.8</v>
      </c>
      <c r="Y11" s="3" t="s">
        <v>1270</v>
      </c>
      <c r="Z11" s="3" t="s">
        <v>66</v>
      </c>
      <c r="AA11" s="5" t="s">
        <v>1328</v>
      </c>
      <c r="AB11" s="5" t="s">
        <v>1329</v>
      </c>
      <c r="AC11" s="3" t="s">
        <v>1273</v>
      </c>
      <c r="AD11" s="3" t="s">
        <v>1274</v>
      </c>
      <c r="AE11" s="3" t="s">
        <v>1275</v>
      </c>
    </row>
    <row r="12" spans="1:31" ht="56">
      <c r="A12" s="3" t="s">
        <v>1330</v>
      </c>
      <c r="B12" s="3" t="s">
        <v>281</v>
      </c>
      <c r="C12" s="3" t="s">
        <v>350</v>
      </c>
      <c r="D12" s="3" t="s">
        <v>1254</v>
      </c>
      <c r="E12" s="3" t="s">
        <v>1331</v>
      </c>
      <c r="F12" s="3" t="s">
        <v>1256</v>
      </c>
      <c r="G12" s="15">
        <v>24.936328</v>
      </c>
      <c r="H12" s="15">
        <v>121.08243</v>
      </c>
      <c r="I12" s="3">
        <v>4</v>
      </c>
      <c r="J12" s="3" t="s">
        <v>1305</v>
      </c>
      <c r="K12" s="3" t="s">
        <v>1332</v>
      </c>
      <c r="L12" s="3" t="s">
        <v>1333</v>
      </c>
      <c r="M12" s="3" t="s">
        <v>1260</v>
      </c>
      <c r="N12" s="3">
        <v>200</v>
      </c>
      <c r="O12" s="3" t="s">
        <v>1261</v>
      </c>
      <c r="P12" s="3" t="s">
        <v>1262</v>
      </c>
      <c r="Q12" s="3" t="s">
        <v>1263</v>
      </c>
      <c r="R12" s="3" t="s">
        <v>1264</v>
      </c>
      <c r="S12" s="3" t="s">
        <v>1265</v>
      </c>
      <c r="T12" s="3" t="s">
        <v>1266</v>
      </c>
      <c r="U12" s="3" t="s">
        <v>1267</v>
      </c>
      <c r="V12" s="3" t="s">
        <v>1268</v>
      </c>
      <c r="W12" s="3" t="s">
        <v>1269</v>
      </c>
      <c r="X12" s="26">
        <v>1.8</v>
      </c>
      <c r="Y12" s="3" t="s">
        <v>1270</v>
      </c>
      <c r="Z12" s="3" t="s">
        <v>66</v>
      </c>
      <c r="AA12" s="5" t="s">
        <v>1334</v>
      </c>
      <c r="AB12" s="5" t="s">
        <v>1335</v>
      </c>
      <c r="AC12" s="3" t="s">
        <v>1273</v>
      </c>
      <c r="AD12" s="3" t="s">
        <v>1274</v>
      </c>
      <c r="AE12" s="3" t="s">
        <v>1275</v>
      </c>
    </row>
    <row r="13" spans="1:31" ht="56">
      <c r="A13" s="3" t="s">
        <v>1336</v>
      </c>
      <c r="B13" s="3" t="s">
        <v>400</v>
      </c>
      <c r="C13" s="3" t="s">
        <v>1337</v>
      </c>
      <c r="D13" s="3" t="s">
        <v>1254</v>
      </c>
      <c r="E13" s="3" t="s">
        <v>1338</v>
      </c>
      <c r="F13" s="3" t="s">
        <v>1256</v>
      </c>
      <c r="G13" s="15">
        <v>24.699815999999998</v>
      </c>
      <c r="H13" s="15">
        <v>121.05722</v>
      </c>
      <c r="I13" s="3">
        <v>5</v>
      </c>
      <c r="J13" s="3" t="s">
        <v>1257</v>
      </c>
      <c r="K13" s="3" t="s">
        <v>1339</v>
      </c>
      <c r="L13" s="3" t="s">
        <v>1340</v>
      </c>
      <c r="M13" s="3" t="s">
        <v>1260</v>
      </c>
      <c r="N13" s="3">
        <v>200</v>
      </c>
      <c r="O13" s="3" t="s">
        <v>1261</v>
      </c>
      <c r="P13" s="3" t="s">
        <v>1262</v>
      </c>
      <c r="Q13" s="3" t="s">
        <v>1263</v>
      </c>
      <c r="R13" s="3" t="s">
        <v>1264</v>
      </c>
      <c r="S13" s="3" t="s">
        <v>1265</v>
      </c>
      <c r="T13" s="3" t="s">
        <v>1266</v>
      </c>
      <c r="U13" s="3" t="s">
        <v>1267</v>
      </c>
      <c r="V13" s="3" t="s">
        <v>1268</v>
      </c>
      <c r="W13" s="3" t="s">
        <v>1269</v>
      </c>
      <c r="X13" s="26">
        <v>1.8</v>
      </c>
      <c r="Y13" s="3" t="s">
        <v>1270</v>
      </c>
      <c r="Z13" s="3" t="s">
        <v>29</v>
      </c>
      <c r="AA13" s="5" t="s">
        <v>1341</v>
      </c>
      <c r="AB13" s="5" t="s">
        <v>1342</v>
      </c>
      <c r="AC13" s="3" t="s">
        <v>1273</v>
      </c>
      <c r="AD13" s="3" t="s">
        <v>1274</v>
      </c>
      <c r="AE13" s="3" t="s">
        <v>1275</v>
      </c>
    </row>
    <row r="14" spans="1:31" ht="56">
      <c r="A14" s="3" t="s">
        <v>1343</v>
      </c>
      <c r="B14" s="3" t="s">
        <v>400</v>
      </c>
      <c r="C14" s="3" t="s">
        <v>431</v>
      </c>
      <c r="D14" s="3" t="s">
        <v>1254</v>
      </c>
      <c r="E14" s="3" t="s">
        <v>1344</v>
      </c>
      <c r="F14" s="3" t="s">
        <v>1256</v>
      </c>
      <c r="G14" s="15">
        <v>24.876871999999999</v>
      </c>
      <c r="H14" s="15">
        <v>121.05513999999999</v>
      </c>
      <c r="I14" s="3">
        <v>4</v>
      </c>
      <c r="J14" s="3" t="s">
        <v>1305</v>
      </c>
      <c r="K14" s="3" t="s">
        <v>1345</v>
      </c>
      <c r="L14" s="3" t="s">
        <v>1346</v>
      </c>
      <c r="M14" s="3" t="s">
        <v>1260</v>
      </c>
      <c r="N14" s="3">
        <v>200</v>
      </c>
      <c r="O14" s="3" t="s">
        <v>1261</v>
      </c>
      <c r="P14" s="3" t="s">
        <v>1262</v>
      </c>
      <c r="Q14" s="3" t="s">
        <v>1263</v>
      </c>
      <c r="R14" s="3" t="s">
        <v>1264</v>
      </c>
      <c r="S14" s="3" t="s">
        <v>1265</v>
      </c>
      <c r="T14" s="3" t="s">
        <v>1266</v>
      </c>
      <c r="U14" s="3" t="s">
        <v>1267</v>
      </c>
      <c r="V14" s="3" t="s">
        <v>1268</v>
      </c>
      <c r="W14" s="3" t="s">
        <v>1269</v>
      </c>
      <c r="X14" s="26">
        <v>1.8</v>
      </c>
      <c r="Y14" s="3" t="s">
        <v>1270</v>
      </c>
      <c r="Z14" s="3" t="s">
        <v>66</v>
      </c>
      <c r="AA14" s="5" t="s">
        <v>1347</v>
      </c>
      <c r="AB14" s="5" t="s">
        <v>1348</v>
      </c>
      <c r="AC14" s="3" t="s">
        <v>1273</v>
      </c>
      <c r="AD14" s="3" t="s">
        <v>1274</v>
      </c>
      <c r="AE14" s="3" t="s">
        <v>1275</v>
      </c>
    </row>
    <row r="15" spans="1:31" ht="56">
      <c r="A15" s="3" t="s">
        <v>1349</v>
      </c>
      <c r="B15" s="3" t="s">
        <v>400</v>
      </c>
      <c r="C15" s="3" t="s">
        <v>1350</v>
      </c>
      <c r="D15" s="3" t="s">
        <v>1254</v>
      </c>
      <c r="E15" s="3" t="s">
        <v>1351</v>
      </c>
      <c r="F15" s="3" t="s">
        <v>1256</v>
      </c>
      <c r="G15" s="15">
        <v>24.827883</v>
      </c>
      <c r="H15" s="15">
        <v>121.07114</v>
      </c>
      <c r="I15" s="3">
        <v>4</v>
      </c>
      <c r="J15" s="3" t="s">
        <v>1305</v>
      </c>
      <c r="K15" s="3" t="s">
        <v>1352</v>
      </c>
      <c r="L15" s="3" t="s">
        <v>1353</v>
      </c>
      <c r="M15" s="3" t="s">
        <v>1260</v>
      </c>
      <c r="N15" s="3">
        <v>200</v>
      </c>
      <c r="O15" s="3" t="s">
        <v>1261</v>
      </c>
      <c r="P15" s="3" t="s">
        <v>1262</v>
      </c>
      <c r="Q15" s="3" t="s">
        <v>1263</v>
      </c>
      <c r="R15" s="3" t="s">
        <v>1264</v>
      </c>
      <c r="S15" s="3" t="s">
        <v>1265</v>
      </c>
      <c r="T15" s="3" t="s">
        <v>1266</v>
      </c>
      <c r="U15" s="3" t="s">
        <v>1267</v>
      </c>
      <c r="V15" s="3" t="s">
        <v>1268</v>
      </c>
      <c r="W15" s="3" t="s">
        <v>1269</v>
      </c>
      <c r="X15" s="26">
        <v>1.8</v>
      </c>
      <c r="Y15" s="3" t="s">
        <v>1270</v>
      </c>
      <c r="Z15" s="3" t="s">
        <v>66</v>
      </c>
      <c r="AA15" s="5" t="s">
        <v>1354</v>
      </c>
      <c r="AB15" s="5" t="s">
        <v>1355</v>
      </c>
      <c r="AC15" s="3" t="s">
        <v>1273</v>
      </c>
      <c r="AD15" s="3" t="s">
        <v>1274</v>
      </c>
      <c r="AE15" s="3" t="s">
        <v>1275</v>
      </c>
    </row>
    <row r="16" spans="1:31" ht="56">
      <c r="A16" s="3" t="s">
        <v>1356</v>
      </c>
      <c r="B16" s="3" t="s">
        <v>355</v>
      </c>
      <c r="C16" s="3" t="s">
        <v>356</v>
      </c>
      <c r="D16" s="3" t="s">
        <v>1254</v>
      </c>
      <c r="E16" s="3" t="s">
        <v>1357</v>
      </c>
      <c r="F16" s="3" t="s">
        <v>1256</v>
      </c>
      <c r="G16" s="15">
        <v>24.80416</v>
      </c>
      <c r="H16" s="15">
        <v>120.97024</v>
      </c>
      <c r="I16" s="3">
        <v>4</v>
      </c>
      <c r="J16" s="3" t="s">
        <v>1305</v>
      </c>
      <c r="K16" s="3" t="s">
        <v>1358</v>
      </c>
      <c r="L16" s="3" t="s">
        <v>1359</v>
      </c>
      <c r="M16" s="3" t="s">
        <v>1260</v>
      </c>
      <c r="N16" s="3">
        <v>120</v>
      </c>
      <c r="O16" s="3" t="s">
        <v>1360</v>
      </c>
      <c r="P16" s="3" t="s">
        <v>1361</v>
      </c>
      <c r="Q16" s="3" t="s">
        <v>1263</v>
      </c>
      <c r="R16" s="3" t="s">
        <v>1264</v>
      </c>
      <c r="S16" s="3" t="s">
        <v>1265</v>
      </c>
      <c r="T16" s="3" t="s">
        <v>1266</v>
      </c>
      <c r="U16" s="3" t="s">
        <v>1267</v>
      </c>
      <c r="V16" s="3" t="s">
        <v>1268</v>
      </c>
      <c r="W16" s="3" t="s">
        <v>1269</v>
      </c>
      <c r="X16" s="26">
        <v>1.8</v>
      </c>
      <c r="Y16" s="3" t="s">
        <v>1270</v>
      </c>
      <c r="Z16" s="3" t="s">
        <v>66</v>
      </c>
      <c r="AA16" s="5" t="s">
        <v>1362</v>
      </c>
      <c r="AB16" s="5" t="s">
        <v>1363</v>
      </c>
      <c r="AC16" s="3" t="s">
        <v>1364</v>
      </c>
      <c r="AD16" s="3" t="s">
        <v>1274</v>
      </c>
      <c r="AE16" s="3" t="s">
        <v>1275</v>
      </c>
    </row>
    <row r="17" spans="1:31" ht="56">
      <c r="A17" s="3" t="s">
        <v>1365</v>
      </c>
      <c r="B17" s="3" t="s">
        <v>436</v>
      </c>
      <c r="C17" s="3" t="s">
        <v>1366</v>
      </c>
      <c r="D17" s="3" t="s">
        <v>1254</v>
      </c>
      <c r="E17" s="3" t="s">
        <v>1367</v>
      </c>
      <c r="F17" s="3" t="s">
        <v>1256</v>
      </c>
      <c r="G17" s="15">
        <v>24.599318</v>
      </c>
      <c r="H17" s="15">
        <v>120.99928</v>
      </c>
      <c r="I17" s="3">
        <v>5</v>
      </c>
      <c r="J17" s="3" t="s">
        <v>1257</v>
      </c>
      <c r="K17" s="3" t="s">
        <v>1368</v>
      </c>
      <c r="L17" s="3" t="s">
        <v>1369</v>
      </c>
      <c r="M17" s="3" t="s">
        <v>1260</v>
      </c>
      <c r="N17" s="3">
        <v>200</v>
      </c>
      <c r="O17" s="3" t="s">
        <v>1261</v>
      </c>
      <c r="P17" s="3" t="s">
        <v>1262</v>
      </c>
      <c r="Q17" s="3" t="s">
        <v>1263</v>
      </c>
      <c r="R17" s="3" t="s">
        <v>1264</v>
      </c>
      <c r="S17" s="3" t="s">
        <v>1265</v>
      </c>
      <c r="T17" s="3" t="s">
        <v>1266</v>
      </c>
      <c r="U17" s="3" t="s">
        <v>1267</v>
      </c>
      <c r="V17" s="3" t="s">
        <v>1268</v>
      </c>
      <c r="W17" s="3" t="s">
        <v>1269</v>
      </c>
      <c r="X17" s="26">
        <v>1.8</v>
      </c>
      <c r="Y17" s="3" t="s">
        <v>1270</v>
      </c>
      <c r="Z17" s="3" t="s">
        <v>29</v>
      </c>
      <c r="AA17" s="5" t="s">
        <v>1370</v>
      </c>
      <c r="AB17" s="5" t="s">
        <v>1371</v>
      </c>
      <c r="AC17" s="3" t="s">
        <v>1273</v>
      </c>
      <c r="AD17" s="3" t="s">
        <v>1274</v>
      </c>
      <c r="AE17" s="3" t="s">
        <v>1275</v>
      </c>
    </row>
    <row r="18" spans="1:31" ht="56">
      <c r="A18" s="3" t="s">
        <v>1372</v>
      </c>
      <c r="B18" s="3" t="s">
        <v>436</v>
      </c>
      <c r="C18" s="3" t="s">
        <v>1373</v>
      </c>
      <c r="D18" s="3" t="s">
        <v>1254</v>
      </c>
      <c r="E18" s="3" t="s">
        <v>1374</v>
      </c>
      <c r="F18" s="3" t="s">
        <v>1256</v>
      </c>
      <c r="G18" s="15">
        <v>24.457698000000001</v>
      </c>
      <c r="H18" s="15">
        <v>120.87562</v>
      </c>
      <c r="I18" s="3">
        <v>4</v>
      </c>
      <c r="J18" s="3" t="s">
        <v>1305</v>
      </c>
      <c r="K18" s="3" t="s">
        <v>1375</v>
      </c>
      <c r="L18" s="3" t="s">
        <v>1376</v>
      </c>
      <c r="M18" s="3" t="s">
        <v>1260</v>
      </c>
      <c r="N18" s="3">
        <v>200</v>
      </c>
      <c r="O18" s="3" t="s">
        <v>1261</v>
      </c>
      <c r="P18" s="3" t="s">
        <v>1262</v>
      </c>
      <c r="Q18" s="3" t="s">
        <v>1263</v>
      </c>
      <c r="R18" s="3" t="s">
        <v>1264</v>
      </c>
      <c r="S18" s="3" t="s">
        <v>1265</v>
      </c>
      <c r="T18" s="3" t="s">
        <v>1266</v>
      </c>
      <c r="U18" s="3" t="s">
        <v>1267</v>
      </c>
      <c r="V18" s="3" t="s">
        <v>1268</v>
      </c>
      <c r="W18" s="3" t="s">
        <v>1269</v>
      </c>
      <c r="X18" s="26">
        <v>1.8</v>
      </c>
      <c r="Y18" s="3" t="s">
        <v>1270</v>
      </c>
      <c r="Z18" s="3" t="s">
        <v>66</v>
      </c>
      <c r="AA18" s="5" t="s">
        <v>1377</v>
      </c>
      <c r="AB18" s="5" t="s">
        <v>1378</v>
      </c>
      <c r="AC18" s="3" t="s">
        <v>1273</v>
      </c>
      <c r="AD18" s="3" t="s">
        <v>1274</v>
      </c>
      <c r="AE18" s="3" t="s">
        <v>1275</v>
      </c>
    </row>
    <row r="19" spans="1:31" ht="56">
      <c r="A19" s="3" t="s">
        <v>1379</v>
      </c>
      <c r="B19" s="3" t="s">
        <v>559</v>
      </c>
      <c r="C19" s="3" t="s">
        <v>588</v>
      </c>
      <c r="D19" s="3" t="s">
        <v>1254</v>
      </c>
      <c r="E19" s="3" t="s">
        <v>1380</v>
      </c>
      <c r="F19" s="3" t="s">
        <v>1256</v>
      </c>
      <c r="G19" s="15">
        <v>24.055906</v>
      </c>
      <c r="H19" s="15">
        <v>120.43289</v>
      </c>
      <c r="I19" s="3">
        <v>5</v>
      </c>
      <c r="J19" s="3" t="s">
        <v>1257</v>
      </c>
      <c r="K19" s="3" t="s">
        <v>1381</v>
      </c>
      <c r="L19" s="3" t="s">
        <v>1382</v>
      </c>
      <c r="M19" s="3" t="s">
        <v>1260</v>
      </c>
      <c r="N19" s="3">
        <v>200</v>
      </c>
      <c r="O19" s="3" t="s">
        <v>1261</v>
      </c>
      <c r="P19" s="3" t="s">
        <v>1262</v>
      </c>
      <c r="Q19" s="3" t="s">
        <v>1263</v>
      </c>
      <c r="R19" s="3" t="s">
        <v>1264</v>
      </c>
      <c r="S19" s="3" t="s">
        <v>1265</v>
      </c>
      <c r="T19" s="3" t="s">
        <v>1266</v>
      </c>
      <c r="U19" s="3" t="s">
        <v>1267</v>
      </c>
      <c r="V19" s="3" t="s">
        <v>1268</v>
      </c>
      <c r="W19" s="3" t="s">
        <v>1269</v>
      </c>
      <c r="X19" s="26">
        <v>1.8</v>
      </c>
      <c r="Y19" s="3" t="s">
        <v>1270</v>
      </c>
      <c r="Z19" s="3" t="s">
        <v>29</v>
      </c>
      <c r="AA19" s="5" t="s">
        <v>1383</v>
      </c>
      <c r="AB19" s="5" t="s">
        <v>1384</v>
      </c>
      <c r="AC19" s="3" t="s">
        <v>1273</v>
      </c>
      <c r="AD19" s="3" t="s">
        <v>1274</v>
      </c>
      <c r="AE19" s="3" t="s">
        <v>1275</v>
      </c>
    </row>
    <row r="20" spans="1:31" ht="56">
      <c r="A20" s="3" t="s">
        <v>1385</v>
      </c>
      <c r="B20" s="3" t="s">
        <v>643</v>
      </c>
      <c r="C20" s="3" t="s">
        <v>644</v>
      </c>
      <c r="D20" s="3" t="s">
        <v>1254</v>
      </c>
      <c r="E20" s="3" t="s">
        <v>1386</v>
      </c>
      <c r="F20" s="3" t="s">
        <v>1256</v>
      </c>
      <c r="G20" s="15">
        <v>23.708506</v>
      </c>
      <c r="H20" s="15">
        <v>120.54183</v>
      </c>
      <c r="I20" s="3">
        <v>4</v>
      </c>
      <c r="J20" s="3" t="s">
        <v>1305</v>
      </c>
      <c r="K20" s="3" t="s">
        <v>1387</v>
      </c>
      <c r="L20" s="3" t="s">
        <v>1388</v>
      </c>
      <c r="M20" s="3" t="s">
        <v>1260</v>
      </c>
      <c r="N20" s="3">
        <v>200</v>
      </c>
      <c r="O20" s="3" t="s">
        <v>1261</v>
      </c>
      <c r="P20" s="3" t="s">
        <v>1262</v>
      </c>
      <c r="Q20" s="3" t="s">
        <v>1263</v>
      </c>
      <c r="R20" s="3" t="s">
        <v>1264</v>
      </c>
      <c r="S20" s="3" t="s">
        <v>1265</v>
      </c>
      <c r="T20" s="3" t="s">
        <v>1266</v>
      </c>
      <c r="U20" s="3" t="s">
        <v>1267</v>
      </c>
      <c r="V20" s="3" t="s">
        <v>1268</v>
      </c>
      <c r="W20" s="3" t="s">
        <v>1269</v>
      </c>
      <c r="X20" s="26">
        <v>1.8</v>
      </c>
      <c r="Y20" s="3" t="s">
        <v>1270</v>
      </c>
      <c r="Z20" s="3" t="s">
        <v>66</v>
      </c>
      <c r="AA20" s="5" t="s">
        <v>1389</v>
      </c>
      <c r="AB20" s="5" t="s">
        <v>1390</v>
      </c>
      <c r="AC20" s="3" t="s">
        <v>1273</v>
      </c>
      <c r="AD20" s="3" t="s">
        <v>1274</v>
      </c>
      <c r="AE20" s="3" t="s">
        <v>1275</v>
      </c>
    </row>
    <row r="21" spans="1:31" ht="70">
      <c r="A21" s="3" t="s">
        <v>1391</v>
      </c>
      <c r="B21" s="3" t="s">
        <v>685</v>
      </c>
      <c r="C21" s="3" t="s">
        <v>356</v>
      </c>
      <c r="D21" s="3" t="s">
        <v>1254</v>
      </c>
      <c r="E21" s="3" t="s">
        <v>1392</v>
      </c>
      <c r="F21" s="3" t="s">
        <v>1256</v>
      </c>
      <c r="G21" s="15">
        <v>23.479481</v>
      </c>
      <c r="H21" s="15">
        <v>120.44969</v>
      </c>
      <c r="I21" s="3">
        <v>4</v>
      </c>
      <c r="J21" s="3" t="s">
        <v>1305</v>
      </c>
      <c r="K21" s="3" t="s">
        <v>1393</v>
      </c>
      <c r="L21" s="3" t="s">
        <v>1394</v>
      </c>
      <c r="M21" s="3" t="s">
        <v>1260</v>
      </c>
      <c r="N21" s="3">
        <v>200</v>
      </c>
      <c r="O21" s="3" t="s">
        <v>1261</v>
      </c>
      <c r="P21" s="3" t="s">
        <v>1262</v>
      </c>
      <c r="Q21" s="3" t="s">
        <v>1263</v>
      </c>
      <c r="R21" s="3" t="s">
        <v>1264</v>
      </c>
      <c r="S21" s="3" t="s">
        <v>1265</v>
      </c>
      <c r="T21" s="3" t="s">
        <v>1266</v>
      </c>
      <c r="U21" s="3" t="s">
        <v>1267</v>
      </c>
      <c r="V21" s="3" t="s">
        <v>1268</v>
      </c>
      <c r="W21" s="3" t="s">
        <v>1269</v>
      </c>
      <c r="X21" s="26">
        <v>1.8</v>
      </c>
      <c r="Y21" s="3" t="s">
        <v>1270</v>
      </c>
      <c r="Z21" s="3" t="s">
        <v>66</v>
      </c>
      <c r="AA21" s="5" t="s">
        <v>1395</v>
      </c>
      <c r="AB21" s="5" t="s">
        <v>1396</v>
      </c>
      <c r="AC21" s="3" t="s">
        <v>1273</v>
      </c>
      <c r="AD21" s="3" t="s">
        <v>1274</v>
      </c>
      <c r="AE21" s="3" t="s">
        <v>1275</v>
      </c>
    </row>
    <row r="22" spans="1:31" ht="70">
      <c r="A22" s="3" t="s">
        <v>1397</v>
      </c>
      <c r="B22" s="3" t="s">
        <v>750</v>
      </c>
      <c r="C22" s="3" t="s">
        <v>765</v>
      </c>
      <c r="D22" s="3" t="s">
        <v>1254</v>
      </c>
      <c r="E22" s="3" t="s">
        <v>1398</v>
      </c>
      <c r="F22" s="3" t="s">
        <v>1256</v>
      </c>
      <c r="G22" s="15">
        <v>23.001508999999999</v>
      </c>
      <c r="H22" s="15">
        <v>120.16061999999999</v>
      </c>
      <c r="I22" s="3">
        <v>5</v>
      </c>
      <c r="J22" s="3" t="s">
        <v>1257</v>
      </c>
      <c r="K22" s="3" t="s">
        <v>1399</v>
      </c>
      <c r="L22" s="3" t="s">
        <v>1400</v>
      </c>
      <c r="M22" s="3" t="s">
        <v>1260</v>
      </c>
      <c r="N22" s="3">
        <v>200</v>
      </c>
      <c r="O22" s="3" t="s">
        <v>1261</v>
      </c>
      <c r="P22" s="3" t="s">
        <v>1262</v>
      </c>
      <c r="Q22" s="3" t="s">
        <v>1263</v>
      </c>
      <c r="R22" s="3" t="s">
        <v>1264</v>
      </c>
      <c r="S22" s="3" t="s">
        <v>1265</v>
      </c>
      <c r="T22" s="3" t="s">
        <v>1266</v>
      </c>
      <c r="U22" s="3" t="s">
        <v>1267</v>
      </c>
      <c r="V22" s="3" t="s">
        <v>1268</v>
      </c>
      <c r="W22" s="3" t="s">
        <v>1269</v>
      </c>
      <c r="X22" s="26">
        <v>1.8</v>
      </c>
      <c r="Y22" s="3" t="s">
        <v>1270</v>
      </c>
      <c r="Z22" s="3" t="s">
        <v>29</v>
      </c>
      <c r="AA22" s="5" t="s">
        <v>1401</v>
      </c>
      <c r="AB22" s="5" t="s">
        <v>1402</v>
      </c>
      <c r="AC22" s="3" t="s">
        <v>1273</v>
      </c>
      <c r="AD22" s="3" t="s">
        <v>1274</v>
      </c>
      <c r="AE22" s="3" t="s">
        <v>1275</v>
      </c>
    </row>
    <row r="23" spans="1:31" ht="70">
      <c r="A23" s="3" t="s">
        <v>1403</v>
      </c>
      <c r="B23" s="3" t="s">
        <v>750</v>
      </c>
      <c r="C23" s="3" t="s">
        <v>751</v>
      </c>
      <c r="D23" s="3" t="s">
        <v>1254</v>
      </c>
      <c r="E23" s="3" t="s">
        <v>1404</v>
      </c>
      <c r="F23" s="3" t="s">
        <v>1256</v>
      </c>
      <c r="G23" s="15">
        <v>22.997478000000001</v>
      </c>
      <c r="H23" s="15">
        <v>120.20254</v>
      </c>
      <c r="I23" s="3">
        <v>4</v>
      </c>
      <c r="J23" s="3" t="s">
        <v>1305</v>
      </c>
      <c r="K23" s="3" t="s">
        <v>1405</v>
      </c>
      <c r="L23" s="3" t="s">
        <v>1406</v>
      </c>
      <c r="M23" s="3" t="s">
        <v>1260</v>
      </c>
      <c r="N23" s="3">
        <v>200</v>
      </c>
      <c r="O23" s="3" t="s">
        <v>1261</v>
      </c>
      <c r="P23" s="3" t="s">
        <v>1262</v>
      </c>
      <c r="Q23" s="3" t="s">
        <v>1263</v>
      </c>
      <c r="R23" s="3" t="s">
        <v>1264</v>
      </c>
      <c r="S23" s="3" t="s">
        <v>1265</v>
      </c>
      <c r="T23" s="3" t="s">
        <v>1266</v>
      </c>
      <c r="U23" s="3" t="s">
        <v>1267</v>
      </c>
      <c r="V23" s="3" t="s">
        <v>1268</v>
      </c>
      <c r="W23" s="3" t="s">
        <v>1269</v>
      </c>
      <c r="X23" s="26">
        <v>1.8</v>
      </c>
      <c r="Y23" s="3" t="s">
        <v>1270</v>
      </c>
      <c r="Z23" s="3" t="s">
        <v>66</v>
      </c>
      <c r="AA23" s="5" t="s">
        <v>1407</v>
      </c>
      <c r="AB23" s="5" t="s">
        <v>1408</v>
      </c>
      <c r="AC23" s="3" t="s">
        <v>1273</v>
      </c>
      <c r="AD23" s="3" t="s">
        <v>1274</v>
      </c>
      <c r="AE23" s="3" t="s">
        <v>1275</v>
      </c>
    </row>
    <row r="24" spans="1:31" ht="56">
      <c r="A24" s="3" t="s">
        <v>1409</v>
      </c>
      <c r="B24" s="3" t="s">
        <v>914</v>
      </c>
      <c r="C24" s="3" t="s">
        <v>943</v>
      </c>
      <c r="D24" s="3" t="s">
        <v>1254</v>
      </c>
      <c r="E24" s="3" t="s">
        <v>1410</v>
      </c>
      <c r="F24" s="3" t="s">
        <v>1256</v>
      </c>
      <c r="G24" s="15">
        <v>22.000859999999999</v>
      </c>
      <c r="H24" s="15">
        <v>120.74478000000001</v>
      </c>
      <c r="I24" s="3">
        <v>5</v>
      </c>
      <c r="J24" s="3" t="s">
        <v>1257</v>
      </c>
      <c r="K24" s="3" t="s">
        <v>1411</v>
      </c>
      <c r="L24" s="3" t="s">
        <v>1412</v>
      </c>
      <c r="M24" s="3" t="s">
        <v>1260</v>
      </c>
      <c r="N24" s="3">
        <v>200</v>
      </c>
      <c r="O24" s="3" t="s">
        <v>1261</v>
      </c>
      <c r="P24" s="3" t="s">
        <v>1262</v>
      </c>
      <c r="Q24" s="3" t="s">
        <v>1263</v>
      </c>
      <c r="R24" s="3" t="s">
        <v>1264</v>
      </c>
      <c r="S24" s="3" t="s">
        <v>1265</v>
      </c>
      <c r="T24" s="3" t="s">
        <v>1266</v>
      </c>
      <c r="U24" s="3" t="s">
        <v>1267</v>
      </c>
      <c r="V24" s="3" t="s">
        <v>1268</v>
      </c>
      <c r="W24" s="3" t="s">
        <v>1269</v>
      </c>
      <c r="X24" s="26">
        <v>1.8</v>
      </c>
      <c r="Y24" s="3" t="s">
        <v>1270</v>
      </c>
      <c r="Z24" s="3" t="s">
        <v>29</v>
      </c>
      <c r="AA24" s="5" t="s">
        <v>1413</v>
      </c>
      <c r="AB24" s="5" t="s">
        <v>1414</v>
      </c>
      <c r="AC24" s="3" t="s">
        <v>1273</v>
      </c>
      <c r="AD24" s="3" t="s">
        <v>1274</v>
      </c>
      <c r="AE24" s="3" t="s">
        <v>1275</v>
      </c>
    </row>
    <row r="25" spans="1:31" ht="56">
      <c r="A25" s="3" t="s">
        <v>1415</v>
      </c>
      <c r="B25" s="3" t="s">
        <v>1087</v>
      </c>
      <c r="C25" s="3" t="s">
        <v>1088</v>
      </c>
      <c r="D25" s="3" t="s">
        <v>1254</v>
      </c>
      <c r="E25" s="3" t="s">
        <v>1416</v>
      </c>
      <c r="F25" s="3" t="s">
        <v>1256</v>
      </c>
      <c r="G25" s="15">
        <v>23.564864</v>
      </c>
      <c r="H25" s="15">
        <v>119.56487</v>
      </c>
      <c r="I25" s="3">
        <v>5</v>
      </c>
      <c r="J25" s="3" t="s">
        <v>1257</v>
      </c>
      <c r="K25" s="3" t="s">
        <v>1417</v>
      </c>
      <c r="L25" s="3" t="s">
        <v>1418</v>
      </c>
      <c r="M25" s="3" t="s">
        <v>1260</v>
      </c>
      <c r="N25" s="3">
        <v>200</v>
      </c>
      <c r="O25" s="3" t="s">
        <v>1261</v>
      </c>
      <c r="P25" s="3" t="s">
        <v>1262</v>
      </c>
      <c r="Q25" s="3" t="s">
        <v>1263</v>
      </c>
      <c r="R25" s="3" t="s">
        <v>1264</v>
      </c>
      <c r="S25" s="3" t="s">
        <v>1265</v>
      </c>
      <c r="T25" s="3" t="s">
        <v>1266</v>
      </c>
      <c r="U25" s="3" t="s">
        <v>1267</v>
      </c>
      <c r="V25" s="3" t="s">
        <v>1268</v>
      </c>
      <c r="W25" s="3" t="s">
        <v>1269</v>
      </c>
      <c r="X25" s="26">
        <v>1.8</v>
      </c>
      <c r="Y25" s="3" t="s">
        <v>1270</v>
      </c>
      <c r="Z25" s="3" t="s">
        <v>29</v>
      </c>
      <c r="AA25" s="5" t="s">
        <v>1419</v>
      </c>
      <c r="AB25" s="5" t="s">
        <v>1420</v>
      </c>
      <c r="AC25" s="3" t="s">
        <v>1273</v>
      </c>
      <c r="AD25" s="3" t="s">
        <v>1274</v>
      </c>
      <c r="AE25" s="3" t="s">
        <v>1275</v>
      </c>
    </row>
    <row r="26" spans="1:31" ht="70">
      <c r="A26" s="3" t="s">
        <v>1421</v>
      </c>
      <c r="B26" s="3" t="s">
        <v>1120</v>
      </c>
      <c r="C26" s="3" t="s">
        <v>1121</v>
      </c>
      <c r="D26" s="3" t="s">
        <v>1254</v>
      </c>
      <c r="E26" s="3" t="s">
        <v>1422</v>
      </c>
      <c r="F26" s="3" t="s">
        <v>1256</v>
      </c>
      <c r="G26" s="15">
        <v>24.433119000000001</v>
      </c>
      <c r="H26" s="15">
        <v>118.32016</v>
      </c>
      <c r="I26" s="3">
        <v>5</v>
      </c>
      <c r="J26" s="3" t="s">
        <v>1257</v>
      </c>
      <c r="K26" s="3" t="s">
        <v>1423</v>
      </c>
      <c r="L26" s="3" t="s">
        <v>1424</v>
      </c>
      <c r="M26" s="3" t="s">
        <v>1260</v>
      </c>
      <c r="N26" s="3">
        <v>200</v>
      </c>
      <c r="O26" s="3" t="s">
        <v>1261</v>
      </c>
      <c r="P26" s="3" t="s">
        <v>1262</v>
      </c>
      <c r="Q26" s="3" t="s">
        <v>1263</v>
      </c>
      <c r="R26" s="3" t="s">
        <v>1264</v>
      </c>
      <c r="S26" s="3" t="s">
        <v>1265</v>
      </c>
      <c r="T26" s="3" t="s">
        <v>1266</v>
      </c>
      <c r="U26" s="3" t="s">
        <v>1267</v>
      </c>
      <c r="V26" s="3" t="s">
        <v>1268</v>
      </c>
      <c r="W26" s="3" t="s">
        <v>1269</v>
      </c>
      <c r="X26" s="26">
        <v>1.8</v>
      </c>
      <c r="Y26" s="3" t="s">
        <v>1270</v>
      </c>
      <c r="Z26" s="3" t="s">
        <v>29</v>
      </c>
      <c r="AA26" s="5" t="s">
        <v>1425</v>
      </c>
      <c r="AB26" s="5" t="s">
        <v>1426</v>
      </c>
      <c r="AC26" s="3" t="s">
        <v>1273</v>
      </c>
      <c r="AD26" s="3" t="s">
        <v>1274</v>
      </c>
      <c r="AE26" s="3" t="s">
        <v>1275</v>
      </c>
    </row>
    <row r="27" spans="1:31" ht="56">
      <c r="A27" s="3" t="s">
        <v>1427</v>
      </c>
      <c r="B27" s="3" t="s">
        <v>1154</v>
      </c>
      <c r="C27" s="3" t="s">
        <v>1155</v>
      </c>
      <c r="D27" s="3" t="s">
        <v>1254</v>
      </c>
      <c r="E27" s="3" t="s">
        <v>1428</v>
      </c>
      <c r="F27" s="3" t="s">
        <v>1256</v>
      </c>
      <c r="G27" s="15">
        <v>26.224782000000001</v>
      </c>
      <c r="H27" s="15">
        <v>119.98366</v>
      </c>
      <c r="I27" s="3">
        <v>5</v>
      </c>
      <c r="J27" s="3" t="s">
        <v>1257</v>
      </c>
      <c r="K27" s="3" t="s">
        <v>1429</v>
      </c>
      <c r="L27" s="3" t="s">
        <v>1430</v>
      </c>
      <c r="M27" s="3" t="s">
        <v>1260</v>
      </c>
      <c r="N27" s="3">
        <v>200</v>
      </c>
      <c r="O27" s="3" t="s">
        <v>1261</v>
      </c>
      <c r="P27" s="3" t="s">
        <v>1262</v>
      </c>
      <c r="Q27" s="3" t="s">
        <v>1263</v>
      </c>
      <c r="R27" s="3" t="s">
        <v>1264</v>
      </c>
      <c r="S27" s="3" t="s">
        <v>1265</v>
      </c>
      <c r="T27" s="3" t="s">
        <v>1266</v>
      </c>
      <c r="U27" s="3" t="s">
        <v>1267</v>
      </c>
      <c r="V27" s="3" t="s">
        <v>1268</v>
      </c>
      <c r="W27" s="3" t="s">
        <v>1269</v>
      </c>
      <c r="X27" s="26">
        <v>1.8</v>
      </c>
      <c r="Y27" s="3" t="s">
        <v>1270</v>
      </c>
      <c r="Z27" s="3" t="s">
        <v>29</v>
      </c>
      <c r="AA27" s="5" t="s">
        <v>1431</v>
      </c>
      <c r="AB27" s="5" t="s">
        <v>1432</v>
      </c>
      <c r="AC27" s="3" t="s">
        <v>1273</v>
      </c>
      <c r="AD27" s="3" t="s">
        <v>1274</v>
      </c>
      <c r="AE27" s="3" t="s">
        <v>1275</v>
      </c>
    </row>
  </sheetData>
  <mergeCells count="1">
    <mergeCell ref="A1:AE1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7"/>
  <sheetViews>
    <sheetView workbookViewId="0"/>
  </sheetViews>
  <sheetFormatPr defaultRowHeight="14"/>
  <cols>
    <col min="1" max="1" width="19" customWidth="1"/>
    <col min="2" max="2" width="10" customWidth="1"/>
    <col min="3" max="3" width="11" customWidth="1"/>
    <col min="4" max="4" width="19" customWidth="1"/>
    <col min="5" max="5" width="31" customWidth="1"/>
    <col min="6" max="6" width="30" customWidth="1"/>
    <col min="7" max="8" width="16" customWidth="1"/>
    <col min="9" max="9" width="8" customWidth="1"/>
    <col min="10" max="10" width="12" customWidth="1"/>
    <col min="11" max="11" width="38" customWidth="1"/>
    <col min="12" max="12" width="48" customWidth="1"/>
    <col min="13" max="13" width="40" customWidth="1"/>
    <col min="14" max="14" width="15" customWidth="1"/>
    <col min="15" max="15" width="27" customWidth="1"/>
    <col min="16" max="16" width="48" customWidth="1"/>
    <col min="17" max="17" width="35" customWidth="1"/>
    <col min="18" max="18" width="34" customWidth="1"/>
    <col min="19" max="20" width="12" customWidth="1"/>
    <col min="21" max="21" width="25" customWidth="1"/>
    <col min="22" max="22" width="13" customWidth="1"/>
    <col min="23" max="23" width="16" customWidth="1"/>
    <col min="24" max="24" width="15" customWidth="1"/>
    <col min="25" max="25" width="42" customWidth="1"/>
    <col min="26" max="26" width="16" customWidth="1"/>
    <col min="27" max="27" width="48" customWidth="1"/>
    <col min="28" max="28" width="42" customWidth="1"/>
    <col min="29" max="29" width="28" customWidth="1"/>
    <col min="30" max="30" width="42" customWidth="1"/>
    <col min="31" max="31" width="38" customWidth="1"/>
  </cols>
  <sheetData>
    <row r="1" spans="1:31" ht="18">
      <c r="A1" s="44" t="s">
        <v>2251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3"/>
    </row>
    <row r="2" spans="1:31">
      <c r="A2" s="29" t="s">
        <v>1225</v>
      </c>
      <c r="B2" s="29" t="s">
        <v>2</v>
      </c>
      <c r="C2" s="29" t="s">
        <v>3</v>
      </c>
      <c r="D2" s="29" t="s">
        <v>5</v>
      </c>
      <c r="E2" s="29" t="s">
        <v>1226</v>
      </c>
      <c r="F2" s="29" t="s">
        <v>1227</v>
      </c>
      <c r="G2" s="29" t="s">
        <v>1228</v>
      </c>
      <c r="H2" s="29" t="s">
        <v>1229</v>
      </c>
      <c r="I2" s="29" t="s">
        <v>1230</v>
      </c>
      <c r="J2" s="29" t="s">
        <v>1231</v>
      </c>
      <c r="K2" s="29" t="s">
        <v>1232</v>
      </c>
      <c r="L2" s="29" t="s">
        <v>1233</v>
      </c>
      <c r="M2" s="29" t="s">
        <v>1234</v>
      </c>
      <c r="N2" s="29" t="s">
        <v>1235</v>
      </c>
      <c r="O2" s="29" t="s">
        <v>1236</v>
      </c>
      <c r="P2" s="29" t="s">
        <v>1237</v>
      </c>
      <c r="Q2" s="29" t="s">
        <v>1238</v>
      </c>
      <c r="R2" s="29" t="s">
        <v>1239</v>
      </c>
      <c r="S2" s="29" t="s">
        <v>1240</v>
      </c>
      <c r="T2" s="29" t="s">
        <v>1241</v>
      </c>
      <c r="U2" s="29" t="s">
        <v>1242</v>
      </c>
      <c r="V2" s="29" t="s">
        <v>1243</v>
      </c>
      <c r="W2" s="29" t="s">
        <v>1244</v>
      </c>
      <c r="X2" s="29" t="s">
        <v>1245</v>
      </c>
      <c r="Y2" s="29" t="s">
        <v>1246</v>
      </c>
      <c r="Z2" s="29" t="s">
        <v>7</v>
      </c>
      <c r="AA2" s="29" t="s">
        <v>1247</v>
      </c>
      <c r="AB2" s="29" t="s">
        <v>1248</v>
      </c>
      <c r="AC2" s="29" t="s">
        <v>1249</v>
      </c>
      <c r="AD2" s="29" t="s">
        <v>1250</v>
      </c>
      <c r="AE2" t="s">
        <v>1251</v>
      </c>
    </row>
    <row r="3" spans="1:31" ht="56">
      <c r="A3" s="3" t="s">
        <v>1433</v>
      </c>
      <c r="B3" s="3" t="s">
        <v>151</v>
      </c>
      <c r="C3" s="3" t="s">
        <v>1434</v>
      </c>
      <c r="D3" s="3" t="s">
        <v>1435</v>
      </c>
      <c r="E3" s="3" t="s">
        <v>1436</v>
      </c>
      <c r="F3" s="3" t="s">
        <v>1437</v>
      </c>
      <c r="G3" s="15">
        <v>25.003945000000002</v>
      </c>
      <c r="H3" s="15">
        <v>121.95834000000001</v>
      </c>
      <c r="I3" s="3">
        <v>5</v>
      </c>
      <c r="J3" s="3" t="s">
        <v>1257</v>
      </c>
      <c r="K3" s="3" t="s">
        <v>1438</v>
      </c>
      <c r="L3" s="3" t="s">
        <v>1439</v>
      </c>
      <c r="M3" s="3" t="s">
        <v>1440</v>
      </c>
      <c r="N3" s="3">
        <v>120</v>
      </c>
      <c r="O3" s="3" t="s">
        <v>1360</v>
      </c>
      <c r="P3" s="3" t="s">
        <v>1361</v>
      </c>
      <c r="Q3" s="3" t="s">
        <v>1263</v>
      </c>
      <c r="R3" s="3" t="s">
        <v>1264</v>
      </c>
      <c r="S3" s="3" t="s">
        <v>1265</v>
      </c>
      <c r="T3" s="3" t="s">
        <v>1266</v>
      </c>
      <c r="U3" s="3" t="s">
        <v>1441</v>
      </c>
      <c r="V3" s="3" t="s">
        <v>1442</v>
      </c>
      <c r="W3" s="3" t="s">
        <v>1443</v>
      </c>
      <c r="X3" s="26">
        <v>2.5</v>
      </c>
      <c r="Y3" s="3" t="s">
        <v>1444</v>
      </c>
      <c r="Z3" s="3" t="s">
        <v>29</v>
      </c>
      <c r="AA3" s="5" t="s">
        <v>1445</v>
      </c>
      <c r="AB3" s="5" t="s">
        <v>1446</v>
      </c>
      <c r="AC3" s="3" t="s">
        <v>1447</v>
      </c>
      <c r="AD3" s="3" t="s">
        <v>1274</v>
      </c>
      <c r="AE3" s="3" t="s">
        <v>1275</v>
      </c>
    </row>
    <row r="4" spans="1:31" ht="70">
      <c r="A4" s="3" t="s">
        <v>1448</v>
      </c>
      <c r="B4" s="3" t="s">
        <v>151</v>
      </c>
      <c r="C4" s="3" t="s">
        <v>1449</v>
      </c>
      <c r="D4" s="3" t="s">
        <v>1435</v>
      </c>
      <c r="E4" s="3" t="s">
        <v>1450</v>
      </c>
      <c r="F4" s="3" t="s">
        <v>1437</v>
      </c>
      <c r="G4" s="15">
        <v>25.047388999999999</v>
      </c>
      <c r="H4" s="15">
        <v>121.78285</v>
      </c>
      <c r="I4" s="3">
        <v>5</v>
      </c>
      <c r="J4" s="3" t="s">
        <v>1257</v>
      </c>
      <c r="K4" s="3" t="s">
        <v>1451</v>
      </c>
      <c r="L4" s="3" t="s">
        <v>1452</v>
      </c>
      <c r="M4" s="3" t="s">
        <v>1440</v>
      </c>
      <c r="N4" s="3">
        <v>120</v>
      </c>
      <c r="O4" s="3" t="s">
        <v>1360</v>
      </c>
      <c r="P4" s="3" t="s">
        <v>1361</v>
      </c>
      <c r="Q4" s="3" t="s">
        <v>1263</v>
      </c>
      <c r="R4" s="3" t="s">
        <v>1264</v>
      </c>
      <c r="S4" s="3" t="s">
        <v>1265</v>
      </c>
      <c r="T4" s="3" t="s">
        <v>1266</v>
      </c>
      <c r="U4" s="3" t="s">
        <v>1441</v>
      </c>
      <c r="V4" s="3" t="s">
        <v>1442</v>
      </c>
      <c r="W4" s="3" t="s">
        <v>1443</v>
      </c>
      <c r="X4" s="26">
        <v>2.5</v>
      </c>
      <c r="Y4" s="3" t="s">
        <v>1444</v>
      </c>
      <c r="Z4" s="3" t="s">
        <v>29</v>
      </c>
      <c r="AA4" s="5" t="s">
        <v>1453</v>
      </c>
      <c r="AB4" s="5" t="s">
        <v>1454</v>
      </c>
      <c r="AC4" s="3" t="s">
        <v>1447</v>
      </c>
      <c r="AD4" s="3" t="s">
        <v>1274</v>
      </c>
      <c r="AE4" s="3" t="s">
        <v>1275</v>
      </c>
    </row>
    <row r="5" spans="1:31" ht="70">
      <c r="A5" s="3" t="s">
        <v>1455</v>
      </c>
      <c r="B5" s="3" t="s">
        <v>151</v>
      </c>
      <c r="C5" s="3" t="s">
        <v>1449</v>
      </c>
      <c r="D5" s="3" t="s">
        <v>1435</v>
      </c>
      <c r="E5" s="3" t="s">
        <v>1456</v>
      </c>
      <c r="F5" s="3" t="s">
        <v>1437</v>
      </c>
      <c r="G5" s="15">
        <v>25.026689000000001</v>
      </c>
      <c r="H5" s="15">
        <v>121.73819</v>
      </c>
      <c r="I5" s="3">
        <v>4</v>
      </c>
      <c r="J5" s="3" t="s">
        <v>1305</v>
      </c>
      <c r="K5" s="3" t="s">
        <v>1457</v>
      </c>
      <c r="L5" s="3" t="s">
        <v>1458</v>
      </c>
      <c r="M5" s="3" t="s">
        <v>1440</v>
      </c>
      <c r="N5" s="3">
        <v>200</v>
      </c>
      <c r="O5" s="3" t="s">
        <v>1261</v>
      </c>
      <c r="P5" s="3" t="s">
        <v>1459</v>
      </c>
      <c r="Q5" s="3" t="s">
        <v>1263</v>
      </c>
      <c r="R5" s="3" t="s">
        <v>1264</v>
      </c>
      <c r="S5" s="3" t="s">
        <v>1265</v>
      </c>
      <c r="T5" s="3" t="s">
        <v>1266</v>
      </c>
      <c r="U5" s="3" t="s">
        <v>1441</v>
      </c>
      <c r="V5" s="3" t="s">
        <v>1442</v>
      </c>
      <c r="W5" s="3" t="s">
        <v>1443</v>
      </c>
      <c r="X5" s="26">
        <v>2.5</v>
      </c>
      <c r="Y5" s="3" t="s">
        <v>1444</v>
      </c>
      <c r="Z5" s="3" t="s">
        <v>66</v>
      </c>
      <c r="AA5" s="5" t="s">
        <v>1460</v>
      </c>
      <c r="AB5" s="5" t="s">
        <v>1461</v>
      </c>
      <c r="AC5" s="3" t="s">
        <v>1462</v>
      </c>
      <c r="AD5" s="3" t="s">
        <v>1274</v>
      </c>
      <c r="AE5" s="3" t="s">
        <v>1275</v>
      </c>
    </row>
    <row r="6" spans="1:31" ht="70">
      <c r="A6" s="3" t="s">
        <v>1463</v>
      </c>
      <c r="B6" s="3" t="s">
        <v>151</v>
      </c>
      <c r="C6" s="3" t="s">
        <v>1464</v>
      </c>
      <c r="D6" s="3" t="s">
        <v>1435</v>
      </c>
      <c r="E6" s="3" t="s">
        <v>1465</v>
      </c>
      <c r="F6" s="3" t="s">
        <v>1437</v>
      </c>
      <c r="G6" s="15">
        <v>24.864934999999999</v>
      </c>
      <c r="H6" s="15">
        <v>121.55198</v>
      </c>
      <c r="I6" s="3">
        <v>4</v>
      </c>
      <c r="J6" s="3" t="s">
        <v>1305</v>
      </c>
      <c r="K6" s="3" t="s">
        <v>1466</v>
      </c>
      <c r="L6" s="3" t="s">
        <v>1467</v>
      </c>
      <c r="M6" s="3" t="s">
        <v>1440</v>
      </c>
      <c r="N6" s="3">
        <v>200</v>
      </c>
      <c r="O6" s="3" t="s">
        <v>1261</v>
      </c>
      <c r="P6" s="3" t="s">
        <v>1459</v>
      </c>
      <c r="Q6" s="3" t="s">
        <v>1263</v>
      </c>
      <c r="R6" s="3" t="s">
        <v>1264</v>
      </c>
      <c r="S6" s="3" t="s">
        <v>1265</v>
      </c>
      <c r="T6" s="3" t="s">
        <v>1266</v>
      </c>
      <c r="U6" s="3" t="s">
        <v>1441</v>
      </c>
      <c r="V6" s="3" t="s">
        <v>1442</v>
      </c>
      <c r="W6" s="3" t="s">
        <v>1443</v>
      </c>
      <c r="X6" s="26">
        <v>2.5</v>
      </c>
      <c r="Y6" s="3" t="s">
        <v>1444</v>
      </c>
      <c r="Z6" s="3" t="s">
        <v>66</v>
      </c>
      <c r="AA6" s="5" t="s">
        <v>1468</v>
      </c>
      <c r="AB6" s="5" t="s">
        <v>1469</v>
      </c>
      <c r="AC6" s="3" t="s">
        <v>1462</v>
      </c>
      <c r="AD6" s="3" t="s">
        <v>1274</v>
      </c>
      <c r="AE6" s="3" t="s">
        <v>1275</v>
      </c>
    </row>
    <row r="7" spans="1:31" ht="56">
      <c r="A7" s="3" t="s">
        <v>1470</v>
      </c>
      <c r="B7" s="3" t="s">
        <v>400</v>
      </c>
      <c r="C7" s="3" t="s">
        <v>1471</v>
      </c>
      <c r="D7" s="3" t="s">
        <v>1435</v>
      </c>
      <c r="E7" s="3" t="s">
        <v>1472</v>
      </c>
      <c r="F7" s="3" t="s">
        <v>1437</v>
      </c>
      <c r="G7" s="15">
        <v>24.705431000000001</v>
      </c>
      <c r="H7" s="15">
        <v>121.18247</v>
      </c>
      <c r="I7" s="3">
        <v>5</v>
      </c>
      <c r="J7" s="3" t="s">
        <v>1257</v>
      </c>
      <c r="K7" s="3" t="s">
        <v>1473</v>
      </c>
      <c r="L7" s="3" t="s">
        <v>1474</v>
      </c>
      <c r="M7" s="3" t="s">
        <v>1440</v>
      </c>
      <c r="N7" s="3">
        <v>120</v>
      </c>
      <c r="O7" s="3" t="s">
        <v>1360</v>
      </c>
      <c r="P7" s="3" t="s">
        <v>1361</v>
      </c>
      <c r="Q7" s="3" t="s">
        <v>1263</v>
      </c>
      <c r="R7" s="3" t="s">
        <v>1264</v>
      </c>
      <c r="S7" s="3" t="s">
        <v>1265</v>
      </c>
      <c r="T7" s="3" t="s">
        <v>1266</v>
      </c>
      <c r="U7" s="3" t="s">
        <v>1441</v>
      </c>
      <c r="V7" s="3" t="s">
        <v>1442</v>
      </c>
      <c r="W7" s="3" t="s">
        <v>1443</v>
      </c>
      <c r="X7" s="26">
        <v>2.5</v>
      </c>
      <c r="Y7" s="3" t="s">
        <v>1444</v>
      </c>
      <c r="Z7" s="3" t="s">
        <v>29</v>
      </c>
      <c r="AA7" s="5" t="s">
        <v>1475</v>
      </c>
      <c r="AB7" s="5" t="s">
        <v>1476</v>
      </c>
      <c r="AC7" s="3" t="s">
        <v>1447</v>
      </c>
      <c r="AD7" s="3" t="s">
        <v>1274</v>
      </c>
      <c r="AE7" s="3" t="s">
        <v>1275</v>
      </c>
    </row>
    <row r="8" spans="1:31" ht="56">
      <c r="A8" s="3" t="s">
        <v>1477</v>
      </c>
      <c r="B8" s="3" t="s">
        <v>436</v>
      </c>
      <c r="C8" s="3" t="s">
        <v>1478</v>
      </c>
      <c r="D8" s="3" t="s">
        <v>1435</v>
      </c>
      <c r="E8" s="3" t="s">
        <v>1479</v>
      </c>
      <c r="F8" s="3" t="s">
        <v>1437</v>
      </c>
      <c r="G8" s="15">
        <v>24.38823</v>
      </c>
      <c r="H8" s="15">
        <v>120.78205</v>
      </c>
      <c r="I8" s="3">
        <v>5</v>
      </c>
      <c r="J8" s="3" t="s">
        <v>1257</v>
      </c>
      <c r="K8" s="3" t="s">
        <v>1480</v>
      </c>
      <c r="L8" s="3" t="s">
        <v>1481</v>
      </c>
      <c r="M8" s="3" t="s">
        <v>1440</v>
      </c>
      <c r="N8" s="3">
        <v>120</v>
      </c>
      <c r="O8" s="3" t="s">
        <v>1360</v>
      </c>
      <c r="P8" s="3" t="s">
        <v>1361</v>
      </c>
      <c r="Q8" s="3" t="s">
        <v>1263</v>
      </c>
      <c r="R8" s="3" t="s">
        <v>1264</v>
      </c>
      <c r="S8" s="3" t="s">
        <v>1265</v>
      </c>
      <c r="T8" s="3" t="s">
        <v>1266</v>
      </c>
      <c r="U8" s="3" t="s">
        <v>1441</v>
      </c>
      <c r="V8" s="3" t="s">
        <v>1442</v>
      </c>
      <c r="W8" s="3" t="s">
        <v>1443</v>
      </c>
      <c r="X8" s="26">
        <v>2.5</v>
      </c>
      <c r="Y8" s="3" t="s">
        <v>1444</v>
      </c>
      <c r="Z8" s="3" t="s">
        <v>29</v>
      </c>
      <c r="AA8" s="5" t="s">
        <v>1482</v>
      </c>
      <c r="AB8" s="5" t="s">
        <v>1483</v>
      </c>
      <c r="AC8" s="3" t="s">
        <v>1447</v>
      </c>
      <c r="AD8" s="3" t="s">
        <v>1274</v>
      </c>
      <c r="AE8" s="3" t="s">
        <v>1275</v>
      </c>
    </row>
    <row r="9" spans="1:31" ht="56">
      <c r="A9" s="3" t="s">
        <v>1484</v>
      </c>
      <c r="B9" s="3" t="s">
        <v>436</v>
      </c>
      <c r="C9" s="3" t="s">
        <v>1478</v>
      </c>
      <c r="D9" s="3" t="s">
        <v>1435</v>
      </c>
      <c r="E9" s="3" t="s">
        <v>1485</v>
      </c>
      <c r="F9" s="3" t="s">
        <v>1437</v>
      </c>
      <c r="G9" s="15">
        <v>24.358435</v>
      </c>
      <c r="H9" s="15">
        <v>120.77384000000001</v>
      </c>
      <c r="I9" s="3">
        <v>5</v>
      </c>
      <c r="J9" s="3" t="s">
        <v>1257</v>
      </c>
      <c r="K9" s="3" t="s">
        <v>1486</v>
      </c>
      <c r="L9" s="3" t="s">
        <v>1487</v>
      </c>
      <c r="M9" s="3" t="s">
        <v>1440</v>
      </c>
      <c r="N9" s="3">
        <v>120</v>
      </c>
      <c r="O9" s="3" t="s">
        <v>1360</v>
      </c>
      <c r="P9" s="3" t="s">
        <v>1361</v>
      </c>
      <c r="Q9" s="3" t="s">
        <v>1263</v>
      </c>
      <c r="R9" s="3" t="s">
        <v>1264</v>
      </c>
      <c r="S9" s="3" t="s">
        <v>1265</v>
      </c>
      <c r="T9" s="3" t="s">
        <v>1266</v>
      </c>
      <c r="U9" s="3" t="s">
        <v>1441</v>
      </c>
      <c r="V9" s="3" t="s">
        <v>1442</v>
      </c>
      <c r="W9" s="3" t="s">
        <v>1443</v>
      </c>
      <c r="X9" s="26">
        <v>2.5</v>
      </c>
      <c r="Y9" s="3" t="s">
        <v>1444</v>
      </c>
      <c r="Z9" s="3" t="s">
        <v>29</v>
      </c>
      <c r="AA9" s="5" t="s">
        <v>1488</v>
      </c>
      <c r="AB9" s="5" t="s">
        <v>1489</v>
      </c>
      <c r="AC9" s="3" t="s">
        <v>1447</v>
      </c>
      <c r="AD9" s="3" t="s">
        <v>1274</v>
      </c>
      <c r="AE9" s="3" t="s">
        <v>1275</v>
      </c>
    </row>
    <row r="10" spans="1:31" ht="56">
      <c r="A10" s="3" t="s">
        <v>1490</v>
      </c>
      <c r="B10" s="3" t="s">
        <v>436</v>
      </c>
      <c r="C10" s="3" t="s">
        <v>437</v>
      </c>
      <c r="D10" s="3" t="s">
        <v>1435</v>
      </c>
      <c r="E10" s="3" t="s">
        <v>1491</v>
      </c>
      <c r="F10" s="3" t="s">
        <v>1437</v>
      </c>
      <c r="G10" s="15">
        <v>24.554355999999999</v>
      </c>
      <c r="H10" s="15">
        <v>120.81095999999999</v>
      </c>
      <c r="I10" s="3">
        <v>4</v>
      </c>
      <c r="J10" s="3" t="s">
        <v>1305</v>
      </c>
      <c r="K10" s="3" t="s">
        <v>1492</v>
      </c>
      <c r="L10" s="3" t="s">
        <v>1493</v>
      </c>
      <c r="M10" s="3" t="s">
        <v>1440</v>
      </c>
      <c r="N10" s="3">
        <v>120</v>
      </c>
      <c r="O10" s="3" t="s">
        <v>1360</v>
      </c>
      <c r="P10" s="3" t="s">
        <v>1361</v>
      </c>
      <c r="Q10" s="3" t="s">
        <v>1263</v>
      </c>
      <c r="R10" s="3" t="s">
        <v>1264</v>
      </c>
      <c r="S10" s="3" t="s">
        <v>1265</v>
      </c>
      <c r="T10" s="3" t="s">
        <v>1266</v>
      </c>
      <c r="U10" s="3" t="s">
        <v>1441</v>
      </c>
      <c r="V10" s="3" t="s">
        <v>1442</v>
      </c>
      <c r="W10" s="3" t="s">
        <v>1443</v>
      </c>
      <c r="X10" s="26">
        <v>2.5</v>
      </c>
      <c r="Y10" s="3" t="s">
        <v>1444</v>
      </c>
      <c r="Z10" s="3" t="s">
        <v>66</v>
      </c>
      <c r="AA10" s="5" t="s">
        <v>1494</v>
      </c>
      <c r="AB10" s="5" t="s">
        <v>1495</v>
      </c>
      <c r="AC10" s="3" t="s">
        <v>1447</v>
      </c>
      <c r="AD10" s="3" t="s">
        <v>1274</v>
      </c>
      <c r="AE10" s="3" t="s">
        <v>1275</v>
      </c>
    </row>
    <row r="11" spans="1:31" ht="70">
      <c r="A11" s="3" t="s">
        <v>1496</v>
      </c>
      <c r="B11" s="3" t="s">
        <v>480</v>
      </c>
      <c r="C11" s="3" t="s">
        <v>1497</v>
      </c>
      <c r="D11" s="3" t="s">
        <v>1435</v>
      </c>
      <c r="E11" s="3" t="s">
        <v>1498</v>
      </c>
      <c r="F11" s="3" t="s">
        <v>1437</v>
      </c>
      <c r="G11" s="15">
        <v>24.276022999999999</v>
      </c>
      <c r="H11" s="15">
        <v>120.77879</v>
      </c>
      <c r="I11" s="3">
        <v>4</v>
      </c>
      <c r="J11" s="3" t="s">
        <v>1305</v>
      </c>
      <c r="K11" s="3" t="s">
        <v>1499</v>
      </c>
      <c r="L11" s="3" t="s">
        <v>1500</v>
      </c>
      <c r="M11" s="3" t="s">
        <v>1440</v>
      </c>
      <c r="N11" s="3">
        <v>200</v>
      </c>
      <c r="O11" s="3" t="s">
        <v>1261</v>
      </c>
      <c r="P11" s="3" t="s">
        <v>1459</v>
      </c>
      <c r="Q11" s="3" t="s">
        <v>1263</v>
      </c>
      <c r="R11" s="3" t="s">
        <v>1264</v>
      </c>
      <c r="S11" s="3" t="s">
        <v>1265</v>
      </c>
      <c r="T11" s="3" t="s">
        <v>1266</v>
      </c>
      <c r="U11" s="3" t="s">
        <v>1441</v>
      </c>
      <c r="V11" s="3" t="s">
        <v>1442</v>
      </c>
      <c r="W11" s="3" t="s">
        <v>1443</v>
      </c>
      <c r="X11" s="26">
        <v>2.5</v>
      </c>
      <c r="Y11" s="3" t="s">
        <v>1444</v>
      </c>
      <c r="Z11" s="3" t="s">
        <v>66</v>
      </c>
      <c r="AA11" s="5" t="s">
        <v>1501</v>
      </c>
      <c r="AB11" s="5" t="s">
        <v>1502</v>
      </c>
      <c r="AC11" s="3" t="s">
        <v>1462</v>
      </c>
      <c r="AD11" s="3" t="s">
        <v>1274</v>
      </c>
      <c r="AE11" s="3" t="s">
        <v>1275</v>
      </c>
    </row>
    <row r="12" spans="1:31" ht="70">
      <c r="A12" s="3" t="s">
        <v>1503</v>
      </c>
      <c r="B12" s="3" t="s">
        <v>480</v>
      </c>
      <c r="C12" s="3" t="s">
        <v>1504</v>
      </c>
      <c r="D12" s="3" t="s">
        <v>1435</v>
      </c>
      <c r="E12" s="3" t="s">
        <v>1505</v>
      </c>
      <c r="F12" s="3" t="s">
        <v>1437</v>
      </c>
      <c r="G12" s="15">
        <v>24.243787000000001</v>
      </c>
      <c r="H12" s="15">
        <v>120.83365000000001</v>
      </c>
      <c r="I12" s="3">
        <v>4</v>
      </c>
      <c r="J12" s="3" t="s">
        <v>1305</v>
      </c>
      <c r="K12" s="3" t="s">
        <v>1506</v>
      </c>
      <c r="L12" s="3" t="s">
        <v>1507</v>
      </c>
      <c r="M12" s="3" t="s">
        <v>1440</v>
      </c>
      <c r="N12" s="3">
        <v>120</v>
      </c>
      <c r="O12" s="3" t="s">
        <v>1360</v>
      </c>
      <c r="P12" s="3" t="s">
        <v>1361</v>
      </c>
      <c r="Q12" s="3" t="s">
        <v>1263</v>
      </c>
      <c r="R12" s="3" t="s">
        <v>1264</v>
      </c>
      <c r="S12" s="3" t="s">
        <v>1265</v>
      </c>
      <c r="T12" s="3" t="s">
        <v>1266</v>
      </c>
      <c r="U12" s="3" t="s">
        <v>1441</v>
      </c>
      <c r="V12" s="3" t="s">
        <v>1442</v>
      </c>
      <c r="W12" s="3" t="s">
        <v>1443</v>
      </c>
      <c r="X12" s="26">
        <v>2.5</v>
      </c>
      <c r="Y12" s="3" t="s">
        <v>1444</v>
      </c>
      <c r="Z12" s="3" t="s">
        <v>66</v>
      </c>
      <c r="AA12" s="5" t="s">
        <v>1508</v>
      </c>
      <c r="AB12" s="5" t="s">
        <v>1509</v>
      </c>
      <c r="AC12" s="3" t="s">
        <v>1447</v>
      </c>
      <c r="AD12" s="3" t="s">
        <v>1274</v>
      </c>
      <c r="AE12" s="3" t="s">
        <v>1275</v>
      </c>
    </row>
    <row r="13" spans="1:31" ht="56">
      <c r="A13" s="3" t="s">
        <v>1510</v>
      </c>
      <c r="B13" s="3" t="s">
        <v>559</v>
      </c>
      <c r="C13" s="3" t="s">
        <v>560</v>
      </c>
      <c r="D13" s="3" t="s">
        <v>1435</v>
      </c>
      <c r="E13" s="3" t="s">
        <v>1511</v>
      </c>
      <c r="F13" s="3" t="s">
        <v>1437</v>
      </c>
      <c r="G13" s="15">
        <v>24.085947999999998</v>
      </c>
      <c r="H13" s="15">
        <v>120.54017</v>
      </c>
      <c r="I13" s="3">
        <v>5</v>
      </c>
      <c r="J13" s="3" t="s">
        <v>1257</v>
      </c>
      <c r="K13" s="3" t="s">
        <v>1512</v>
      </c>
      <c r="L13" s="3" t="s">
        <v>1513</v>
      </c>
      <c r="M13" s="3" t="s">
        <v>1440</v>
      </c>
      <c r="N13" s="3">
        <v>120</v>
      </c>
      <c r="O13" s="3" t="s">
        <v>1360</v>
      </c>
      <c r="P13" s="3" t="s">
        <v>1361</v>
      </c>
      <c r="Q13" s="3" t="s">
        <v>1263</v>
      </c>
      <c r="R13" s="3" t="s">
        <v>1264</v>
      </c>
      <c r="S13" s="3" t="s">
        <v>1265</v>
      </c>
      <c r="T13" s="3" t="s">
        <v>1266</v>
      </c>
      <c r="U13" s="3" t="s">
        <v>1441</v>
      </c>
      <c r="V13" s="3" t="s">
        <v>1442</v>
      </c>
      <c r="W13" s="3" t="s">
        <v>1443</v>
      </c>
      <c r="X13" s="26">
        <v>2.5</v>
      </c>
      <c r="Y13" s="3" t="s">
        <v>1444</v>
      </c>
      <c r="Z13" s="3" t="s">
        <v>29</v>
      </c>
      <c r="AA13" s="5" t="s">
        <v>1514</v>
      </c>
      <c r="AB13" s="5" t="s">
        <v>1515</v>
      </c>
      <c r="AC13" s="3" t="s">
        <v>1447</v>
      </c>
      <c r="AD13" s="3" t="s">
        <v>1274</v>
      </c>
      <c r="AE13" s="3" t="s">
        <v>1275</v>
      </c>
    </row>
    <row r="14" spans="1:31" ht="70">
      <c r="A14" s="3" t="s">
        <v>1516</v>
      </c>
      <c r="B14" s="3" t="s">
        <v>559</v>
      </c>
      <c r="C14" s="3" t="s">
        <v>1517</v>
      </c>
      <c r="D14" s="3" t="s">
        <v>1435</v>
      </c>
      <c r="E14" s="3" t="s">
        <v>1518</v>
      </c>
      <c r="F14" s="3" t="s">
        <v>1437</v>
      </c>
      <c r="G14" s="15">
        <v>23.896964000000001</v>
      </c>
      <c r="H14" s="15">
        <v>120.58521</v>
      </c>
      <c r="I14" s="3">
        <v>4</v>
      </c>
      <c r="J14" s="3" t="s">
        <v>1305</v>
      </c>
      <c r="K14" s="3" t="s">
        <v>1519</v>
      </c>
      <c r="L14" s="3" t="s">
        <v>1520</v>
      </c>
      <c r="M14" s="3" t="s">
        <v>1440</v>
      </c>
      <c r="N14" s="3">
        <v>200</v>
      </c>
      <c r="O14" s="3" t="s">
        <v>1261</v>
      </c>
      <c r="P14" s="3" t="s">
        <v>1459</v>
      </c>
      <c r="Q14" s="3" t="s">
        <v>1263</v>
      </c>
      <c r="R14" s="3" t="s">
        <v>1264</v>
      </c>
      <c r="S14" s="3" t="s">
        <v>1265</v>
      </c>
      <c r="T14" s="3" t="s">
        <v>1266</v>
      </c>
      <c r="U14" s="3" t="s">
        <v>1441</v>
      </c>
      <c r="V14" s="3" t="s">
        <v>1442</v>
      </c>
      <c r="W14" s="3" t="s">
        <v>1443</v>
      </c>
      <c r="X14" s="26">
        <v>2.5</v>
      </c>
      <c r="Y14" s="3" t="s">
        <v>1444</v>
      </c>
      <c r="Z14" s="3" t="s">
        <v>66</v>
      </c>
      <c r="AA14" s="5" t="s">
        <v>1521</v>
      </c>
      <c r="AB14" s="5" t="s">
        <v>1522</v>
      </c>
      <c r="AC14" s="3" t="s">
        <v>1462</v>
      </c>
      <c r="AD14" s="3" t="s">
        <v>1274</v>
      </c>
      <c r="AE14" s="3" t="s">
        <v>1275</v>
      </c>
    </row>
    <row r="15" spans="1:31" ht="56">
      <c r="A15" s="3" t="s">
        <v>1523</v>
      </c>
      <c r="B15" s="3" t="s">
        <v>603</v>
      </c>
      <c r="C15" s="3" t="s">
        <v>638</v>
      </c>
      <c r="D15" s="3" t="s">
        <v>1435</v>
      </c>
      <c r="E15" s="3" t="s">
        <v>1524</v>
      </c>
      <c r="F15" s="3" t="s">
        <v>1437</v>
      </c>
      <c r="G15" s="15">
        <v>23.826450999999999</v>
      </c>
      <c r="H15" s="15">
        <v>120.78489</v>
      </c>
      <c r="I15" s="3">
        <v>5</v>
      </c>
      <c r="J15" s="3" t="s">
        <v>1257</v>
      </c>
      <c r="K15" s="3" t="s">
        <v>1525</v>
      </c>
      <c r="L15" s="3" t="s">
        <v>1526</v>
      </c>
      <c r="M15" s="3" t="s">
        <v>1440</v>
      </c>
      <c r="N15" s="3">
        <v>120</v>
      </c>
      <c r="O15" s="3" t="s">
        <v>1360</v>
      </c>
      <c r="P15" s="3" t="s">
        <v>1361</v>
      </c>
      <c r="Q15" s="3" t="s">
        <v>1263</v>
      </c>
      <c r="R15" s="3" t="s">
        <v>1264</v>
      </c>
      <c r="S15" s="3" t="s">
        <v>1265</v>
      </c>
      <c r="T15" s="3" t="s">
        <v>1266</v>
      </c>
      <c r="U15" s="3" t="s">
        <v>1441</v>
      </c>
      <c r="V15" s="3" t="s">
        <v>1442</v>
      </c>
      <c r="W15" s="3" t="s">
        <v>1443</v>
      </c>
      <c r="X15" s="26">
        <v>2.5</v>
      </c>
      <c r="Y15" s="3" t="s">
        <v>1444</v>
      </c>
      <c r="Z15" s="3" t="s">
        <v>29</v>
      </c>
      <c r="AA15" s="5" t="s">
        <v>1527</v>
      </c>
      <c r="AB15" s="5" t="s">
        <v>1528</v>
      </c>
      <c r="AC15" s="3" t="s">
        <v>1447</v>
      </c>
      <c r="AD15" s="3" t="s">
        <v>1274</v>
      </c>
      <c r="AE15" s="3" t="s">
        <v>1275</v>
      </c>
    </row>
    <row r="16" spans="1:31" ht="56">
      <c r="A16" s="3" t="s">
        <v>1529</v>
      </c>
      <c r="B16" s="3" t="s">
        <v>603</v>
      </c>
      <c r="C16" s="3" t="s">
        <v>633</v>
      </c>
      <c r="D16" s="3" t="s">
        <v>1435</v>
      </c>
      <c r="E16" s="3" t="s">
        <v>1530</v>
      </c>
      <c r="F16" s="3" t="s">
        <v>1437</v>
      </c>
      <c r="G16" s="15">
        <v>23.832636999999998</v>
      </c>
      <c r="H16" s="15">
        <v>120.86574</v>
      </c>
      <c r="I16" s="3">
        <v>5</v>
      </c>
      <c r="J16" s="3" t="s">
        <v>1257</v>
      </c>
      <c r="K16" s="3" t="s">
        <v>1531</v>
      </c>
      <c r="L16" s="3" t="s">
        <v>1532</v>
      </c>
      <c r="M16" s="3" t="s">
        <v>1440</v>
      </c>
      <c r="N16" s="3">
        <v>120</v>
      </c>
      <c r="O16" s="3" t="s">
        <v>1360</v>
      </c>
      <c r="P16" s="3" t="s">
        <v>1361</v>
      </c>
      <c r="Q16" s="3" t="s">
        <v>1263</v>
      </c>
      <c r="R16" s="3" t="s">
        <v>1264</v>
      </c>
      <c r="S16" s="3" t="s">
        <v>1265</v>
      </c>
      <c r="T16" s="3" t="s">
        <v>1266</v>
      </c>
      <c r="U16" s="3" t="s">
        <v>1441</v>
      </c>
      <c r="V16" s="3" t="s">
        <v>1442</v>
      </c>
      <c r="W16" s="3" t="s">
        <v>1443</v>
      </c>
      <c r="X16" s="26">
        <v>2.5</v>
      </c>
      <c r="Y16" s="3" t="s">
        <v>1444</v>
      </c>
      <c r="Z16" s="3" t="s">
        <v>29</v>
      </c>
      <c r="AA16" s="5" t="s">
        <v>1533</v>
      </c>
      <c r="AB16" s="5" t="s">
        <v>1534</v>
      </c>
      <c r="AC16" s="3" t="s">
        <v>1447</v>
      </c>
      <c r="AD16" s="3" t="s">
        <v>1274</v>
      </c>
      <c r="AE16" s="3" t="s">
        <v>1275</v>
      </c>
    </row>
    <row r="17" spans="1:31" ht="56">
      <c r="A17" s="3" t="s">
        <v>1535</v>
      </c>
      <c r="B17" s="3" t="s">
        <v>603</v>
      </c>
      <c r="C17" s="3" t="s">
        <v>633</v>
      </c>
      <c r="D17" s="3" t="s">
        <v>1435</v>
      </c>
      <c r="E17" s="3" t="s">
        <v>1536</v>
      </c>
      <c r="F17" s="3" t="s">
        <v>1437</v>
      </c>
      <c r="G17" s="15">
        <v>23.834520999999999</v>
      </c>
      <c r="H17" s="15">
        <v>120.86611000000001</v>
      </c>
      <c r="I17" s="3">
        <v>4</v>
      </c>
      <c r="J17" s="3" t="s">
        <v>1305</v>
      </c>
      <c r="K17" s="3" t="s">
        <v>1537</v>
      </c>
      <c r="L17" s="3" t="s">
        <v>1538</v>
      </c>
      <c r="M17" s="3" t="s">
        <v>1440</v>
      </c>
      <c r="N17" s="3">
        <v>120</v>
      </c>
      <c r="O17" s="3" t="s">
        <v>1360</v>
      </c>
      <c r="P17" s="3" t="s">
        <v>1361</v>
      </c>
      <c r="Q17" s="3" t="s">
        <v>1263</v>
      </c>
      <c r="R17" s="3" t="s">
        <v>1264</v>
      </c>
      <c r="S17" s="3" t="s">
        <v>1265</v>
      </c>
      <c r="T17" s="3" t="s">
        <v>1266</v>
      </c>
      <c r="U17" s="3" t="s">
        <v>1441</v>
      </c>
      <c r="V17" s="3" t="s">
        <v>1442</v>
      </c>
      <c r="W17" s="3" t="s">
        <v>1443</v>
      </c>
      <c r="X17" s="26">
        <v>2.5</v>
      </c>
      <c r="Y17" s="3" t="s">
        <v>1444</v>
      </c>
      <c r="Z17" s="3" t="s">
        <v>66</v>
      </c>
      <c r="AA17" s="5" t="s">
        <v>1539</v>
      </c>
      <c r="AB17" s="5" t="s">
        <v>1540</v>
      </c>
      <c r="AC17" s="3" t="s">
        <v>1447</v>
      </c>
      <c r="AD17" s="3" t="s">
        <v>1274</v>
      </c>
      <c r="AE17" s="3" t="s">
        <v>1275</v>
      </c>
    </row>
    <row r="18" spans="1:31" ht="70">
      <c r="A18" s="3" t="s">
        <v>1541</v>
      </c>
      <c r="B18" s="3" t="s">
        <v>603</v>
      </c>
      <c r="C18" s="3" t="s">
        <v>633</v>
      </c>
      <c r="D18" s="3" t="s">
        <v>1435</v>
      </c>
      <c r="E18" s="3" t="s">
        <v>1542</v>
      </c>
      <c r="F18" s="3" t="s">
        <v>1437</v>
      </c>
      <c r="G18" s="15">
        <v>23.833773999999998</v>
      </c>
      <c r="H18" s="15">
        <v>120.86587</v>
      </c>
      <c r="I18" s="3">
        <v>4</v>
      </c>
      <c r="J18" s="3" t="s">
        <v>1305</v>
      </c>
      <c r="K18" s="3" t="s">
        <v>1543</v>
      </c>
      <c r="L18" s="3" t="s">
        <v>1544</v>
      </c>
      <c r="M18" s="3" t="s">
        <v>1440</v>
      </c>
      <c r="N18" s="3">
        <v>120</v>
      </c>
      <c r="O18" s="3" t="s">
        <v>1360</v>
      </c>
      <c r="P18" s="3" t="s">
        <v>1361</v>
      </c>
      <c r="Q18" s="3" t="s">
        <v>1263</v>
      </c>
      <c r="R18" s="3" t="s">
        <v>1264</v>
      </c>
      <c r="S18" s="3" t="s">
        <v>1265</v>
      </c>
      <c r="T18" s="3" t="s">
        <v>1266</v>
      </c>
      <c r="U18" s="3" t="s">
        <v>1441</v>
      </c>
      <c r="V18" s="3" t="s">
        <v>1442</v>
      </c>
      <c r="W18" s="3" t="s">
        <v>1443</v>
      </c>
      <c r="X18" s="26">
        <v>2.5</v>
      </c>
      <c r="Y18" s="3" t="s">
        <v>1444</v>
      </c>
      <c r="Z18" s="3" t="s">
        <v>66</v>
      </c>
      <c r="AA18" s="5" t="s">
        <v>1545</v>
      </c>
      <c r="AB18" s="5" t="s">
        <v>1546</v>
      </c>
      <c r="AC18" s="3" t="s">
        <v>1447</v>
      </c>
      <c r="AD18" s="3" t="s">
        <v>1274</v>
      </c>
      <c r="AE18" s="3" t="s">
        <v>1275</v>
      </c>
    </row>
    <row r="19" spans="1:31" ht="56">
      <c r="A19" s="3" t="s">
        <v>1547</v>
      </c>
      <c r="B19" s="3" t="s">
        <v>643</v>
      </c>
      <c r="C19" s="3" t="s">
        <v>658</v>
      </c>
      <c r="D19" s="3" t="s">
        <v>1435</v>
      </c>
      <c r="E19" s="3" t="s">
        <v>1548</v>
      </c>
      <c r="F19" s="3" t="s">
        <v>1437</v>
      </c>
      <c r="G19" s="15">
        <v>23.701737000000001</v>
      </c>
      <c r="H19" s="15">
        <v>120.43718</v>
      </c>
      <c r="I19" s="3">
        <v>4</v>
      </c>
      <c r="J19" s="3" t="s">
        <v>1305</v>
      </c>
      <c r="K19" s="3" t="s">
        <v>1549</v>
      </c>
      <c r="L19" s="3" t="s">
        <v>1550</v>
      </c>
      <c r="M19" s="3" t="s">
        <v>1440</v>
      </c>
      <c r="N19" s="3">
        <v>120</v>
      </c>
      <c r="O19" s="3" t="s">
        <v>1360</v>
      </c>
      <c r="P19" s="3" t="s">
        <v>1361</v>
      </c>
      <c r="Q19" s="3" t="s">
        <v>1263</v>
      </c>
      <c r="R19" s="3" t="s">
        <v>1264</v>
      </c>
      <c r="S19" s="3" t="s">
        <v>1265</v>
      </c>
      <c r="T19" s="3" t="s">
        <v>1266</v>
      </c>
      <c r="U19" s="3" t="s">
        <v>1441</v>
      </c>
      <c r="V19" s="3" t="s">
        <v>1442</v>
      </c>
      <c r="W19" s="3" t="s">
        <v>1443</v>
      </c>
      <c r="X19" s="26">
        <v>2.5</v>
      </c>
      <c r="Y19" s="3" t="s">
        <v>1444</v>
      </c>
      <c r="Z19" s="3" t="s">
        <v>66</v>
      </c>
      <c r="AA19" s="5" t="s">
        <v>1551</v>
      </c>
      <c r="AB19" s="5" t="s">
        <v>1552</v>
      </c>
      <c r="AC19" s="3" t="s">
        <v>1447</v>
      </c>
      <c r="AD19" s="3" t="s">
        <v>1274</v>
      </c>
      <c r="AE19" s="3" t="s">
        <v>1553</v>
      </c>
    </row>
    <row r="20" spans="1:31" ht="70">
      <c r="A20" s="3" t="s">
        <v>1554</v>
      </c>
      <c r="B20" s="3" t="s">
        <v>685</v>
      </c>
      <c r="C20" s="3" t="s">
        <v>523</v>
      </c>
      <c r="D20" s="3" t="s">
        <v>1435</v>
      </c>
      <c r="E20" s="3" t="s">
        <v>1555</v>
      </c>
      <c r="F20" s="3" t="s">
        <v>1437</v>
      </c>
      <c r="G20" s="15">
        <v>23.479118</v>
      </c>
      <c r="H20" s="15">
        <v>120.44113</v>
      </c>
      <c r="I20" s="3">
        <v>5</v>
      </c>
      <c r="J20" s="3" t="s">
        <v>1257</v>
      </c>
      <c r="K20" s="3" t="s">
        <v>1556</v>
      </c>
      <c r="L20" s="3" t="s">
        <v>1557</v>
      </c>
      <c r="M20" s="3" t="s">
        <v>1440</v>
      </c>
      <c r="N20" s="3">
        <v>200</v>
      </c>
      <c r="O20" s="3" t="s">
        <v>1261</v>
      </c>
      <c r="P20" s="3" t="s">
        <v>1459</v>
      </c>
      <c r="Q20" s="3" t="s">
        <v>1263</v>
      </c>
      <c r="R20" s="3" t="s">
        <v>1264</v>
      </c>
      <c r="S20" s="3" t="s">
        <v>1265</v>
      </c>
      <c r="T20" s="3" t="s">
        <v>1266</v>
      </c>
      <c r="U20" s="3" t="s">
        <v>1441</v>
      </c>
      <c r="V20" s="3" t="s">
        <v>1442</v>
      </c>
      <c r="W20" s="3" t="s">
        <v>1443</v>
      </c>
      <c r="X20" s="26">
        <v>2.5</v>
      </c>
      <c r="Y20" s="3" t="s">
        <v>1444</v>
      </c>
      <c r="Z20" s="3" t="s">
        <v>29</v>
      </c>
      <c r="AA20" s="5" t="s">
        <v>1558</v>
      </c>
      <c r="AB20" s="5" t="s">
        <v>1559</v>
      </c>
      <c r="AC20" s="3" t="s">
        <v>1462</v>
      </c>
      <c r="AD20" s="3" t="s">
        <v>1274</v>
      </c>
      <c r="AE20" s="3" t="s">
        <v>1275</v>
      </c>
    </row>
    <row r="21" spans="1:31" ht="84">
      <c r="A21" s="3" t="s">
        <v>1560</v>
      </c>
      <c r="B21" s="3" t="s">
        <v>685</v>
      </c>
      <c r="C21" s="3" t="s">
        <v>356</v>
      </c>
      <c r="D21" s="3" t="s">
        <v>1435</v>
      </c>
      <c r="E21" s="3" t="s">
        <v>1561</v>
      </c>
      <c r="F21" s="3" t="s">
        <v>1437</v>
      </c>
      <c r="G21" s="15">
        <v>23.486342</v>
      </c>
      <c r="H21" s="15">
        <v>120.45126</v>
      </c>
      <c r="I21" s="3">
        <v>5</v>
      </c>
      <c r="J21" s="3" t="s">
        <v>1257</v>
      </c>
      <c r="K21" s="3" t="s">
        <v>1562</v>
      </c>
      <c r="L21" s="3" t="s">
        <v>1563</v>
      </c>
      <c r="M21" s="3" t="s">
        <v>1440</v>
      </c>
      <c r="N21" s="3">
        <v>200</v>
      </c>
      <c r="O21" s="3" t="s">
        <v>1261</v>
      </c>
      <c r="P21" s="3" t="s">
        <v>1459</v>
      </c>
      <c r="Q21" s="3" t="s">
        <v>1263</v>
      </c>
      <c r="R21" s="3" t="s">
        <v>1264</v>
      </c>
      <c r="S21" s="3" t="s">
        <v>1265</v>
      </c>
      <c r="T21" s="3" t="s">
        <v>1266</v>
      </c>
      <c r="U21" s="3" t="s">
        <v>1441</v>
      </c>
      <c r="V21" s="3" t="s">
        <v>1442</v>
      </c>
      <c r="W21" s="3" t="s">
        <v>1443</v>
      </c>
      <c r="X21" s="26">
        <v>2.5</v>
      </c>
      <c r="Y21" s="3" t="s">
        <v>1444</v>
      </c>
      <c r="Z21" s="3" t="s">
        <v>29</v>
      </c>
      <c r="AA21" s="5" t="s">
        <v>1564</v>
      </c>
      <c r="AB21" s="5" t="s">
        <v>1565</v>
      </c>
      <c r="AC21" s="3" t="s">
        <v>1462</v>
      </c>
      <c r="AD21" s="3" t="s">
        <v>1274</v>
      </c>
      <c r="AE21" s="3" t="s">
        <v>1275</v>
      </c>
    </row>
    <row r="22" spans="1:31" ht="70">
      <c r="A22" s="3" t="s">
        <v>1566</v>
      </c>
      <c r="B22" s="3" t="s">
        <v>714</v>
      </c>
      <c r="C22" s="3" t="s">
        <v>1567</v>
      </c>
      <c r="D22" s="3" t="s">
        <v>1435</v>
      </c>
      <c r="E22" s="3" t="s">
        <v>1568</v>
      </c>
      <c r="F22" s="3" t="s">
        <v>1437</v>
      </c>
      <c r="G22" s="15">
        <v>23.504190000000001</v>
      </c>
      <c r="H22" s="15">
        <v>120.69592</v>
      </c>
      <c r="I22" s="3">
        <v>4</v>
      </c>
      <c r="J22" s="3" t="s">
        <v>1305</v>
      </c>
      <c r="K22" s="3" t="s">
        <v>1569</v>
      </c>
      <c r="L22" s="3" t="s">
        <v>1570</v>
      </c>
      <c r="M22" s="3" t="s">
        <v>1440</v>
      </c>
      <c r="N22" s="3">
        <v>200</v>
      </c>
      <c r="O22" s="3" t="s">
        <v>1261</v>
      </c>
      <c r="P22" s="3" t="s">
        <v>1459</v>
      </c>
      <c r="Q22" s="3" t="s">
        <v>1263</v>
      </c>
      <c r="R22" s="3" t="s">
        <v>1264</v>
      </c>
      <c r="S22" s="3" t="s">
        <v>1265</v>
      </c>
      <c r="T22" s="3" t="s">
        <v>1266</v>
      </c>
      <c r="U22" s="3" t="s">
        <v>1441</v>
      </c>
      <c r="V22" s="3" t="s">
        <v>1442</v>
      </c>
      <c r="W22" s="3" t="s">
        <v>1443</v>
      </c>
      <c r="X22" s="26">
        <v>2.5</v>
      </c>
      <c r="Y22" s="3" t="s">
        <v>1444</v>
      </c>
      <c r="Z22" s="3" t="s">
        <v>66</v>
      </c>
      <c r="AA22" s="5" t="s">
        <v>1571</v>
      </c>
      <c r="AB22" s="5" t="s">
        <v>1572</v>
      </c>
      <c r="AC22" s="3" t="s">
        <v>1462</v>
      </c>
      <c r="AD22" s="3" t="s">
        <v>1274</v>
      </c>
      <c r="AE22" s="3" t="s">
        <v>1275</v>
      </c>
    </row>
    <row r="23" spans="1:31" ht="56">
      <c r="A23" s="3" t="s">
        <v>1573</v>
      </c>
      <c r="B23" s="3" t="s">
        <v>685</v>
      </c>
      <c r="C23" s="3" t="s">
        <v>356</v>
      </c>
      <c r="D23" s="3" t="s">
        <v>1435</v>
      </c>
      <c r="E23" s="3" t="s">
        <v>1574</v>
      </c>
      <c r="F23" s="3" t="s">
        <v>1437</v>
      </c>
      <c r="G23" s="15">
        <v>23.485990000000001</v>
      </c>
      <c r="H23" s="15">
        <v>120.44843</v>
      </c>
      <c r="I23" s="3">
        <v>4</v>
      </c>
      <c r="J23" s="3" t="s">
        <v>1305</v>
      </c>
      <c r="K23" s="3" t="s">
        <v>1575</v>
      </c>
      <c r="L23" s="3" t="s">
        <v>1576</v>
      </c>
      <c r="M23" s="3" t="s">
        <v>1440</v>
      </c>
      <c r="N23" s="3">
        <v>120</v>
      </c>
      <c r="O23" s="3" t="s">
        <v>1360</v>
      </c>
      <c r="P23" s="3" t="s">
        <v>1361</v>
      </c>
      <c r="Q23" s="3" t="s">
        <v>1263</v>
      </c>
      <c r="R23" s="3" t="s">
        <v>1264</v>
      </c>
      <c r="S23" s="3" t="s">
        <v>1265</v>
      </c>
      <c r="T23" s="3" t="s">
        <v>1266</v>
      </c>
      <c r="U23" s="3" t="s">
        <v>1441</v>
      </c>
      <c r="V23" s="3" t="s">
        <v>1442</v>
      </c>
      <c r="W23" s="3" t="s">
        <v>1443</v>
      </c>
      <c r="X23" s="26">
        <v>2.5</v>
      </c>
      <c r="Y23" s="3" t="s">
        <v>1444</v>
      </c>
      <c r="Z23" s="3" t="s">
        <v>66</v>
      </c>
      <c r="AA23" s="5" t="s">
        <v>1577</v>
      </c>
      <c r="AB23" s="5" t="s">
        <v>1578</v>
      </c>
      <c r="AC23" s="3" t="s">
        <v>1447</v>
      </c>
      <c r="AD23" s="3" t="s">
        <v>1274</v>
      </c>
      <c r="AE23" s="3" t="s">
        <v>1275</v>
      </c>
    </row>
    <row r="24" spans="1:31" ht="70">
      <c r="A24" s="3" t="s">
        <v>1579</v>
      </c>
      <c r="B24" s="3" t="s">
        <v>958</v>
      </c>
      <c r="C24" s="3" t="s">
        <v>976</v>
      </c>
      <c r="D24" s="3" t="s">
        <v>1435</v>
      </c>
      <c r="E24" s="3" t="s">
        <v>1580</v>
      </c>
      <c r="F24" s="3" t="s">
        <v>1437</v>
      </c>
      <c r="G24" s="15">
        <v>24.684277999999999</v>
      </c>
      <c r="H24" s="15">
        <v>121.77235</v>
      </c>
      <c r="I24" s="3">
        <v>5</v>
      </c>
      <c r="J24" s="3" t="s">
        <v>1257</v>
      </c>
      <c r="K24" s="3" t="s">
        <v>1581</v>
      </c>
      <c r="L24" s="3" t="s">
        <v>1582</v>
      </c>
      <c r="M24" s="3" t="s">
        <v>1440</v>
      </c>
      <c r="N24" s="3">
        <v>120</v>
      </c>
      <c r="O24" s="3" t="s">
        <v>1360</v>
      </c>
      <c r="P24" s="3" t="s">
        <v>1361</v>
      </c>
      <c r="Q24" s="3" t="s">
        <v>1263</v>
      </c>
      <c r="R24" s="3" t="s">
        <v>1264</v>
      </c>
      <c r="S24" s="3" t="s">
        <v>1265</v>
      </c>
      <c r="T24" s="3" t="s">
        <v>1266</v>
      </c>
      <c r="U24" s="3" t="s">
        <v>1441</v>
      </c>
      <c r="V24" s="3" t="s">
        <v>1442</v>
      </c>
      <c r="W24" s="3" t="s">
        <v>1443</v>
      </c>
      <c r="X24" s="26">
        <v>2.5</v>
      </c>
      <c r="Y24" s="3" t="s">
        <v>1444</v>
      </c>
      <c r="Z24" s="3" t="s">
        <v>29</v>
      </c>
      <c r="AA24" s="5" t="s">
        <v>1583</v>
      </c>
      <c r="AB24" s="5" t="s">
        <v>1584</v>
      </c>
      <c r="AC24" s="3" t="s">
        <v>1447</v>
      </c>
      <c r="AD24" s="3" t="s">
        <v>1274</v>
      </c>
      <c r="AE24" s="3" t="s">
        <v>1275</v>
      </c>
    </row>
    <row r="25" spans="1:31" ht="70">
      <c r="A25" s="3" t="s">
        <v>1585</v>
      </c>
      <c r="B25" s="3" t="s">
        <v>1008</v>
      </c>
      <c r="C25" s="3" t="s">
        <v>1586</v>
      </c>
      <c r="D25" s="3" t="s">
        <v>1435</v>
      </c>
      <c r="E25" s="3" t="s">
        <v>1587</v>
      </c>
      <c r="F25" s="3" t="s">
        <v>1437</v>
      </c>
      <c r="G25" s="15">
        <v>23.718088000000002</v>
      </c>
      <c r="H25" s="15">
        <v>121.39895</v>
      </c>
      <c r="I25" s="3">
        <v>5</v>
      </c>
      <c r="J25" s="3" t="s">
        <v>1257</v>
      </c>
      <c r="K25" s="3" t="s">
        <v>1588</v>
      </c>
      <c r="L25" s="3" t="s">
        <v>1589</v>
      </c>
      <c r="M25" s="3" t="s">
        <v>1440</v>
      </c>
      <c r="N25" s="3">
        <v>120</v>
      </c>
      <c r="O25" s="3" t="s">
        <v>1360</v>
      </c>
      <c r="P25" s="3" t="s">
        <v>1361</v>
      </c>
      <c r="Q25" s="3" t="s">
        <v>1263</v>
      </c>
      <c r="R25" s="3" t="s">
        <v>1264</v>
      </c>
      <c r="S25" s="3" t="s">
        <v>1265</v>
      </c>
      <c r="T25" s="3" t="s">
        <v>1266</v>
      </c>
      <c r="U25" s="3" t="s">
        <v>1441</v>
      </c>
      <c r="V25" s="3" t="s">
        <v>1442</v>
      </c>
      <c r="W25" s="3" t="s">
        <v>1443</v>
      </c>
      <c r="X25" s="26">
        <v>2.5</v>
      </c>
      <c r="Y25" s="3" t="s">
        <v>1444</v>
      </c>
      <c r="Z25" s="3" t="s">
        <v>29</v>
      </c>
      <c r="AA25" s="5" t="s">
        <v>1590</v>
      </c>
      <c r="AB25" s="5" t="s">
        <v>1591</v>
      </c>
      <c r="AC25" s="3" t="s">
        <v>1447</v>
      </c>
      <c r="AD25" s="3" t="s">
        <v>1274</v>
      </c>
      <c r="AE25" s="3" t="s">
        <v>1275</v>
      </c>
    </row>
    <row r="26" spans="1:31" ht="56">
      <c r="A26" s="3" t="s">
        <v>1592</v>
      </c>
      <c r="B26" s="3" t="s">
        <v>1048</v>
      </c>
      <c r="C26" s="3" t="s">
        <v>1082</v>
      </c>
      <c r="D26" s="3" t="s">
        <v>1435</v>
      </c>
      <c r="E26" s="3" t="s">
        <v>1593</v>
      </c>
      <c r="F26" s="3" t="s">
        <v>1437</v>
      </c>
      <c r="G26" s="15">
        <v>22.507487000000001</v>
      </c>
      <c r="H26" s="15">
        <v>120.95887999999999</v>
      </c>
      <c r="I26" s="3">
        <v>5</v>
      </c>
      <c r="J26" s="3" t="s">
        <v>1257</v>
      </c>
      <c r="K26" s="3" t="s">
        <v>1594</v>
      </c>
      <c r="L26" s="3" t="s">
        <v>1595</v>
      </c>
      <c r="M26" s="3" t="s">
        <v>1440</v>
      </c>
      <c r="N26" s="3">
        <v>120</v>
      </c>
      <c r="O26" s="3" t="s">
        <v>1360</v>
      </c>
      <c r="P26" s="3" t="s">
        <v>1361</v>
      </c>
      <c r="Q26" s="3" t="s">
        <v>1263</v>
      </c>
      <c r="R26" s="3" t="s">
        <v>1264</v>
      </c>
      <c r="S26" s="3" t="s">
        <v>1265</v>
      </c>
      <c r="T26" s="3" t="s">
        <v>1266</v>
      </c>
      <c r="U26" s="3" t="s">
        <v>1441</v>
      </c>
      <c r="V26" s="3" t="s">
        <v>1442</v>
      </c>
      <c r="W26" s="3" t="s">
        <v>1443</v>
      </c>
      <c r="X26" s="26">
        <v>2.5</v>
      </c>
      <c r="Y26" s="3" t="s">
        <v>1444</v>
      </c>
      <c r="Z26" s="3" t="s">
        <v>29</v>
      </c>
      <c r="AA26" s="5" t="s">
        <v>1596</v>
      </c>
      <c r="AB26" s="5" t="s">
        <v>1597</v>
      </c>
      <c r="AC26" s="3" t="s">
        <v>1447</v>
      </c>
      <c r="AD26" s="3" t="s">
        <v>1274</v>
      </c>
      <c r="AE26" s="3" t="s">
        <v>1275</v>
      </c>
    </row>
    <row r="27" spans="1:31" ht="84">
      <c r="A27" s="3" t="s">
        <v>1598</v>
      </c>
      <c r="B27" s="3" t="s">
        <v>151</v>
      </c>
      <c r="C27" s="3" t="s">
        <v>1283</v>
      </c>
      <c r="D27" s="3" t="s">
        <v>1435</v>
      </c>
      <c r="E27" s="3" t="s">
        <v>1599</v>
      </c>
      <c r="F27" s="3" t="s">
        <v>1437</v>
      </c>
      <c r="G27" s="15">
        <v>25.107534000000001</v>
      </c>
      <c r="H27" s="15">
        <v>121.85789</v>
      </c>
      <c r="I27" s="3">
        <v>4</v>
      </c>
      <c r="J27" s="3" t="s">
        <v>1305</v>
      </c>
      <c r="K27" s="3" t="s">
        <v>1600</v>
      </c>
      <c r="L27" s="3" t="s">
        <v>1601</v>
      </c>
      <c r="M27" s="3" t="s">
        <v>1440</v>
      </c>
      <c r="N27" s="3">
        <v>200</v>
      </c>
      <c r="O27" s="3" t="s">
        <v>1261</v>
      </c>
      <c r="P27" s="3" t="s">
        <v>1459</v>
      </c>
      <c r="Q27" s="3" t="s">
        <v>1263</v>
      </c>
      <c r="R27" s="3" t="s">
        <v>1264</v>
      </c>
      <c r="S27" s="3" t="s">
        <v>1265</v>
      </c>
      <c r="T27" s="3" t="s">
        <v>1266</v>
      </c>
      <c r="U27" s="3" t="s">
        <v>1441</v>
      </c>
      <c r="V27" s="3" t="s">
        <v>1442</v>
      </c>
      <c r="W27" s="3" t="s">
        <v>1443</v>
      </c>
      <c r="X27" s="26">
        <v>2.5</v>
      </c>
      <c r="Y27" s="3" t="s">
        <v>1444</v>
      </c>
      <c r="Z27" s="3" t="s">
        <v>66</v>
      </c>
      <c r="AA27" s="5" t="s">
        <v>1602</v>
      </c>
      <c r="AB27" s="5" t="s">
        <v>1603</v>
      </c>
      <c r="AC27" s="3" t="s">
        <v>1462</v>
      </c>
      <c r="AD27" s="3" t="s">
        <v>1274</v>
      </c>
      <c r="AE27" s="3" t="s">
        <v>1275</v>
      </c>
    </row>
  </sheetData>
  <mergeCells count="1">
    <mergeCell ref="A1:AE1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7"/>
  <sheetViews>
    <sheetView workbookViewId="0"/>
  </sheetViews>
  <sheetFormatPr defaultRowHeight="14"/>
  <cols>
    <col min="1" max="1" width="19" customWidth="1"/>
    <col min="2" max="2" width="10" customWidth="1"/>
    <col min="3" max="3" width="11" customWidth="1"/>
    <col min="4" max="4" width="19" customWidth="1"/>
    <col min="5" max="5" width="31" customWidth="1"/>
    <col min="6" max="6" width="30" customWidth="1"/>
    <col min="7" max="8" width="16" customWidth="1"/>
    <col min="9" max="9" width="8" customWidth="1"/>
    <col min="10" max="10" width="12" customWidth="1"/>
    <col min="11" max="11" width="38" customWidth="1"/>
    <col min="12" max="12" width="48" customWidth="1"/>
    <col min="13" max="13" width="40" customWidth="1"/>
    <col min="14" max="14" width="15" customWidth="1"/>
    <col min="15" max="15" width="27" customWidth="1"/>
    <col min="16" max="16" width="48" customWidth="1"/>
    <col min="17" max="17" width="35" customWidth="1"/>
    <col min="18" max="18" width="34" customWidth="1"/>
    <col min="19" max="20" width="12" customWidth="1"/>
    <col min="21" max="21" width="25" customWidth="1"/>
    <col min="22" max="22" width="13" customWidth="1"/>
    <col min="23" max="23" width="16" customWidth="1"/>
    <col min="24" max="24" width="15" customWidth="1"/>
    <col min="25" max="25" width="42" customWidth="1"/>
    <col min="26" max="26" width="16" customWidth="1"/>
    <col min="27" max="27" width="48" customWidth="1"/>
    <col min="28" max="28" width="42" customWidth="1"/>
    <col min="29" max="29" width="28" customWidth="1"/>
    <col min="30" max="30" width="42" customWidth="1"/>
    <col min="31" max="31" width="38" customWidth="1"/>
  </cols>
  <sheetData>
    <row r="1" spans="1:31" ht="18">
      <c r="A1" s="44" t="s">
        <v>2252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3"/>
    </row>
    <row r="2" spans="1:31">
      <c r="A2" s="25" t="s">
        <v>1225</v>
      </c>
      <c r="B2" s="25" t="s">
        <v>2</v>
      </c>
      <c r="C2" s="25" t="s">
        <v>3</v>
      </c>
      <c r="D2" s="25" t="s">
        <v>5</v>
      </c>
      <c r="E2" s="25" t="s">
        <v>1226</v>
      </c>
      <c r="F2" s="25" t="s">
        <v>1227</v>
      </c>
      <c r="G2" s="25" t="s">
        <v>1228</v>
      </c>
      <c r="H2" s="25" t="s">
        <v>1229</v>
      </c>
      <c r="I2" s="25" t="s">
        <v>1230</v>
      </c>
      <c r="J2" s="25" t="s">
        <v>1231</v>
      </c>
      <c r="K2" s="25" t="s">
        <v>1232</v>
      </c>
      <c r="L2" s="25" t="s">
        <v>1233</v>
      </c>
      <c r="M2" s="25" t="s">
        <v>1234</v>
      </c>
      <c r="N2" s="25" t="s">
        <v>1235</v>
      </c>
      <c r="O2" s="25" t="s">
        <v>1236</v>
      </c>
      <c r="P2" s="25" t="s">
        <v>1237</v>
      </c>
      <c r="Q2" s="25" t="s">
        <v>1238</v>
      </c>
      <c r="R2" s="25" t="s">
        <v>1239</v>
      </c>
      <c r="S2" s="25" t="s">
        <v>1240</v>
      </c>
      <c r="T2" s="25" t="s">
        <v>1241</v>
      </c>
      <c r="U2" s="25" t="s">
        <v>1242</v>
      </c>
      <c r="V2" s="25" t="s">
        <v>1243</v>
      </c>
      <c r="W2" s="25" t="s">
        <v>1244</v>
      </c>
      <c r="X2" s="25" t="s">
        <v>1245</v>
      </c>
      <c r="Y2" s="25" t="s">
        <v>1246</v>
      </c>
      <c r="Z2" s="25" t="s">
        <v>7</v>
      </c>
      <c r="AA2" s="25" t="s">
        <v>1247</v>
      </c>
      <c r="AB2" s="25" t="s">
        <v>1248</v>
      </c>
      <c r="AC2" s="25" t="s">
        <v>1249</v>
      </c>
      <c r="AD2" s="25" t="s">
        <v>1250</v>
      </c>
      <c r="AE2" t="s">
        <v>1251</v>
      </c>
    </row>
    <row r="3" spans="1:31" ht="56">
      <c r="A3" s="3" t="s">
        <v>1604</v>
      </c>
      <c r="B3" s="3" t="s">
        <v>24</v>
      </c>
      <c r="C3" s="3" t="s">
        <v>1253</v>
      </c>
      <c r="D3" s="3" t="s">
        <v>1605</v>
      </c>
      <c r="E3" s="3" t="s">
        <v>1606</v>
      </c>
      <c r="F3" s="3" t="s">
        <v>1607</v>
      </c>
      <c r="G3" s="15">
        <v>25.056615000000001</v>
      </c>
      <c r="H3" s="15">
        <v>121.50714000000001</v>
      </c>
      <c r="I3" s="3">
        <v>5</v>
      </c>
      <c r="J3" s="3" t="s">
        <v>1257</v>
      </c>
      <c r="K3" s="3" t="s">
        <v>1608</v>
      </c>
      <c r="L3" s="3" t="s">
        <v>1609</v>
      </c>
      <c r="M3" s="3" t="s">
        <v>1610</v>
      </c>
      <c r="N3" s="3">
        <v>250</v>
      </c>
      <c r="O3" s="3" t="s">
        <v>1261</v>
      </c>
      <c r="P3" s="3" t="s">
        <v>1459</v>
      </c>
      <c r="Q3" s="3" t="s">
        <v>1263</v>
      </c>
      <c r="R3" s="3" t="s">
        <v>1264</v>
      </c>
      <c r="S3" s="3" t="s">
        <v>1265</v>
      </c>
      <c r="T3" s="3" t="s">
        <v>1266</v>
      </c>
      <c r="U3" s="3" t="s">
        <v>1611</v>
      </c>
      <c r="V3" s="3" t="s">
        <v>1268</v>
      </c>
      <c r="W3" s="3" t="s">
        <v>1443</v>
      </c>
      <c r="X3" s="26">
        <v>3</v>
      </c>
      <c r="Y3" s="3" t="s">
        <v>1612</v>
      </c>
      <c r="Z3" s="3" t="s">
        <v>29</v>
      </c>
      <c r="AA3" s="5" t="s">
        <v>1613</v>
      </c>
      <c r="AB3" s="5" t="s">
        <v>1614</v>
      </c>
      <c r="AC3" s="3" t="s">
        <v>1615</v>
      </c>
      <c r="AD3" s="3" t="s">
        <v>1274</v>
      </c>
      <c r="AE3" s="3" t="s">
        <v>1275</v>
      </c>
    </row>
    <row r="4" spans="1:31" ht="56">
      <c r="A4" s="3" t="s">
        <v>1616</v>
      </c>
      <c r="B4" s="3" t="s">
        <v>24</v>
      </c>
      <c r="C4" s="3" t="s">
        <v>58</v>
      </c>
      <c r="D4" s="3" t="s">
        <v>1605</v>
      </c>
      <c r="E4" s="3" t="s">
        <v>1617</v>
      </c>
      <c r="F4" s="3" t="s">
        <v>1607</v>
      </c>
      <c r="G4" s="15">
        <v>25.120615000000001</v>
      </c>
      <c r="H4" s="15">
        <v>121.46059</v>
      </c>
      <c r="I4" s="3">
        <v>4</v>
      </c>
      <c r="J4" s="3" t="s">
        <v>1305</v>
      </c>
      <c r="K4" s="3" t="s">
        <v>1618</v>
      </c>
      <c r="L4" s="3" t="s">
        <v>1619</v>
      </c>
      <c r="M4" s="3" t="s">
        <v>1610</v>
      </c>
      <c r="N4" s="3">
        <v>250</v>
      </c>
      <c r="O4" s="3" t="s">
        <v>1261</v>
      </c>
      <c r="P4" s="3" t="s">
        <v>1459</v>
      </c>
      <c r="Q4" s="3" t="s">
        <v>1263</v>
      </c>
      <c r="R4" s="3" t="s">
        <v>1264</v>
      </c>
      <c r="S4" s="3" t="s">
        <v>1265</v>
      </c>
      <c r="T4" s="3" t="s">
        <v>1266</v>
      </c>
      <c r="U4" s="3" t="s">
        <v>1611</v>
      </c>
      <c r="V4" s="3" t="s">
        <v>1268</v>
      </c>
      <c r="W4" s="3" t="s">
        <v>1443</v>
      </c>
      <c r="X4" s="26">
        <v>3</v>
      </c>
      <c r="Y4" s="3" t="s">
        <v>1612</v>
      </c>
      <c r="Z4" s="3" t="s">
        <v>66</v>
      </c>
      <c r="AA4" s="5" t="s">
        <v>1620</v>
      </c>
      <c r="AB4" s="5" t="s">
        <v>1621</v>
      </c>
      <c r="AC4" s="3" t="s">
        <v>1615</v>
      </c>
      <c r="AD4" s="3" t="s">
        <v>1274</v>
      </c>
      <c r="AE4" s="3" t="s">
        <v>1275</v>
      </c>
    </row>
    <row r="5" spans="1:31" ht="70">
      <c r="A5" s="3" t="s">
        <v>1622</v>
      </c>
      <c r="B5" s="3" t="s">
        <v>151</v>
      </c>
      <c r="C5" s="3" t="s">
        <v>1290</v>
      </c>
      <c r="D5" s="3" t="s">
        <v>1605</v>
      </c>
      <c r="E5" s="3" t="s">
        <v>1623</v>
      </c>
      <c r="F5" s="3" t="s">
        <v>1607</v>
      </c>
      <c r="G5" s="15">
        <v>25.183008999999998</v>
      </c>
      <c r="H5" s="15">
        <v>121.4121</v>
      </c>
      <c r="I5" s="3">
        <v>5</v>
      </c>
      <c r="J5" s="3" t="s">
        <v>1257</v>
      </c>
      <c r="K5" s="3" t="s">
        <v>1624</v>
      </c>
      <c r="L5" s="3" t="s">
        <v>1625</v>
      </c>
      <c r="M5" s="3" t="s">
        <v>1610</v>
      </c>
      <c r="N5" s="3">
        <v>250</v>
      </c>
      <c r="O5" s="3" t="s">
        <v>1261</v>
      </c>
      <c r="P5" s="3" t="s">
        <v>1459</v>
      </c>
      <c r="Q5" s="3" t="s">
        <v>1263</v>
      </c>
      <c r="R5" s="3" t="s">
        <v>1264</v>
      </c>
      <c r="S5" s="3" t="s">
        <v>1265</v>
      </c>
      <c r="T5" s="3" t="s">
        <v>1266</v>
      </c>
      <c r="U5" s="3" t="s">
        <v>1611</v>
      </c>
      <c r="V5" s="3" t="s">
        <v>1268</v>
      </c>
      <c r="W5" s="3" t="s">
        <v>1443</v>
      </c>
      <c r="X5" s="26">
        <v>3</v>
      </c>
      <c r="Y5" s="3" t="s">
        <v>1612</v>
      </c>
      <c r="Z5" s="3" t="s">
        <v>29</v>
      </c>
      <c r="AA5" s="5" t="s">
        <v>1626</v>
      </c>
      <c r="AB5" s="5" t="s">
        <v>1627</v>
      </c>
      <c r="AC5" s="3" t="s">
        <v>1615</v>
      </c>
      <c r="AD5" s="3" t="s">
        <v>1274</v>
      </c>
      <c r="AE5" s="3" t="s">
        <v>1275</v>
      </c>
    </row>
    <row r="6" spans="1:31" ht="70">
      <c r="A6" s="3" t="s">
        <v>1628</v>
      </c>
      <c r="B6" s="3" t="s">
        <v>151</v>
      </c>
      <c r="C6" s="3" t="s">
        <v>1290</v>
      </c>
      <c r="D6" s="3" t="s">
        <v>1605</v>
      </c>
      <c r="E6" s="3" t="s">
        <v>1629</v>
      </c>
      <c r="F6" s="3" t="s">
        <v>1607</v>
      </c>
      <c r="G6" s="15">
        <v>25.168908999999999</v>
      </c>
      <c r="H6" s="15">
        <v>121.44145</v>
      </c>
      <c r="I6" s="3">
        <v>4</v>
      </c>
      <c r="J6" s="3" t="s">
        <v>1305</v>
      </c>
      <c r="K6" s="3" t="s">
        <v>1630</v>
      </c>
      <c r="L6" s="3" t="s">
        <v>1631</v>
      </c>
      <c r="M6" s="3" t="s">
        <v>1610</v>
      </c>
      <c r="N6" s="3">
        <v>250</v>
      </c>
      <c r="O6" s="3" t="s">
        <v>1261</v>
      </c>
      <c r="P6" s="3" t="s">
        <v>1459</v>
      </c>
      <c r="Q6" s="3" t="s">
        <v>1263</v>
      </c>
      <c r="R6" s="3" t="s">
        <v>1264</v>
      </c>
      <c r="S6" s="3" t="s">
        <v>1265</v>
      </c>
      <c r="T6" s="3" t="s">
        <v>1266</v>
      </c>
      <c r="U6" s="3" t="s">
        <v>1611</v>
      </c>
      <c r="V6" s="3" t="s">
        <v>1268</v>
      </c>
      <c r="W6" s="3" t="s">
        <v>1443</v>
      </c>
      <c r="X6" s="26">
        <v>3</v>
      </c>
      <c r="Y6" s="3" t="s">
        <v>1612</v>
      </c>
      <c r="Z6" s="3" t="s">
        <v>66</v>
      </c>
      <c r="AA6" s="5" t="s">
        <v>1632</v>
      </c>
      <c r="AB6" s="5" t="s">
        <v>1633</v>
      </c>
      <c r="AC6" s="3" t="s">
        <v>1615</v>
      </c>
      <c r="AD6" s="3" t="s">
        <v>1274</v>
      </c>
      <c r="AE6" s="3" t="s">
        <v>1275</v>
      </c>
    </row>
    <row r="7" spans="1:31" ht="56">
      <c r="A7" s="3" t="s">
        <v>1634</v>
      </c>
      <c r="B7" s="3" t="s">
        <v>151</v>
      </c>
      <c r="C7" s="3" t="s">
        <v>209</v>
      </c>
      <c r="D7" s="3" t="s">
        <v>1605</v>
      </c>
      <c r="E7" s="3" t="s">
        <v>1635</v>
      </c>
      <c r="F7" s="3" t="s">
        <v>1607</v>
      </c>
      <c r="G7" s="15">
        <v>25.160844999999998</v>
      </c>
      <c r="H7" s="15">
        <v>121.43003</v>
      </c>
      <c r="I7" s="3">
        <v>5</v>
      </c>
      <c r="J7" s="3" t="s">
        <v>1257</v>
      </c>
      <c r="K7" s="3" t="s">
        <v>1636</v>
      </c>
      <c r="L7" s="3" t="s">
        <v>1637</v>
      </c>
      <c r="M7" s="3" t="s">
        <v>1610</v>
      </c>
      <c r="N7" s="3">
        <v>250</v>
      </c>
      <c r="O7" s="3" t="s">
        <v>1261</v>
      </c>
      <c r="P7" s="3" t="s">
        <v>1459</v>
      </c>
      <c r="Q7" s="3" t="s">
        <v>1263</v>
      </c>
      <c r="R7" s="3" t="s">
        <v>1264</v>
      </c>
      <c r="S7" s="3" t="s">
        <v>1265</v>
      </c>
      <c r="T7" s="3" t="s">
        <v>1266</v>
      </c>
      <c r="U7" s="3" t="s">
        <v>1611</v>
      </c>
      <c r="V7" s="3" t="s">
        <v>1268</v>
      </c>
      <c r="W7" s="3" t="s">
        <v>1443</v>
      </c>
      <c r="X7" s="26">
        <v>3</v>
      </c>
      <c r="Y7" s="3" t="s">
        <v>1612</v>
      </c>
      <c r="Z7" s="3" t="s">
        <v>29</v>
      </c>
      <c r="AA7" s="5" t="s">
        <v>1638</v>
      </c>
      <c r="AB7" s="5" t="s">
        <v>1639</v>
      </c>
      <c r="AC7" s="3" t="s">
        <v>1615</v>
      </c>
      <c r="AD7" s="3" t="s">
        <v>1274</v>
      </c>
      <c r="AE7" s="3" t="s">
        <v>1640</v>
      </c>
    </row>
    <row r="8" spans="1:31" ht="56">
      <c r="A8" s="3" t="s">
        <v>1641</v>
      </c>
      <c r="B8" s="3" t="s">
        <v>151</v>
      </c>
      <c r="C8" s="3" t="s">
        <v>1642</v>
      </c>
      <c r="D8" s="3" t="s">
        <v>1605</v>
      </c>
      <c r="E8" s="3" t="s">
        <v>1643</v>
      </c>
      <c r="F8" s="3" t="s">
        <v>1607</v>
      </c>
      <c r="G8" s="15">
        <v>25.292634</v>
      </c>
      <c r="H8" s="15">
        <v>121.53530000000001</v>
      </c>
      <c r="I8" s="3">
        <v>4</v>
      </c>
      <c r="J8" s="3" t="s">
        <v>1305</v>
      </c>
      <c r="K8" s="3" t="s">
        <v>1644</v>
      </c>
      <c r="L8" s="3" t="s">
        <v>1645</v>
      </c>
      <c r="M8" s="3" t="s">
        <v>1610</v>
      </c>
      <c r="N8" s="3">
        <v>250</v>
      </c>
      <c r="O8" s="3" t="s">
        <v>1261</v>
      </c>
      <c r="P8" s="3" t="s">
        <v>1459</v>
      </c>
      <c r="Q8" s="3" t="s">
        <v>1263</v>
      </c>
      <c r="R8" s="3" t="s">
        <v>1264</v>
      </c>
      <c r="S8" s="3" t="s">
        <v>1265</v>
      </c>
      <c r="T8" s="3" t="s">
        <v>1266</v>
      </c>
      <c r="U8" s="3" t="s">
        <v>1611</v>
      </c>
      <c r="V8" s="3" t="s">
        <v>1268</v>
      </c>
      <c r="W8" s="3" t="s">
        <v>1443</v>
      </c>
      <c r="X8" s="26">
        <v>3</v>
      </c>
      <c r="Y8" s="3" t="s">
        <v>1612</v>
      </c>
      <c r="Z8" s="3" t="s">
        <v>66</v>
      </c>
      <c r="AA8" s="5" t="s">
        <v>1646</v>
      </c>
      <c r="AB8" s="5" t="s">
        <v>1647</v>
      </c>
      <c r="AC8" s="3" t="s">
        <v>1615</v>
      </c>
      <c r="AD8" s="3" t="s">
        <v>1274</v>
      </c>
      <c r="AE8" s="3" t="s">
        <v>1275</v>
      </c>
    </row>
    <row r="9" spans="1:31" ht="56">
      <c r="A9" s="3" t="s">
        <v>1648</v>
      </c>
      <c r="B9" s="3" t="s">
        <v>241</v>
      </c>
      <c r="C9" s="3" t="s">
        <v>1649</v>
      </c>
      <c r="D9" s="3" t="s">
        <v>1605</v>
      </c>
      <c r="E9" s="3" t="s">
        <v>1650</v>
      </c>
      <c r="F9" s="3" t="s">
        <v>1607</v>
      </c>
      <c r="G9" s="15">
        <v>25.131022000000002</v>
      </c>
      <c r="H9" s="15">
        <v>121.74133999999999</v>
      </c>
      <c r="I9" s="3">
        <v>5</v>
      </c>
      <c r="J9" s="3" t="s">
        <v>1257</v>
      </c>
      <c r="K9" s="3" t="s">
        <v>1651</v>
      </c>
      <c r="L9" s="3" t="s">
        <v>1652</v>
      </c>
      <c r="M9" s="3" t="s">
        <v>1610</v>
      </c>
      <c r="N9" s="3">
        <v>250</v>
      </c>
      <c r="O9" s="3" t="s">
        <v>1261</v>
      </c>
      <c r="P9" s="3" t="s">
        <v>1459</v>
      </c>
      <c r="Q9" s="3" t="s">
        <v>1263</v>
      </c>
      <c r="R9" s="3" t="s">
        <v>1264</v>
      </c>
      <c r="S9" s="3" t="s">
        <v>1265</v>
      </c>
      <c r="T9" s="3" t="s">
        <v>1266</v>
      </c>
      <c r="U9" s="3" t="s">
        <v>1611</v>
      </c>
      <c r="V9" s="3" t="s">
        <v>1268</v>
      </c>
      <c r="W9" s="3" t="s">
        <v>1443</v>
      </c>
      <c r="X9" s="26">
        <v>3</v>
      </c>
      <c r="Y9" s="3" t="s">
        <v>1612</v>
      </c>
      <c r="Z9" s="3" t="s">
        <v>29</v>
      </c>
      <c r="AA9" s="5" t="s">
        <v>1653</v>
      </c>
      <c r="AB9" s="5" t="s">
        <v>1654</v>
      </c>
      <c r="AC9" s="3" t="s">
        <v>1615</v>
      </c>
      <c r="AD9" s="3" t="s">
        <v>1274</v>
      </c>
      <c r="AE9" s="3" t="s">
        <v>1275</v>
      </c>
    </row>
    <row r="10" spans="1:31" ht="56">
      <c r="A10" s="3" t="s">
        <v>1655</v>
      </c>
      <c r="B10" s="3" t="s">
        <v>241</v>
      </c>
      <c r="C10" s="3" t="s">
        <v>44</v>
      </c>
      <c r="D10" s="3" t="s">
        <v>1605</v>
      </c>
      <c r="E10" s="3" t="s">
        <v>1656</v>
      </c>
      <c r="F10" s="3" t="s">
        <v>1607</v>
      </c>
      <c r="G10" s="15">
        <v>25.147141000000001</v>
      </c>
      <c r="H10" s="15">
        <v>121.78628999999999</v>
      </c>
      <c r="I10" s="3">
        <v>4</v>
      </c>
      <c r="J10" s="3" t="s">
        <v>1305</v>
      </c>
      <c r="K10" s="3" t="s">
        <v>1657</v>
      </c>
      <c r="L10" s="3" t="s">
        <v>1658</v>
      </c>
      <c r="M10" s="3" t="s">
        <v>1610</v>
      </c>
      <c r="N10" s="3">
        <v>250</v>
      </c>
      <c r="O10" s="3" t="s">
        <v>1261</v>
      </c>
      <c r="P10" s="3" t="s">
        <v>1459</v>
      </c>
      <c r="Q10" s="3" t="s">
        <v>1263</v>
      </c>
      <c r="R10" s="3" t="s">
        <v>1264</v>
      </c>
      <c r="S10" s="3" t="s">
        <v>1265</v>
      </c>
      <c r="T10" s="3" t="s">
        <v>1266</v>
      </c>
      <c r="U10" s="3" t="s">
        <v>1611</v>
      </c>
      <c r="V10" s="3" t="s">
        <v>1268</v>
      </c>
      <c r="W10" s="3" t="s">
        <v>1443</v>
      </c>
      <c r="X10" s="26">
        <v>3</v>
      </c>
      <c r="Y10" s="3" t="s">
        <v>1612</v>
      </c>
      <c r="Z10" s="3" t="s">
        <v>66</v>
      </c>
      <c r="AA10" s="5" t="s">
        <v>1659</v>
      </c>
      <c r="AB10" s="5" t="s">
        <v>1660</v>
      </c>
      <c r="AC10" s="3" t="s">
        <v>1615</v>
      </c>
      <c r="AD10" s="3" t="s">
        <v>1274</v>
      </c>
      <c r="AE10" s="3" t="s">
        <v>1275</v>
      </c>
    </row>
    <row r="11" spans="1:31" ht="84">
      <c r="A11" s="3" t="s">
        <v>1661</v>
      </c>
      <c r="B11" s="3" t="s">
        <v>241</v>
      </c>
      <c r="C11" s="3" t="s">
        <v>97</v>
      </c>
      <c r="D11" s="3" t="s">
        <v>1605</v>
      </c>
      <c r="E11" s="3" t="s">
        <v>1662</v>
      </c>
      <c r="F11" s="3" t="s">
        <v>1607</v>
      </c>
      <c r="G11" s="15">
        <v>25.163322000000001</v>
      </c>
      <c r="H11" s="15">
        <v>121.72709999999999</v>
      </c>
      <c r="I11" s="3">
        <v>4</v>
      </c>
      <c r="J11" s="3" t="s">
        <v>1305</v>
      </c>
      <c r="K11" s="3" t="s">
        <v>1663</v>
      </c>
      <c r="L11" s="3" t="s">
        <v>1664</v>
      </c>
      <c r="M11" s="3" t="s">
        <v>1610</v>
      </c>
      <c r="N11" s="3">
        <v>250</v>
      </c>
      <c r="O11" s="3" t="s">
        <v>1261</v>
      </c>
      <c r="P11" s="3" t="s">
        <v>1459</v>
      </c>
      <c r="Q11" s="3" t="s">
        <v>1263</v>
      </c>
      <c r="R11" s="3" t="s">
        <v>1264</v>
      </c>
      <c r="S11" s="3" t="s">
        <v>1265</v>
      </c>
      <c r="T11" s="3" t="s">
        <v>1266</v>
      </c>
      <c r="U11" s="3" t="s">
        <v>1611</v>
      </c>
      <c r="V11" s="3" t="s">
        <v>1268</v>
      </c>
      <c r="W11" s="3" t="s">
        <v>1443</v>
      </c>
      <c r="X11" s="26">
        <v>3</v>
      </c>
      <c r="Y11" s="3" t="s">
        <v>1612</v>
      </c>
      <c r="Z11" s="3" t="s">
        <v>66</v>
      </c>
      <c r="AA11" s="5" t="s">
        <v>1665</v>
      </c>
      <c r="AB11" s="5" t="s">
        <v>1666</v>
      </c>
      <c r="AC11" s="3" t="s">
        <v>1615</v>
      </c>
      <c r="AD11" s="3" t="s">
        <v>1274</v>
      </c>
      <c r="AE11" s="3" t="s">
        <v>1275</v>
      </c>
    </row>
    <row r="12" spans="1:31" ht="56">
      <c r="A12" s="3" t="s">
        <v>1667</v>
      </c>
      <c r="B12" s="3" t="s">
        <v>281</v>
      </c>
      <c r="C12" s="3" t="s">
        <v>293</v>
      </c>
      <c r="D12" s="3" t="s">
        <v>1605</v>
      </c>
      <c r="E12" s="3" t="s">
        <v>1668</v>
      </c>
      <c r="F12" s="3" t="s">
        <v>1607</v>
      </c>
      <c r="G12" s="15">
        <v>25.116855000000001</v>
      </c>
      <c r="H12" s="15">
        <v>121.24415</v>
      </c>
      <c r="I12" s="3">
        <v>5</v>
      </c>
      <c r="J12" s="3" t="s">
        <v>1257</v>
      </c>
      <c r="K12" s="3" t="s">
        <v>1669</v>
      </c>
      <c r="L12" s="3" t="s">
        <v>1670</v>
      </c>
      <c r="M12" s="3" t="s">
        <v>1610</v>
      </c>
      <c r="N12" s="3">
        <v>250</v>
      </c>
      <c r="O12" s="3" t="s">
        <v>1261</v>
      </c>
      <c r="P12" s="3" t="s">
        <v>1459</v>
      </c>
      <c r="Q12" s="3" t="s">
        <v>1263</v>
      </c>
      <c r="R12" s="3" t="s">
        <v>1264</v>
      </c>
      <c r="S12" s="3" t="s">
        <v>1265</v>
      </c>
      <c r="T12" s="3" t="s">
        <v>1266</v>
      </c>
      <c r="U12" s="3" t="s">
        <v>1611</v>
      </c>
      <c r="V12" s="3" t="s">
        <v>1268</v>
      </c>
      <c r="W12" s="3" t="s">
        <v>1443</v>
      </c>
      <c r="X12" s="26">
        <v>3</v>
      </c>
      <c r="Y12" s="3" t="s">
        <v>1612</v>
      </c>
      <c r="Z12" s="3" t="s">
        <v>29</v>
      </c>
      <c r="AA12" s="5" t="s">
        <v>1671</v>
      </c>
      <c r="AB12" s="5" t="s">
        <v>1672</v>
      </c>
      <c r="AC12" s="3" t="s">
        <v>1615</v>
      </c>
      <c r="AD12" s="3" t="s">
        <v>1274</v>
      </c>
      <c r="AE12" s="3" t="s">
        <v>1275</v>
      </c>
    </row>
    <row r="13" spans="1:31" ht="56">
      <c r="A13" s="3" t="s">
        <v>1673</v>
      </c>
      <c r="B13" s="3" t="s">
        <v>281</v>
      </c>
      <c r="C13" s="3" t="s">
        <v>1674</v>
      </c>
      <c r="D13" s="3" t="s">
        <v>1605</v>
      </c>
      <c r="E13" s="3" t="s">
        <v>1675</v>
      </c>
      <c r="F13" s="3" t="s">
        <v>1607</v>
      </c>
      <c r="G13" s="15">
        <v>24.987943000000001</v>
      </c>
      <c r="H13" s="15">
        <v>121.01492</v>
      </c>
      <c r="I13" s="3">
        <v>5</v>
      </c>
      <c r="J13" s="3" t="s">
        <v>1257</v>
      </c>
      <c r="K13" s="3" t="s">
        <v>1676</v>
      </c>
      <c r="L13" s="3" t="s">
        <v>1677</v>
      </c>
      <c r="M13" s="3" t="s">
        <v>1610</v>
      </c>
      <c r="N13" s="3">
        <v>250</v>
      </c>
      <c r="O13" s="3" t="s">
        <v>1261</v>
      </c>
      <c r="P13" s="3" t="s">
        <v>1459</v>
      </c>
      <c r="Q13" s="3" t="s">
        <v>1263</v>
      </c>
      <c r="R13" s="3" t="s">
        <v>1264</v>
      </c>
      <c r="S13" s="3" t="s">
        <v>1265</v>
      </c>
      <c r="T13" s="3" t="s">
        <v>1266</v>
      </c>
      <c r="U13" s="3" t="s">
        <v>1611</v>
      </c>
      <c r="V13" s="3" t="s">
        <v>1268</v>
      </c>
      <c r="W13" s="3" t="s">
        <v>1443</v>
      </c>
      <c r="X13" s="26">
        <v>3</v>
      </c>
      <c r="Y13" s="3" t="s">
        <v>1612</v>
      </c>
      <c r="Z13" s="3" t="s">
        <v>29</v>
      </c>
      <c r="AA13" s="5" t="s">
        <v>1678</v>
      </c>
      <c r="AB13" s="5" t="s">
        <v>1679</v>
      </c>
      <c r="AC13" s="3" t="s">
        <v>1615</v>
      </c>
      <c r="AD13" s="3" t="s">
        <v>1274</v>
      </c>
      <c r="AE13" s="3" t="s">
        <v>1275</v>
      </c>
    </row>
    <row r="14" spans="1:31" ht="70">
      <c r="A14" s="3" t="s">
        <v>1680</v>
      </c>
      <c r="B14" s="3" t="s">
        <v>355</v>
      </c>
      <c r="C14" s="3" t="s">
        <v>366</v>
      </c>
      <c r="D14" s="3" t="s">
        <v>1605</v>
      </c>
      <c r="E14" s="3" t="s">
        <v>1681</v>
      </c>
      <c r="F14" s="3" t="s">
        <v>1607</v>
      </c>
      <c r="G14" s="15">
        <v>24.846239000000001</v>
      </c>
      <c r="H14" s="15">
        <v>120.92589</v>
      </c>
      <c r="I14" s="3">
        <v>5</v>
      </c>
      <c r="J14" s="3" t="s">
        <v>1257</v>
      </c>
      <c r="K14" s="3" t="s">
        <v>1682</v>
      </c>
      <c r="L14" s="3" t="s">
        <v>1683</v>
      </c>
      <c r="M14" s="3" t="s">
        <v>1610</v>
      </c>
      <c r="N14" s="3">
        <v>250</v>
      </c>
      <c r="O14" s="3" t="s">
        <v>1261</v>
      </c>
      <c r="P14" s="3" t="s">
        <v>1459</v>
      </c>
      <c r="Q14" s="3" t="s">
        <v>1263</v>
      </c>
      <c r="R14" s="3" t="s">
        <v>1264</v>
      </c>
      <c r="S14" s="3" t="s">
        <v>1265</v>
      </c>
      <c r="T14" s="3" t="s">
        <v>1266</v>
      </c>
      <c r="U14" s="3" t="s">
        <v>1611</v>
      </c>
      <c r="V14" s="3" t="s">
        <v>1268</v>
      </c>
      <c r="W14" s="3" t="s">
        <v>1443</v>
      </c>
      <c r="X14" s="26">
        <v>3</v>
      </c>
      <c r="Y14" s="3" t="s">
        <v>1612</v>
      </c>
      <c r="Z14" s="3" t="s">
        <v>29</v>
      </c>
      <c r="AA14" s="5" t="s">
        <v>1684</v>
      </c>
      <c r="AB14" s="5" t="s">
        <v>1685</v>
      </c>
      <c r="AC14" s="3" t="s">
        <v>1615</v>
      </c>
      <c r="AD14" s="3" t="s">
        <v>1274</v>
      </c>
      <c r="AE14" s="3" t="s">
        <v>1275</v>
      </c>
    </row>
    <row r="15" spans="1:31" ht="56">
      <c r="A15" s="3" t="s">
        <v>1686</v>
      </c>
      <c r="B15" s="3" t="s">
        <v>436</v>
      </c>
      <c r="C15" s="3" t="s">
        <v>447</v>
      </c>
      <c r="D15" s="3" t="s">
        <v>1605</v>
      </c>
      <c r="E15" s="3" t="s">
        <v>1687</v>
      </c>
      <c r="F15" s="3" t="s">
        <v>1607</v>
      </c>
      <c r="G15" s="15">
        <v>24.699777999999998</v>
      </c>
      <c r="H15" s="15">
        <v>120.85831</v>
      </c>
      <c r="I15" s="3">
        <v>4</v>
      </c>
      <c r="J15" s="3" t="s">
        <v>1305</v>
      </c>
      <c r="K15" s="3" t="s">
        <v>1688</v>
      </c>
      <c r="L15" s="3" t="s">
        <v>1689</v>
      </c>
      <c r="M15" s="3" t="s">
        <v>1610</v>
      </c>
      <c r="N15" s="3">
        <v>250</v>
      </c>
      <c r="O15" s="3" t="s">
        <v>1261</v>
      </c>
      <c r="P15" s="3" t="s">
        <v>1459</v>
      </c>
      <c r="Q15" s="3" t="s">
        <v>1263</v>
      </c>
      <c r="R15" s="3" t="s">
        <v>1264</v>
      </c>
      <c r="S15" s="3" t="s">
        <v>1265</v>
      </c>
      <c r="T15" s="3" t="s">
        <v>1266</v>
      </c>
      <c r="U15" s="3" t="s">
        <v>1611</v>
      </c>
      <c r="V15" s="3" t="s">
        <v>1268</v>
      </c>
      <c r="W15" s="3" t="s">
        <v>1443</v>
      </c>
      <c r="X15" s="26">
        <v>3</v>
      </c>
      <c r="Y15" s="3" t="s">
        <v>1612</v>
      </c>
      <c r="Z15" s="3" t="s">
        <v>66</v>
      </c>
      <c r="AA15" s="5" t="s">
        <v>1690</v>
      </c>
      <c r="AB15" s="5" t="s">
        <v>1691</v>
      </c>
      <c r="AC15" s="3" t="s">
        <v>1615</v>
      </c>
      <c r="AD15" s="3" t="s">
        <v>1274</v>
      </c>
      <c r="AE15" s="3" t="s">
        <v>1275</v>
      </c>
    </row>
    <row r="16" spans="1:31" ht="70">
      <c r="A16" s="3" t="s">
        <v>1692</v>
      </c>
      <c r="B16" s="3" t="s">
        <v>480</v>
      </c>
      <c r="C16" s="3" t="s">
        <v>535</v>
      </c>
      <c r="D16" s="3" t="s">
        <v>1605</v>
      </c>
      <c r="E16" s="3" t="s">
        <v>1693</v>
      </c>
      <c r="F16" s="3" t="s">
        <v>1607</v>
      </c>
      <c r="G16" s="15">
        <v>24.293410000000002</v>
      </c>
      <c r="H16" s="15">
        <v>120.52122</v>
      </c>
      <c r="I16" s="3">
        <v>5</v>
      </c>
      <c r="J16" s="3" t="s">
        <v>1257</v>
      </c>
      <c r="K16" s="3" t="s">
        <v>1694</v>
      </c>
      <c r="L16" s="3" t="s">
        <v>1695</v>
      </c>
      <c r="M16" s="3" t="s">
        <v>1610</v>
      </c>
      <c r="N16" s="3">
        <v>250</v>
      </c>
      <c r="O16" s="3" t="s">
        <v>1261</v>
      </c>
      <c r="P16" s="3" t="s">
        <v>1459</v>
      </c>
      <c r="Q16" s="3" t="s">
        <v>1263</v>
      </c>
      <c r="R16" s="3" t="s">
        <v>1264</v>
      </c>
      <c r="S16" s="3" t="s">
        <v>1265</v>
      </c>
      <c r="T16" s="3" t="s">
        <v>1266</v>
      </c>
      <c r="U16" s="3" t="s">
        <v>1611</v>
      </c>
      <c r="V16" s="3" t="s">
        <v>1268</v>
      </c>
      <c r="W16" s="3" t="s">
        <v>1443</v>
      </c>
      <c r="X16" s="26">
        <v>3</v>
      </c>
      <c r="Y16" s="3" t="s">
        <v>1612</v>
      </c>
      <c r="Z16" s="3" t="s">
        <v>29</v>
      </c>
      <c r="AA16" s="5" t="s">
        <v>1696</v>
      </c>
      <c r="AB16" s="5" t="s">
        <v>1697</v>
      </c>
      <c r="AC16" s="3" t="s">
        <v>1615</v>
      </c>
      <c r="AD16" s="3" t="s">
        <v>1274</v>
      </c>
      <c r="AE16" s="3" t="s">
        <v>1275</v>
      </c>
    </row>
    <row r="17" spans="1:31" ht="84">
      <c r="A17" s="3" t="s">
        <v>1698</v>
      </c>
      <c r="B17" s="3" t="s">
        <v>559</v>
      </c>
      <c r="C17" s="3" t="s">
        <v>1699</v>
      </c>
      <c r="D17" s="3" t="s">
        <v>1605</v>
      </c>
      <c r="E17" s="3" t="s">
        <v>1700</v>
      </c>
      <c r="F17" s="3" t="s">
        <v>1607</v>
      </c>
      <c r="G17" s="15">
        <v>23.969635</v>
      </c>
      <c r="H17" s="15">
        <v>120.32644000000001</v>
      </c>
      <c r="I17" s="3">
        <v>5</v>
      </c>
      <c r="J17" s="3" t="s">
        <v>1257</v>
      </c>
      <c r="K17" s="3" t="s">
        <v>1701</v>
      </c>
      <c r="L17" s="3" t="s">
        <v>1702</v>
      </c>
      <c r="M17" s="3" t="s">
        <v>1610</v>
      </c>
      <c r="N17" s="3">
        <v>250</v>
      </c>
      <c r="O17" s="3" t="s">
        <v>1261</v>
      </c>
      <c r="P17" s="3" t="s">
        <v>1459</v>
      </c>
      <c r="Q17" s="3" t="s">
        <v>1263</v>
      </c>
      <c r="R17" s="3" t="s">
        <v>1264</v>
      </c>
      <c r="S17" s="3" t="s">
        <v>1265</v>
      </c>
      <c r="T17" s="3" t="s">
        <v>1266</v>
      </c>
      <c r="U17" s="3" t="s">
        <v>1611</v>
      </c>
      <c r="V17" s="3" t="s">
        <v>1268</v>
      </c>
      <c r="W17" s="3" t="s">
        <v>1443</v>
      </c>
      <c r="X17" s="26">
        <v>3</v>
      </c>
      <c r="Y17" s="3" t="s">
        <v>1612</v>
      </c>
      <c r="Z17" s="3" t="s">
        <v>29</v>
      </c>
      <c r="AA17" s="5" t="s">
        <v>1703</v>
      </c>
      <c r="AB17" s="5" t="s">
        <v>1704</v>
      </c>
      <c r="AC17" s="3" t="s">
        <v>1615</v>
      </c>
      <c r="AD17" s="3" t="s">
        <v>1274</v>
      </c>
      <c r="AE17" s="3" t="s">
        <v>1275</v>
      </c>
    </row>
    <row r="18" spans="1:31" ht="84">
      <c r="A18" s="3" t="s">
        <v>1705</v>
      </c>
      <c r="B18" s="3" t="s">
        <v>714</v>
      </c>
      <c r="C18" s="3" t="s">
        <v>735</v>
      </c>
      <c r="D18" s="3" t="s">
        <v>1605</v>
      </c>
      <c r="E18" s="3" t="s">
        <v>1706</v>
      </c>
      <c r="F18" s="3" t="s">
        <v>1607</v>
      </c>
      <c r="G18" s="15">
        <v>23.448865000000001</v>
      </c>
      <c r="H18" s="15">
        <v>120.13533</v>
      </c>
      <c r="I18" s="3">
        <v>5</v>
      </c>
      <c r="J18" s="3" t="s">
        <v>1257</v>
      </c>
      <c r="K18" s="3" t="s">
        <v>1707</v>
      </c>
      <c r="L18" s="3" t="s">
        <v>1708</v>
      </c>
      <c r="M18" s="3" t="s">
        <v>1610</v>
      </c>
      <c r="N18" s="3">
        <v>250</v>
      </c>
      <c r="O18" s="3" t="s">
        <v>1261</v>
      </c>
      <c r="P18" s="3" t="s">
        <v>1459</v>
      </c>
      <c r="Q18" s="3" t="s">
        <v>1263</v>
      </c>
      <c r="R18" s="3" t="s">
        <v>1264</v>
      </c>
      <c r="S18" s="3" t="s">
        <v>1265</v>
      </c>
      <c r="T18" s="3" t="s">
        <v>1266</v>
      </c>
      <c r="U18" s="3" t="s">
        <v>1611</v>
      </c>
      <c r="V18" s="3" t="s">
        <v>1268</v>
      </c>
      <c r="W18" s="3" t="s">
        <v>1443</v>
      </c>
      <c r="X18" s="26">
        <v>3</v>
      </c>
      <c r="Y18" s="3" t="s">
        <v>1612</v>
      </c>
      <c r="Z18" s="3" t="s">
        <v>29</v>
      </c>
      <c r="AA18" s="5" t="s">
        <v>1709</v>
      </c>
      <c r="AB18" s="5" t="s">
        <v>1710</v>
      </c>
      <c r="AC18" s="3" t="s">
        <v>1615</v>
      </c>
      <c r="AD18" s="3" t="s">
        <v>1274</v>
      </c>
      <c r="AE18" s="3" t="s">
        <v>1711</v>
      </c>
    </row>
    <row r="19" spans="1:31" ht="70">
      <c r="A19" s="3" t="s">
        <v>1712</v>
      </c>
      <c r="B19" s="3" t="s">
        <v>714</v>
      </c>
      <c r="C19" s="3" t="s">
        <v>745</v>
      </c>
      <c r="D19" s="3" t="s">
        <v>1605</v>
      </c>
      <c r="E19" s="3" t="s">
        <v>1713</v>
      </c>
      <c r="F19" s="3" t="s">
        <v>1607</v>
      </c>
      <c r="G19" s="15">
        <v>23.379479</v>
      </c>
      <c r="H19" s="15">
        <v>120.15555999999999</v>
      </c>
      <c r="I19" s="3">
        <v>4</v>
      </c>
      <c r="J19" s="3" t="s">
        <v>1305</v>
      </c>
      <c r="K19" s="3" t="s">
        <v>1714</v>
      </c>
      <c r="L19" s="3" t="s">
        <v>1715</v>
      </c>
      <c r="M19" s="3" t="s">
        <v>1610</v>
      </c>
      <c r="N19" s="3">
        <v>250</v>
      </c>
      <c r="O19" s="3" t="s">
        <v>1261</v>
      </c>
      <c r="P19" s="3" t="s">
        <v>1459</v>
      </c>
      <c r="Q19" s="3" t="s">
        <v>1263</v>
      </c>
      <c r="R19" s="3" t="s">
        <v>1264</v>
      </c>
      <c r="S19" s="3" t="s">
        <v>1265</v>
      </c>
      <c r="T19" s="3" t="s">
        <v>1266</v>
      </c>
      <c r="U19" s="3" t="s">
        <v>1611</v>
      </c>
      <c r="V19" s="3" t="s">
        <v>1268</v>
      </c>
      <c r="W19" s="3" t="s">
        <v>1443</v>
      </c>
      <c r="X19" s="26">
        <v>3</v>
      </c>
      <c r="Y19" s="3" t="s">
        <v>1612</v>
      </c>
      <c r="Z19" s="3" t="s">
        <v>66</v>
      </c>
      <c r="AA19" s="5" t="s">
        <v>1716</v>
      </c>
      <c r="AB19" s="5" t="s">
        <v>1717</v>
      </c>
      <c r="AC19" s="3" t="s">
        <v>1615</v>
      </c>
      <c r="AD19" s="3" t="s">
        <v>1274</v>
      </c>
      <c r="AE19" s="3" t="s">
        <v>1275</v>
      </c>
    </row>
    <row r="20" spans="1:31" ht="70">
      <c r="A20" s="3" t="s">
        <v>1718</v>
      </c>
      <c r="B20" s="3" t="s">
        <v>750</v>
      </c>
      <c r="C20" s="3" t="s">
        <v>765</v>
      </c>
      <c r="D20" s="3" t="s">
        <v>1605</v>
      </c>
      <c r="E20" s="3" t="s">
        <v>1719</v>
      </c>
      <c r="F20" s="3" t="s">
        <v>1607</v>
      </c>
      <c r="G20" s="15">
        <v>22.991040999999999</v>
      </c>
      <c r="H20" s="15">
        <v>120.14729</v>
      </c>
      <c r="I20" s="3">
        <v>4</v>
      </c>
      <c r="J20" s="3" t="s">
        <v>1305</v>
      </c>
      <c r="K20" s="3" t="s">
        <v>1720</v>
      </c>
      <c r="L20" s="3" t="s">
        <v>1721</v>
      </c>
      <c r="M20" s="3" t="s">
        <v>1610</v>
      </c>
      <c r="N20" s="3">
        <v>250</v>
      </c>
      <c r="O20" s="3" t="s">
        <v>1261</v>
      </c>
      <c r="P20" s="3" t="s">
        <v>1459</v>
      </c>
      <c r="Q20" s="3" t="s">
        <v>1263</v>
      </c>
      <c r="R20" s="3" t="s">
        <v>1264</v>
      </c>
      <c r="S20" s="3" t="s">
        <v>1265</v>
      </c>
      <c r="T20" s="3" t="s">
        <v>1266</v>
      </c>
      <c r="U20" s="3" t="s">
        <v>1611</v>
      </c>
      <c r="V20" s="3" t="s">
        <v>1268</v>
      </c>
      <c r="W20" s="3" t="s">
        <v>1443</v>
      </c>
      <c r="X20" s="26">
        <v>3</v>
      </c>
      <c r="Y20" s="3" t="s">
        <v>1612</v>
      </c>
      <c r="Z20" s="3" t="s">
        <v>66</v>
      </c>
      <c r="AA20" s="5" t="s">
        <v>1722</v>
      </c>
      <c r="AB20" s="5" t="s">
        <v>1723</v>
      </c>
      <c r="AC20" s="3" t="s">
        <v>1615</v>
      </c>
      <c r="AD20" s="3" t="s">
        <v>1274</v>
      </c>
      <c r="AE20" s="3" t="s">
        <v>1275</v>
      </c>
    </row>
    <row r="21" spans="1:31" ht="56">
      <c r="A21" s="3" t="s">
        <v>1724</v>
      </c>
      <c r="B21" s="3" t="s">
        <v>819</v>
      </c>
      <c r="C21" s="3" t="s">
        <v>1725</v>
      </c>
      <c r="D21" s="3" t="s">
        <v>1605</v>
      </c>
      <c r="E21" s="3" t="s">
        <v>1726</v>
      </c>
      <c r="F21" s="3" t="s">
        <v>1607</v>
      </c>
      <c r="G21" s="15">
        <v>22.624860000000002</v>
      </c>
      <c r="H21" s="15">
        <v>120.28912</v>
      </c>
      <c r="I21" s="3">
        <v>5</v>
      </c>
      <c r="J21" s="3" t="s">
        <v>1257</v>
      </c>
      <c r="K21" s="3" t="s">
        <v>1727</v>
      </c>
      <c r="L21" s="3" t="s">
        <v>1728</v>
      </c>
      <c r="M21" s="3" t="s">
        <v>1610</v>
      </c>
      <c r="N21" s="3">
        <v>250</v>
      </c>
      <c r="O21" s="3" t="s">
        <v>1261</v>
      </c>
      <c r="P21" s="3" t="s">
        <v>1459</v>
      </c>
      <c r="Q21" s="3" t="s">
        <v>1263</v>
      </c>
      <c r="R21" s="3" t="s">
        <v>1264</v>
      </c>
      <c r="S21" s="3" t="s">
        <v>1265</v>
      </c>
      <c r="T21" s="3" t="s">
        <v>1266</v>
      </c>
      <c r="U21" s="3" t="s">
        <v>1611</v>
      </c>
      <c r="V21" s="3" t="s">
        <v>1268</v>
      </c>
      <c r="W21" s="3" t="s">
        <v>1443</v>
      </c>
      <c r="X21" s="26">
        <v>3</v>
      </c>
      <c r="Y21" s="3" t="s">
        <v>1612</v>
      </c>
      <c r="Z21" s="3" t="s">
        <v>29</v>
      </c>
      <c r="AA21" s="5" t="s">
        <v>1729</v>
      </c>
      <c r="AB21" s="5" t="s">
        <v>1730</v>
      </c>
      <c r="AC21" s="3" t="s">
        <v>1615</v>
      </c>
      <c r="AD21" s="3" t="s">
        <v>1274</v>
      </c>
      <c r="AE21" s="3" t="s">
        <v>1275</v>
      </c>
    </row>
    <row r="22" spans="1:31" ht="56">
      <c r="A22" s="3" t="s">
        <v>1731</v>
      </c>
      <c r="B22" s="3" t="s">
        <v>819</v>
      </c>
      <c r="C22" s="3" t="s">
        <v>825</v>
      </c>
      <c r="D22" s="3" t="s">
        <v>1605</v>
      </c>
      <c r="E22" s="3" t="s">
        <v>1732</v>
      </c>
      <c r="F22" s="3" t="s">
        <v>1607</v>
      </c>
      <c r="G22" s="15">
        <v>22.599017</v>
      </c>
      <c r="H22" s="15">
        <v>120.28843000000001</v>
      </c>
      <c r="I22" s="3">
        <v>5</v>
      </c>
      <c r="J22" s="3" t="s">
        <v>1257</v>
      </c>
      <c r="K22" s="3" t="s">
        <v>1733</v>
      </c>
      <c r="L22" s="3" t="s">
        <v>1734</v>
      </c>
      <c r="M22" s="3" t="s">
        <v>1610</v>
      </c>
      <c r="N22" s="3">
        <v>250</v>
      </c>
      <c r="O22" s="3" t="s">
        <v>1261</v>
      </c>
      <c r="P22" s="3" t="s">
        <v>1459</v>
      </c>
      <c r="Q22" s="3" t="s">
        <v>1263</v>
      </c>
      <c r="R22" s="3" t="s">
        <v>1264</v>
      </c>
      <c r="S22" s="3" t="s">
        <v>1265</v>
      </c>
      <c r="T22" s="3" t="s">
        <v>1266</v>
      </c>
      <c r="U22" s="3" t="s">
        <v>1611</v>
      </c>
      <c r="V22" s="3" t="s">
        <v>1268</v>
      </c>
      <c r="W22" s="3" t="s">
        <v>1443</v>
      </c>
      <c r="X22" s="26">
        <v>3</v>
      </c>
      <c r="Y22" s="3" t="s">
        <v>1612</v>
      </c>
      <c r="Z22" s="3" t="s">
        <v>29</v>
      </c>
      <c r="AA22" s="5" t="s">
        <v>1735</v>
      </c>
      <c r="AB22" s="5" t="s">
        <v>1736</v>
      </c>
      <c r="AC22" s="3" t="s">
        <v>1615</v>
      </c>
      <c r="AD22" s="3" t="s">
        <v>1274</v>
      </c>
      <c r="AE22" s="3" t="s">
        <v>1275</v>
      </c>
    </row>
    <row r="23" spans="1:31" ht="70">
      <c r="A23" s="3" t="s">
        <v>1737</v>
      </c>
      <c r="B23" s="3" t="s">
        <v>914</v>
      </c>
      <c r="C23" s="3" t="s">
        <v>938</v>
      </c>
      <c r="D23" s="3" t="s">
        <v>1605</v>
      </c>
      <c r="E23" s="3" t="s">
        <v>1738</v>
      </c>
      <c r="F23" s="3" t="s">
        <v>1607</v>
      </c>
      <c r="G23" s="15">
        <v>22.468088999999999</v>
      </c>
      <c r="H23" s="15">
        <v>120.44332</v>
      </c>
      <c r="I23" s="3">
        <v>5</v>
      </c>
      <c r="J23" s="3" t="s">
        <v>1257</v>
      </c>
      <c r="K23" s="3" t="s">
        <v>1739</v>
      </c>
      <c r="L23" s="3" t="s">
        <v>1740</v>
      </c>
      <c r="M23" s="3" t="s">
        <v>1610</v>
      </c>
      <c r="N23" s="3">
        <v>250</v>
      </c>
      <c r="O23" s="3" t="s">
        <v>1261</v>
      </c>
      <c r="P23" s="3" t="s">
        <v>1459</v>
      </c>
      <c r="Q23" s="3" t="s">
        <v>1263</v>
      </c>
      <c r="R23" s="3" t="s">
        <v>1264</v>
      </c>
      <c r="S23" s="3" t="s">
        <v>1265</v>
      </c>
      <c r="T23" s="3" t="s">
        <v>1266</v>
      </c>
      <c r="U23" s="3" t="s">
        <v>1611</v>
      </c>
      <c r="V23" s="3" t="s">
        <v>1268</v>
      </c>
      <c r="W23" s="3" t="s">
        <v>1443</v>
      </c>
      <c r="X23" s="26">
        <v>3</v>
      </c>
      <c r="Y23" s="3" t="s">
        <v>1612</v>
      </c>
      <c r="Z23" s="3" t="s">
        <v>29</v>
      </c>
      <c r="AA23" s="5" t="s">
        <v>1741</v>
      </c>
      <c r="AB23" s="5" t="s">
        <v>1742</v>
      </c>
      <c r="AC23" s="3" t="s">
        <v>1615</v>
      </c>
      <c r="AD23" s="3" t="s">
        <v>1274</v>
      </c>
      <c r="AE23" s="3" t="s">
        <v>1275</v>
      </c>
    </row>
    <row r="24" spans="1:31" ht="56">
      <c r="A24" s="3" t="s">
        <v>1743</v>
      </c>
      <c r="B24" s="3" t="s">
        <v>958</v>
      </c>
      <c r="C24" s="3" t="s">
        <v>994</v>
      </c>
      <c r="D24" s="3" t="s">
        <v>1605</v>
      </c>
      <c r="E24" s="3" t="s">
        <v>1744</v>
      </c>
      <c r="F24" s="3" t="s">
        <v>1607</v>
      </c>
      <c r="G24" s="15">
        <v>24.584472000000002</v>
      </c>
      <c r="H24" s="15">
        <v>121.86452</v>
      </c>
      <c r="I24" s="3">
        <v>5</v>
      </c>
      <c r="J24" s="3" t="s">
        <v>1257</v>
      </c>
      <c r="K24" s="3" t="s">
        <v>1745</v>
      </c>
      <c r="L24" s="3" t="s">
        <v>1746</v>
      </c>
      <c r="M24" s="3" t="s">
        <v>1610</v>
      </c>
      <c r="N24" s="3">
        <v>250</v>
      </c>
      <c r="O24" s="3" t="s">
        <v>1261</v>
      </c>
      <c r="P24" s="3" t="s">
        <v>1459</v>
      </c>
      <c r="Q24" s="3" t="s">
        <v>1263</v>
      </c>
      <c r="R24" s="3" t="s">
        <v>1264</v>
      </c>
      <c r="S24" s="3" t="s">
        <v>1265</v>
      </c>
      <c r="T24" s="3" t="s">
        <v>1266</v>
      </c>
      <c r="U24" s="3" t="s">
        <v>1611</v>
      </c>
      <c r="V24" s="3" t="s">
        <v>1268</v>
      </c>
      <c r="W24" s="3" t="s">
        <v>1443</v>
      </c>
      <c r="X24" s="26">
        <v>3</v>
      </c>
      <c r="Y24" s="3" t="s">
        <v>1612</v>
      </c>
      <c r="Z24" s="3" t="s">
        <v>29</v>
      </c>
      <c r="AA24" s="5" t="s">
        <v>1747</v>
      </c>
      <c r="AB24" s="5" t="s">
        <v>1748</v>
      </c>
      <c r="AC24" s="3" t="s">
        <v>1615</v>
      </c>
      <c r="AD24" s="3" t="s">
        <v>1274</v>
      </c>
      <c r="AE24" s="3" t="s">
        <v>1275</v>
      </c>
    </row>
    <row r="25" spans="1:31" ht="70">
      <c r="A25" s="3" t="s">
        <v>1749</v>
      </c>
      <c r="B25" s="3" t="s">
        <v>1008</v>
      </c>
      <c r="C25" s="3" t="s">
        <v>1009</v>
      </c>
      <c r="D25" s="3" t="s">
        <v>1605</v>
      </c>
      <c r="E25" s="3" t="s">
        <v>1750</v>
      </c>
      <c r="F25" s="3" t="s">
        <v>1607</v>
      </c>
      <c r="G25" s="15">
        <v>23.966387999999998</v>
      </c>
      <c r="H25" s="15">
        <v>121.60916</v>
      </c>
      <c r="I25" s="3">
        <v>4</v>
      </c>
      <c r="J25" s="3" t="s">
        <v>1305</v>
      </c>
      <c r="K25" s="3" t="s">
        <v>1751</v>
      </c>
      <c r="L25" s="3" t="s">
        <v>1752</v>
      </c>
      <c r="M25" s="3" t="s">
        <v>1610</v>
      </c>
      <c r="N25" s="3">
        <v>250</v>
      </c>
      <c r="O25" s="3" t="s">
        <v>1261</v>
      </c>
      <c r="P25" s="3" t="s">
        <v>1459</v>
      </c>
      <c r="Q25" s="3" t="s">
        <v>1263</v>
      </c>
      <c r="R25" s="3" t="s">
        <v>1264</v>
      </c>
      <c r="S25" s="3" t="s">
        <v>1265</v>
      </c>
      <c r="T25" s="3" t="s">
        <v>1266</v>
      </c>
      <c r="U25" s="3" t="s">
        <v>1611</v>
      </c>
      <c r="V25" s="3" t="s">
        <v>1268</v>
      </c>
      <c r="W25" s="3" t="s">
        <v>1443</v>
      </c>
      <c r="X25" s="26">
        <v>3</v>
      </c>
      <c r="Y25" s="3" t="s">
        <v>1612</v>
      </c>
      <c r="Z25" s="3" t="s">
        <v>66</v>
      </c>
      <c r="AA25" s="5" t="s">
        <v>1753</v>
      </c>
      <c r="AB25" s="5" t="s">
        <v>1013</v>
      </c>
      <c r="AC25" s="3" t="s">
        <v>1615</v>
      </c>
      <c r="AD25" s="3" t="s">
        <v>1274</v>
      </c>
      <c r="AE25" s="3" t="s">
        <v>1275</v>
      </c>
    </row>
    <row r="26" spans="1:31" ht="56">
      <c r="A26" s="3" t="s">
        <v>1754</v>
      </c>
      <c r="B26" s="3" t="s">
        <v>1048</v>
      </c>
      <c r="C26" s="3" t="s">
        <v>1049</v>
      </c>
      <c r="D26" s="3" t="s">
        <v>1605</v>
      </c>
      <c r="E26" s="3" t="s">
        <v>1755</v>
      </c>
      <c r="F26" s="3" t="s">
        <v>1607</v>
      </c>
      <c r="G26" s="15">
        <v>22.791674</v>
      </c>
      <c r="H26" s="15">
        <v>121.19204999999999</v>
      </c>
      <c r="I26" s="3">
        <v>4</v>
      </c>
      <c r="J26" s="3" t="s">
        <v>1305</v>
      </c>
      <c r="K26" s="3" t="s">
        <v>1756</v>
      </c>
      <c r="L26" s="3" t="s">
        <v>1757</v>
      </c>
      <c r="M26" s="3" t="s">
        <v>1610</v>
      </c>
      <c r="N26" s="3">
        <v>250</v>
      </c>
      <c r="O26" s="3" t="s">
        <v>1261</v>
      </c>
      <c r="P26" s="3" t="s">
        <v>1459</v>
      </c>
      <c r="Q26" s="3" t="s">
        <v>1263</v>
      </c>
      <c r="R26" s="3" t="s">
        <v>1264</v>
      </c>
      <c r="S26" s="3" t="s">
        <v>1265</v>
      </c>
      <c r="T26" s="3" t="s">
        <v>1266</v>
      </c>
      <c r="U26" s="3" t="s">
        <v>1611</v>
      </c>
      <c r="V26" s="3" t="s">
        <v>1268</v>
      </c>
      <c r="W26" s="3" t="s">
        <v>1443</v>
      </c>
      <c r="X26" s="26">
        <v>3</v>
      </c>
      <c r="Y26" s="3" t="s">
        <v>1612</v>
      </c>
      <c r="Z26" s="3" t="s">
        <v>66</v>
      </c>
      <c r="AA26" s="5" t="s">
        <v>1758</v>
      </c>
      <c r="AB26" s="5" t="s">
        <v>1759</v>
      </c>
      <c r="AC26" s="3" t="s">
        <v>1615</v>
      </c>
      <c r="AD26" s="3" t="s">
        <v>1274</v>
      </c>
      <c r="AE26" s="3" t="s">
        <v>1275</v>
      </c>
    </row>
    <row r="27" spans="1:31" ht="70">
      <c r="A27" s="3" t="s">
        <v>1760</v>
      </c>
      <c r="B27" s="3" t="s">
        <v>1087</v>
      </c>
      <c r="C27" s="3" t="s">
        <v>1088</v>
      </c>
      <c r="D27" s="3" t="s">
        <v>1605</v>
      </c>
      <c r="E27" s="3" t="s">
        <v>1089</v>
      </c>
      <c r="F27" s="3" t="s">
        <v>1607</v>
      </c>
      <c r="G27" s="15">
        <v>23.567592000000001</v>
      </c>
      <c r="H27" s="15">
        <v>119.56206</v>
      </c>
      <c r="I27" s="3">
        <v>5</v>
      </c>
      <c r="J27" s="3" t="s">
        <v>1257</v>
      </c>
      <c r="K27" s="3" t="s">
        <v>1761</v>
      </c>
      <c r="L27" s="3" t="s">
        <v>1762</v>
      </c>
      <c r="M27" s="3" t="s">
        <v>1610</v>
      </c>
      <c r="N27" s="3">
        <v>250</v>
      </c>
      <c r="O27" s="3" t="s">
        <v>1261</v>
      </c>
      <c r="P27" s="3" t="s">
        <v>1459</v>
      </c>
      <c r="Q27" s="3" t="s">
        <v>1263</v>
      </c>
      <c r="R27" s="3" t="s">
        <v>1264</v>
      </c>
      <c r="S27" s="3" t="s">
        <v>1265</v>
      </c>
      <c r="T27" s="3" t="s">
        <v>1266</v>
      </c>
      <c r="U27" s="3" t="s">
        <v>1611</v>
      </c>
      <c r="V27" s="3" t="s">
        <v>1268</v>
      </c>
      <c r="W27" s="3" t="s">
        <v>1443</v>
      </c>
      <c r="X27" s="26">
        <v>3</v>
      </c>
      <c r="Y27" s="3" t="s">
        <v>1612</v>
      </c>
      <c r="Z27" s="3" t="s">
        <v>29</v>
      </c>
      <c r="AA27" s="5" t="s">
        <v>1091</v>
      </c>
      <c r="AB27" s="5" t="s">
        <v>1763</v>
      </c>
      <c r="AC27" s="3" t="s">
        <v>1615</v>
      </c>
      <c r="AD27" s="3" t="s">
        <v>1274</v>
      </c>
      <c r="AE27" s="3" t="s">
        <v>1764</v>
      </c>
    </row>
  </sheetData>
  <mergeCells count="1">
    <mergeCell ref="A1:AE1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7"/>
  <sheetViews>
    <sheetView workbookViewId="0"/>
  </sheetViews>
  <sheetFormatPr defaultRowHeight="14"/>
  <cols>
    <col min="1" max="1" width="19" customWidth="1"/>
    <col min="2" max="2" width="10" customWidth="1"/>
    <col min="3" max="3" width="11" customWidth="1"/>
    <col min="4" max="4" width="19" customWidth="1"/>
    <col min="5" max="5" width="31" customWidth="1"/>
    <col min="6" max="6" width="30" customWidth="1"/>
    <col min="7" max="8" width="16" customWidth="1"/>
    <col min="9" max="9" width="8" customWidth="1"/>
    <col min="10" max="10" width="12" customWidth="1"/>
    <col min="11" max="11" width="38" customWidth="1"/>
    <col min="12" max="12" width="48" customWidth="1"/>
    <col min="13" max="13" width="40" customWidth="1"/>
    <col min="14" max="14" width="15" customWidth="1"/>
    <col min="15" max="15" width="27" customWidth="1"/>
    <col min="16" max="16" width="48" customWidth="1"/>
    <col min="17" max="17" width="35" customWidth="1"/>
    <col min="18" max="18" width="34" customWidth="1"/>
    <col min="19" max="20" width="12" customWidth="1"/>
    <col min="21" max="21" width="25" customWidth="1"/>
    <col min="22" max="22" width="13" customWidth="1"/>
    <col min="23" max="23" width="16" customWidth="1"/>
    <col min="24" max="24" width="15" customWidth="1"/>
    <col min="25" max="25" width="42" customWidth="1"/>
    <col min="26" max="26" width="16" customWidth="1"/>
    <col min="27" max="27" width="48" customWidth="1"/>
    <col min="28" max="28" width="42" customWidth="1"/>
    <col min="29" max="29" width="28" customWidth="1"/>
    <col min="30" max="30" width="42" customWidth="1"/>
    <col min="31" max="31" width="38" customWidth="1"/>
  </cols>
  <sheetData>
    <row r="1" spans="1:31" ht="18">
      <c r="A1" s="44" t="s">
        <v>2253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3"/>
    </row>
    <row r="2" spans="1:31">
      <c r="A2" s="30" t="s">
        <v>1225</v>
      </c>
      <c r="B2" s="30" t="s">
        <v>2</v>
      </c>
      <c r="C2" s="30" t="s">
        <v>3</v>
      </c>
      <c r="D2" s="30" t="s">
        <v>5</v>
      </c>
      <c r="E2" s="30" t="s">
        <v>1226</v>
      </c>
      <c r="F2" s="30" t="s">
        <v>1227</v>
      </c>
      <c r="G2" s="30" t="s">
        <v>1228</v>
      </c>
      <c r="H2" s="30" t="s">
        <v>1229</v>
      </c>
      <c r="I2" s="30" t="s">
        <v>1230</v>
      </c>
      <c r="J2" s="30" t="s">
        <v>1231</v>
      </c>
      <c r="K2" s="30" t="s">
        <v>1232</v>
      </c>
      <c r="L2" s="30" t="s">
        <v>1233</v>
      </c>
      <c r="M2" s="30" t="s">
        <v>1234</v>
      </c>
      <c r="N2" s="30" t="s">
        <v>1235</v>
      </c>
      <c r="O2" s="30" t="s">
        <v>1236</v>
      </c>
      <c r="P2" s="30" t="s">
        <v>1237</v>
      </c>
      <c r="Q2" s="30" t="s">
        <v>1238</v>
      </c>
      <c r="R2" s="30" t="s">
        <v>1239</v>
      </c>
      <c r="S2" s="30" t="s">
        <v>1240</v>
      </c>
      <c r="T2" s="30" t="s">
        <v>1241</v>
      </c>
      <c r="U2" s="30" t="s">
        <v>1242</v>
      </c>
      <c r="V2" s="30" t="s">
        <v>1243</v>
      </c>
      <c r="W2" s="30" t="s">
        <v>1244</v>
      </c>
      <c r="X2" s="30" t="s">
        <v>1245</v>
      </c>
      <c r="Y2" s="30" t="s">
        <v>1246</v>
      </c>
      <c r="Z2" s="30" t="s">
        <v>7</v>
      </c>
      <c r="AA2" s="30" t="s">
        <v>1247</v>
      </c>
      <c r="AB2" s="30" t="s">
        <v>1248</v>
      </c>
      <c r="AC2" s="30" t="s">
        <v>1249</v>
      </c>
      <c r="AD2" s="30" t="s">
        <v>1250</v>
      </c>
      <c r="AE2" t="s">
        <v>1251</v>
      </c>
    </row>
    <row r="3" spans="1:31" ht="84">
      <c r="A3" s="3" t="s">
        <v>1765</v>
      </c>
      <c r="B3" s="3" t="s">
        <v>24</v>
      </c>
      <c r="C3" s="3" t="s">
        <v>44</v>
      </c>
      <c r="D3" s="3" t="s">
        <v>1766</v>
      </c>
      <c r="E3" s="3" t="s">
        <v>1767</v>
      </c>
      <c r="F3" s="3" t="s">
        <v>1768</v>
      </c>
      <c r="G3" s="15">
        <v>25.044129999999999</v>
      </c>
      <c r="H3" s="15">
        <v>121.52939000000001</v>
      </c>
      <c r="I3" s="3">
        <v>5</v>
      </c>
      <c r="J3" s="3" t="s">
        <v>1257</v>
      </c>
      <c r="K3" s="3" t="s">
        <v>1769</v>
      </c>
      <c r="L3" s="3" t="s">
        <v>1770</v>
      </c>
      <c r="M3" s="3" t="s">
        <v>1771</v>
      </c>
      <c r="N3" s="3">
        <v>160</v>
      </c>
      <c r="O3" s="3" t="s">
        <v>1772</v>
      </c>
      <c r="P3" s="3" t="s">
        <v>1361</v>
      </c>
      <c r="Q3" s="3" t="s">
        <v>1263</v>
      </c>
      <c r="R3" s="3" t="s">
        <v>1264</v>
      </c>
      <c r="S3" s="3" t="s">
        <v>1265</v>
      </c>
      <c r="T3" s="3" t="s">
        <v>1266</v>
      </c>
      <c r="U3" s="3" t="s">
        <v>1773</v>
      </c>
      <c r="V3" s="3" t="s">
        <v>1268</v>
      </c>
      <c r="W3" s="3" t="s">
        <v>1774</v>
      </c>
      <c r="X3" s="26">
        <v>1.8</v>
      </c>
      <c r="Y3" s="3" t="s">
        <v>1775</v>
      </c>
      <c r="Z3" s="3" t="s">
        <v>29</v>
      </c>
      <c r="AA3" s="5" t="s">
        <v>1776</v>
      </c>
      <c r="AB3" s="5" t="s">
        <v>1777</v>
      </c>
      <c r="AC3" s="3" t="s">
        <v>1778</v>
      </c>
      <c r="AD3" s="3" t="s">
        <v>1274</v>
      </c>
      <c r="AE3" s="3" t="s">
        <v>1275</v>
      </c>
    </row>
    <row r="4" spans="1:31" ht="70">
      <c r="A4" s="3" t="s">
        <v>1779</v>
      </c>
      <c r="B4" s="3" t="s">
        <v>24</v>
      </c>
      <c r="C4" s="3" t="s">
        <v>275</v>
      </c>
      <c r="D4" s="3" t="s">
        <v>1766</v>
      </c>
      <c r="E4" s="3" t="s">
        <v>1780</v>
      </c>
      <c r="F4" s="3" t="s">
        <v>1768</v>
      </c>
      <c r="G4" s="15">
        <v>25.043848000000001</v>
      </c>
      <c r="H4" s="15">
        <v>121.56063</v>
      </c>
      <c r="I4" s="3">
        <v>5</v>
      </c>
      <c r="J4" s="3" t="s">
        <v>1257</v>
      </c>
      <c r="K4" s="3" t="s">
        <v>1781</v>
      </c>
      <c r="L4" s="3" t="s">
        <v>1782</v>
      </c>
      <c r="M4" s="3" t="s">
        <v>1771</v>
      </c>
      <c r="N4" s="3">
        <v>160</v>
      </c>
      <c r="O4" s="3" t="s">
        <v>1772</v>
      </c>
      <c r="P4" s="3" t="s">
        <v>1361</v>
      </c>
      <c r="Q4" s="3" t="s">
        <v>1263</v>
      </c>
      <c r="R4" s="3" t="s">
        <v>1264</v>
      </c>
      <c r="S4" s="3" t="s">
        <v>1265</v>
      </c>
      <c r="T4" s="3" t="s">
        <v>1266</v>
      </c>
      <c r="U4" s="3" t="s">
        <v>1773</v>
      </c>
      <c r="V4" s="3" t="s">
        <v>1268</v>
      </c>
      <c r="W4" s="3" t="s">
        <v>1774</v>
      </c>
      <c r="X4" s="26">
        <v>1.8</v>
      </c>
      <c r="Y4" s="3" t="s">
        <v>1775</v>
      </c>
      <c r="Z4" s="3" t="s">
        <v>29</v>
      </c>
      <c r="AA4" s="5" t="s">
        <v>1783</v>
      </c>
      <c r="AB4" s="5" t="s">
        <v>1784</v>
      </c>
      <c r="AC4" s="3" t="s">
        <v>1778</v>
      </c>
      <c r="AD4" s="3" t="s">
        <v>1274</v>
      </c>
      <c r="AE4" s="3" t="s">
        <v>1275</v>
      </c>
    </row>
    <row r="5" spans="1:31" ht="56">
      <c r="A5" s="3" t="s">
        <v>1785</v>
      </c>
      <c r="B5" s="3" t="s">
        <v>24</v>
      </c>
      <c r="C5" s="3" t="s">
        <v>275</v>
      </c>
      <c r="D5" s="3" t="s">
        <v>1766</v>
      </c>
      <c r="E5" s="3" t="s">
        <v>1786</v>
      </c>
      <c r="F5" s="3" t="s">
        <v>1768</v>
      </c>
      <c r="G5" s="15">
        <v>25.031161000000001</v>
      </c>
      <c r="H5" s="15">
        <v>121.56179</v>
      </c>
      <c r="I5" s="3">
        <v>5</v>
      </c>
      <c r="J5" s="3" t="s">
        <v>1257</v>
      </c>
      <c r="K5" s="3" t="s">
        <v>1787</v>
      </c>
      <c r="L5" s="3" t="s">
        <v>1788</v>
      </c>
      <c r="M5" s="3" t="s">
        <v>1771</v>
      </c>
      <c r="N5" s="3">
        <v>160</v>
      </c>
      <c r="O5" s="3" t="s">
        <v>1772</v>
      </c>
      <c r="P5" s="3" t="s">
        <v>1361</v>
      </c>
      <c r="Q5" s="3" t="s">
        <v>1263</v>
      </c>
      <c r="R5" s="3" t="s">
        <v>1264</v>
      </c>
      <c r="S5" s="3" t="s">
        <v>1265</v>
      </c>
      <c r="T5" s="3" t="s">
        <v>1266</v>
      </c>
      <c r="U5" s="3" t="s">
        <v>1773</v>
      </c>
      <c r="V5" s="3" t="s">
        <v>1268</v>
      </c>
      <c r="W5" s="3" t="s">
        <v>1774</v>
      </c>
      <c r="X5" s="26">
        <v>1.8</v>
      </c>
      <c r="Y5" s="3" t="s">
        <v>1775</v>
      </c>
      <c r="Z5" s="3" t="s">
        <v>29</v>
      </c>
      <c r="AA5" s="5" t="s">
        <v>1789</v>
      </c>
      <c r="AB5" s="5" t="s">
        <v>1790</v>
      </c>
      <c r="AC5" s="3" t="s">
        <v>1778</v>
      </c>
      <c r="AD5" s="3" t="s">
        <v>1274</v>
      </c>
      <c r="AE5" s="3" t="s">
        <v>1275</v>
      </c>
    </row>
    <row r="6" spans="1:31" ht="84">
      <c r="A6" s="3" t="s">
        <v>1791</v>
      </c>
      <c r="B6" s="3" t="s">
        <v>24</v>
      </c>
      <c r="C6" s="3" t="s">
        <v>97</v>
      </c>
      <c r="D6" s="3" t="s">
        <v>1766</v>
      </c>
      <c r="E6" s="3" t="s">
        <v>1792</v>
      </c>
      <c r="F6" s="3" t="s">
        <v>1768</v>
      </c>
      <c r="G6" s="15">
        <v>25.071749000000001</v>
      </c>
      <c r="H6" s="15">
        <v>121.53035</v>
      </c>
      <c r="I6" s="3">
        <v>4</v>
      </c>
      <c r="J6" s="3" t="s">
        <v>1305</v>
      </c>
      <c r="K6" s="3" t="s">
        <v>1793</v>
      </c>
      <c r="L6" s="3" t="s">
        <v>1794</v>
      </c>
      <c r="M6" s="3" t="s">
        <v>1771</v>
      </c>
      <c r="N6" s="3">
        <v>160</v>
      </c>
      <c r="O6" s="3" t="s">
        <v>1772</v>
      </c>
      <c r="P6" s="3" t="s">
        <v>1361</v>
      </c>
      <c r="Q6" s="3" t="s">
        <v>1263</v>
      </c>
      <c r="R6" s="3" t="s">
        <v>1264</v>
      </c>
      <c r="S6" s="3" t="s">
        <v>1265</v>
      </c>
      <c r="T6" s="3" t="s">
        <v>1266</v>
      </c>
      <c r="U6" s="3" t="s">
        <v>1773</v>
      </c>
      <c r="V6" s="3" t="s">
        <v>1268</v>
      </c>
      <c r="W6" s="3" t="s">
        <v>1774</v>
      </c>
      <c r="X6" s="26">
        <v>1.8</v>
      </c>
      <c r="Y6" s="3" t="s">
        <v>1775</v>
      </c>
      <c r="Z6" s="3" t="s">
        <v>66</v>
      </c>
      <c r="AA6" s="5" t="s">
        <v>1795</v>
      </c>
      <c r="AB6" s="5" t="s">
        <v>1796</v>
      </c>
      <c r="AC6" s="3" t="s">
        <v>1778</v>
      </c>
      <c r="AD6" s="3" t="s">
        <v>1274</v>
      </c>
      <c r="AE6" s="3" t="s">
        <v>1275</v>
      </c>
    </row>
    <row r="7" spans="1:31" ht="84">
      <c r="A7" s="3" t="s">
        <v>1797</v>
      </c>
      <c r="B7" s="3" t="s">
        <v>151</v>
      </c>
      <c r="C7" s="3" t="s">
        <v>172</v>
      </c>
      <c r="D7" s="3" t="s">
        <v>1766</v>
      </c>
      <c r="E7" s="3" t="s">
        <v>1798</v>
      </c>
      <c r="F7" s="3" t="s">
        <v>1768</v>
      </c>
      <c r="G7" s="15">
        <v>25.011119000000001</v>
      </c>
      <c r="H7" s="15">
        <v>121.45459</v>
      </c>
      <c r="I7" s="3">
        <v>5</v>
      </c>
      <c r="J7" s="3" t="s">
        <v>1257</v>
      </c>
      <c r="K7" s="3" t="s">
        <v>1799</v>
      </c>
      <c r="L7" s="3" t="s">
        <v>1800</v>
      </c>
      <c r="M7" s="3" t="s">
        <v>1771</v>
      </c>
      <c r="N7" s="3">
        <v>160</v>
      </c>
      <c r="O7" s="3" t="s">
        <v>1772</v>
      </c>
      <c r="P7" s="3" t="s">
        <v>1361</v>
      </c>
      <c r="Q7" s="3" t="s">
        <v>1263</v>
      </c>
      <c r="R7" s="3" t="s">
        <v>1264</v>
      </c>
      <c r="S7" s="3" t="s">
        <v>1265</v>
      </c>
      <c r="T7" s="3" t="s">
        <v>1266</v>
      </c>
      <c r="U7" s="3" t="s">
        <v>1773</v>
      </c>
      <c r="V7" s="3" t="s">
        <v>1268</v>
      </c>
      <c r="W7" s="3" t="s">
        <v>1774</v>
      </c>
      <c r="X7" s="26">
        <v>1.8</v>
      </c>
      <c r="Y7" s="3" t="s">
        <v>1775</v>
      </c>
      <c r="Z7" s="3" t="s">
        <v>29</v>
      </c>
      <c r="AA7" s="5" t="s">
        <v>1801</v>
      </c>
      <c r="AB7" s="5" t="s">
        <v>1802</v>
      </c>
      <c r="AC7" s="3" t="s">
        <v>1778</v>
      </c>
      <c r="AD7" s="3" t="s">
        <v>1274</v>
      </c>
      <c r="AE7" s="3" t="s">
        <v>1275</v>
      </c>
    </row>
    <row r="8" spans="1:31" ht="70">
      <c r="A8" s="3" t="s">
        <v>1803</v>
      </c>
      <c r="B8" s="3" t="s">
        <v>151</v>
      </c>
      <c r="C8" s="3" t="s">
        <v>1464</v>
      </c>
      <c r="D8" s="3" t="s">
        <v>1766</v>
      </c>
      <c r="E8" s="3" t="s">
        <v>1804</v>
      </c>
      <c r="F8" s="3" t="s">
        <v>1768</v>
      </c>
      <c r="G8" s="15">
        <v>24.864090000000001</v>
      </c>
      <c r="H8" s="15">
        <v>121.5515</v>
      </c>
      <c r="I8" s="3">
        <v>4</v>
      </c>
      <c r="J8" s="3" t="s">
        <v>1305</v>
      </c>
      <c r="K8" s="3" t="s">
        <v>1805</v>
      </c>
      <c r="L8" s="3" t="s">
        <v>1806</v>
      </c>
      <c r="M8" s="3" t="s">
        <v>1771</v>
      </c>
      <c r="N8" s="3">
        <v>160</v>
      </c>
      <c r="O8" s="3" t="s">
        <v>1772</v>
      </c>
      <c r="P8" s="3" t="s">
        <v>1361</v>
      </c>
      <c r="Q8" s="3" t="s">
        <v>1263</v>
      </c>
      <c r="R8" s="3" t="s">
        <v>1264</v>
      </c>
      <c r="S8" s="3" t="s">
        <v>1265</v>
      </c>
      <c r="T8" s="3" t="s">
        <v>1266</v>
      </c>
      <c r="U8" s="3" t="s">
        <v>1773</v>
      </c>
      <c r="V8" s="3" t="s">
        <v>1268</v>
      </c>
      <c r="W8" s="3" t="s">
        <v>1774</v>
      </c>
      <c r="X8" s="26">
        <v>1.8</v>
      </c>
      <c r="Y8" s="3" t="s">
        <v>1775</v>
      </c>
      <c r="Z8" s="3" t="s">
        <v>66</v>
      </c>
      <c r="AA8" s="5" t="s">
        <v>1807</v>
      </c>
      <c r="AB8" s="5" t="s">
        <v>1808</v>
      </c>
      <c r="AC8" s="3" t="s">
        <v>1778</v>
      </c>
      <c r="AD8" s="3" t="s">
        <v>1274</v>
      </c>
      <c r="AE8" s="3" t="s">
        <v>1275</v>
      </c>
    </row>
    <row r="9" spans="1:31" ht="56">
      <c r="A9" s="3" t="s">
        <v>1809</v>
      </c>
      <c r="B9" s="3" t="s">
        <v>281</v>
      </c>
      <c r="C9" s="3" t="s">
        <v>1674</v>
      </c>
      <c r="D9" s="3" t="s">
        <v>1766</v>
      </c>
      <c r="E9" s="3" t="s">
        <v>1810</v>
      </c>
      <c r="F9" s="3" t="s">
        <v>1768</v>
      </c>
      <c r="G9" s="15">
        <v>24.976194</v>
      </c>
      <c r="H9" s="15">
        <v>121.10444</v>
      </c>
      <c r="I9" s="3">
        <v>4</v>
      </c>
      <c r="J9" s="3" t="s">
        <v>1305</v>
      </c>
      <c r="K9" s="3" t="s">
        <v>1811</v>
      </c>
      <c r="L9" s="3" t="s">
        <v>1812</v>
      </c>
      <c r="M9" s="3" t="s">
        <v>1771</v>
      </c>
      <c r="N9" s="3">
        <v>200</v>
      </c>
      <c r="O9" s="3" t="s">
        <v>1261</v>
      </c>
      <c r="P9" s="3" t="s">
        <v>1459</v>
      </c>
      <c r="Q9" s="3" t="s">
        <v>1263</v>
      </c>
      <c r="R9" s="3" t="s">
        <v>1264</v>
      </c>
      <c r="S9" s="3" t="s">
        <v>1265</v>
      </c>
      <c r="T9" s="3" t="s">
        <v>1266</v>
      </c>
      <c r="U9" s="3" t="s">
        <v>1773</v>
      </c>
      <c r="V9" s="3" t="s">
        <v>1268</v>
      </c>
      <c r="W9" s="3" t="s">
        <v>1774</v>
      </c>
      <c r="X9" s="26">
        <v>1.8</v>
      </c>
      <c r="Y9" s="3" t="s">
        <v>1775</v>
      </c>
      <c r="Z9" s="3" t="s">
        <v>66</v>
      </c>
      <c r="AA9" s="5" t="s">
        <v>1813</v>
      </c>
      <c r="AB9" s="5" t="s">
        <v>1814</v>
      </c>
      <c r="AC9" s="3" t="s">
        <v>1815</v>
      </c>
      <c r="AD9" s="3" t="s">
        <v>1274</v>
      </c>
      <c r="AE9" s="3" t="s">
        <v>1275</v>
      </c>
    </row>
    <row r="10" spans="1:31" ht="56">
      <c r="A10" s="3" t="s">
        <v>1816</v>
      </c>
      <c r="B10" s="3" t="s">
        <v>281</v>
      </c>
      <c r="C10" s="3" t="s">
        <v>1318</v>
      </c>
      <c r="D10" s="3" t="s">
        <v>1766</v>
      </c>
      <c r="E10" s="3" t="s">
        <v>1817</v>
      </c>
      <c r="F10" s="3" t="s">
        <v>1768</v>
      </c>
      <c r="G10" s="15">
        <v>24.830646999999999</v>
      </c>
      <c r="H10" s="15">
        <v>121.32838</v>
      </c>
      <c r="I10" s="3">
        <v>5</v>
      </c>
      <c r="J10" s="3" t="s">
        <v>1257</v>
      </c>
      <c r="K10" s="3" t="s">
        <v>1818</v>
      </c>
      <c r="L10" s="3" t="s">
        <v>1819</v>
      </c>
      <c r="M10" s="3" t="s">
        <v>1771</v>
      </c>
      <c r="N10" s="3">
        <v>160</v>
      </c>
      <c r="O10" s="3" t="s">
        <v>1772</v>
      </c>
      <c r="P10" s="3" t="s">
        <v>1361</v>
      </c>
      <c r="Q10" s="3" t="s">
        <v>1263</v>
      </c>
      <c r="R10" s="3" t="s">
        <v>1264</v>
      </c>
      <c r="S10" s="3" t="s">
        <v>1265</v>
      </c>
      <c r="T10" s="3" t="s">
        <v>1266</v>
      </c>
      <c r="U10" s="3" t="s">
        <v>1773</v>
      </c>
      <c r="V10" s="3" t="s">
        <v>1268</v>
      </c>
      <c r="W10" s="3" t="s">
        <v>1774</v>
      </c>
      <c r="X10" s="26">
        <v>1.8</v>
      </c>
      <c r="Y10" s="3" t="s">
        <v>1775</v>
      </c>
      <c r="Z10" s="3" t="s">
        <v>29</v>
      </c>
      <c r="AA10" s="5" t="s">
        <v>1820</v>
      </c>
      <c r="AB10" s="5" t="s">
        <v>1821</v>
      </c>
      <c r="AC10" s="3" t="s">
        <v>1778</v>
      </c>
      <c r="AD10" s="3" t="s">
        <v>1274</v>
      </c>
      <c r="AE10" s="3" t="s">
        <v>1275</v>
      </c>
    </row>
    <row r="11" spans="1:31" ht="70">
      <c r="A11" s="3" t="s">
        <v>1822</v>
      </c>
      <c r="B11" s="3" t="s">
        <v>400</v>
      </c>
      <c r="C11" s="3" t="s">
        <v>1823</v>
      </c>
      <c r="D11" s="3" t="s">
        <v>1766</v>
      </c>
      <c r="E11" s="3" t="s">
        <v>1824</v>
      </c>
      <c r="F11" s="3" t="s">
        <v>1768</v>
      </c>
      <c r="G11" s="15">
        <v>24.572472000000001</v>
      </c>
      <c r="H11" s="15">
        <v>121.10536</v>
      </c>
      <c r="I11" s="3">
        <v>5</v>
      </c>
      <c r="J11" s="3" t="s">
        <v>1257</v>
      </c>
      <c r="K11" s="3" t="s">
        <v>1825</v>
      </c>
      <c r="L11" s="3" t="s">
        <v>1826</v>
      </c>
      <c r="M11" s="3" t="s">
        <v>1771</v>
      </c>
      <c r="N11" s="3">
        <v>160</v>
      </c>
      <c r="O11" s="3" t="s">
        <v>1772</v>
      </c>
      <c r="P11" s="3" t="s">
        <v>1361</v>
      </c>
      <c r="Q11" s="3" t="s">
        <v>1263</v>
      </c>
      <c r="R11" s="3" t="s">
        <v>1264</v>
      </c>
      <c r="S11" s="3" t="s">
        <v>1265</v>
      </c>
      <c r="T11" s="3" t="s">
        <v>1266</v>
      </c>
      <c r="U11" s="3" t="s">
        <v>1773</v>
      </c>
      <c r="V11" s="3" t="s">
        <v>1268</v>
      </c>
      <c r="W11" s="3" t="s">
        <v>1774</v>
      </c>
      <c r="X11" s="26">
        <v>1.8</v>
      </c>
      <c r="Y11" s="3" t="s">
        <v>1775</v>
      </c>
      <c r="Z11" s="3" t="s">
        <v>29</v>
      </c>
      <c r="AA11" s="5" t="s">
        <v>1827</v>
      </c>
      <c r="AB11" s="5" t="s">
        <v>1828</v>
      </c>
      <c r="AC11" s="3" t="s">
        <v>1778</v>
      </c>
      <c r="AD11" s="3" t="s">
        <v>1274</v>
      </c>
      <c r="AE11" s="3" t="s">
        <v>1275</v>
      </c>
    </row>
    <row r="12" spans="1:31" ht="70">
      <c r="A12" s="3" t="s">
        <v>1829</v>
      </c>
      <c r="B12" s="3" t="s">
        <v>436</v>
      </c>
      <c r="C12" s="3" t="s">
        <v>1830</v>
      </c>
      <c r="D12" s="3" t="s">
        <v>1766</v>
      </c>
      <c r="E12" s="3" t="s">
        <v>1831</v>
      </c>
      <c r="F12" s="3" t="s">
        <v>1768</v>
      </c>
      <c r="G12" s="15">
        <v>24.460023</v>
      </c>
      <c r="H12" s="15">
        <v>120.85601</v>
      </c>
      <c r="I12" s="3">
        <v>4</v>
      </c>
      <c r="J12" s="3" t="s">
        <v>1305</v>
      </c>
      <c r="K12" s="3" t="s">
        <v>1832</v>
      </c>
      <c r="L12" s="3" t="s">
        <v>1833</v>
      </c>
      <c r="M12" s="3" t="s">
        <v>1771</v>
      </c>
      <c r="N12" s="3">
        <v>160</v>
      </c>
      <c r="O12" s="3" t="s">
        <v>1772</v>
      </c>
      <c r="P12" s="3" t="s">
        <v>1361</v>
      </c>
      <c r="Q12" s="3" t="s">
        <v>1263</v>
      </c>
      <c r="R12" s="3" t="s">
        <v>1264</v>
      </c>
      <c r="S12" s="3" t="s">
        <v>1265</v>
      </c>
      <c r="T12" s="3" t="s">
        <v>1266</v>
      </c>
      <c r="U12" s="3" t="s">
        <v>1773</v>
      </c>
      <c r="V12" s="3" t="s">
        <v>1268</v>
      </c>
      <c r="W12" s="3" t="s">
        <v>1774</v>
      </c>
      <c r="X12" s="26">
        <v>1.8</v>
      </c>
      <c r="Y12" s="3" t="s">
        <v>1775</v>
      </c>
      <c r="Z12" s="3" t="s">
        <v>66</v>
      </c>
      <c r="AA12" s="5" t="s">
        <v>1834</v>
      </c>
      <c r="AB12" s="5" t="s">
        <v>1835</v>
      </c>
      <c r="AC12" s="3" t="s">
        <v>1778</v>
      </c>
      <c r="AD12" s="3" t="s">
        <v>1274</v>
      </c>
      <c r="AE12" s="3" t="s">
        <v>1275</v>
      </c>
    </row>
    <row r="13" spans="1:31" ht="70">
      <c r="A13" s="3" t="s">
        <v>1836</v>
      </c>
      <c r="B13" s="3" t="s">
        <v>559</v>
      </c>
      <c r="C13" s="3" t="s">
        <v>588</v>
      </c>
      <c r="D13" s="3" t="s">
        <v>1766</v>
      </c>
      <c r="E13" s="3" t="s">
        <v>1837</v>
      </c>
      <c r="F13" s="3" t="s">
        <v>1768</v>
      </c>
      <c r="G13" s="15">
        <v>24.053882999999999</v>
      </c>
      <c r="H13" s="15">
        <v>120.43648</v>
      </c>
      <c r="I13" s="3">
        <v>4</v>
      </c>
      <c r="J13" s="3" t="s">
        <v>1305</v>
      </c>
      <c r="K13" s="3" t="s">
        <v>1838</v>
      </c>
      <c r="L13" s="3" t="s">
        <v>1839</v>
      </c>
      <c r="M13" s="3" t="s">
        <v>1771</v>
      </c>
      <c r="N13" s="3">
        <v>160</v>
      </c>
      <c r="O13" s="3" t="s">
        <v>1772</v>
      </c>
      <c r="P13" s="3" t="s">
        <v>1361</v>
      </c>
      <c r="Q13" s="3" t="s">
        <v>1263</v>
      </c>
      <c r="R13" s="3" t="s">
        <v>1264</v>
      </c>
      <c r="S13" s="3" t="s">
        <v>1265</v>
      </c>
      <c r="T13" s="3" t="s">
        <v>1266</v>
      </c>
      <c r="U13" s="3" t="s">
        <v>1773</v>
      </c>
      <c r="V13" s="3" t="s">
        <v>1268</v>
      </c>
      <c r="W13" s="3" t="s">
        <v>1774</v>
      </c>
      <c r="X13" s="26">
        <v>1.8</v>
      </c>
      <c r="Y13" s="3" t="s">
        <v>1775</v>
      </c>
      <c r="Z13" s="3" t="s">
        <v>66</v>
      </c>
      <c r="AA13" s="5" t="s">
        <v>1840</v>
      </c>
      <c r="AB13" s="5" t="s">
        <v>1841</v>
      </c>
      <c r="AC13" s="3" t="s">
        <v>1778</v>
      </c>
      <c r="AD13" s="3" t="s">
        <v>1274</v>
      </c>
      <c r="AE13" s="3" t="s">
        <v>1275</v>
      </c>
    </row>
    <row r="14" spans="1:31" ht="70">
      <c r="A14" s="3" t="s">
        <v>1842</v>
      </c>
      <c r="B14" s="3" t="s">
        <v>436</v>
      </c>
      <c r="C14" s="3" t="s">
        <v>475</v>
      </c>
      <c r="D14" s="3" t="s">
        <v>1766</v>
      </c>
      <c r="E14" s="3" t="s">
        <v>1843</v>
      </c>
      <c r="F14" s="3" t="s">
        <v>1768</v>
      </c>
      <c r="G14" s="15">
        <v>24.462385000000001</v>
      </c>
      <c r="H14" s="15">
        <v>120.77124000000001</v>
      </c>
      <c r="I14" s="3">
        <v>5</v>
      </c>
      <c r="J14" s="3" t="s">
        <v>1257</v>
      </c>
      <c r="K14" s="3" t="s">
        <v>1844</v>
      </c>
      <c r="L14" s="3" t="s">
        <v>1845</v>
      </c>
      <c r="M14" s="3" t="s">
        <v>1771</v>
      </c>
      <c r="N14" s="3">
        <v>160</v>
      </c>
      <c r="O14" s="3" t="s">
        <v>1772</v>
      </c>
      <c r="P14" s="3" t="s">
        <v>1361</v>
      </c>
      <c r="Q14" s="3" t="s">
        <v>1263</v>
      </c>
      <c r="R14" s="3" t="s">
        <v>1264</v>
      </c>
      <c r="S14" s="3" t="s">
        <v>1265</v>
      </c>
      <c r="T14" s="3" t="s">
        <v>1266</v>
      </c>
      <c r="U14" s="3" t="s">
        <v>1773</v>
      </c>
      <c r="V14" s="3" t="s">
        <v>1268</v>
      </c>
      <c r="W14" s="3" t="s">
        <v>1774</v>
      </c>
      <c r="X14" s="26">
        <v>1.8</v>
      </c>
      <c r="Y14" s="3" t="s">
        <v>1775</v>
      </c>
      <c r="Z14" s="3" t="s">
        <v>29</v>
      </c>
      <c r="AA14" s="5" t="s">
        <v>1846</v>
      </c>
      <c r="AB14" s="5" t="s">
        <v>1847</v>
      </c>
      <c r="AC14" s="3" t="s">
        <v>1778</v>
      </c>
      <c r="AD14" s="3" t="s">
        <v>1274</v>
      </c>
      <c r="AE14" s="3" t="s">
        <v>1275</v>
      </c>
    </row>
    <row r="15" spans="1:31" ht="84">
      <c r="A15" s="3" t="s">
        <v>1848</v>
      </c>
      <c r="B15" s="3" t="s">
        <v>714</v>
      </c>
      <c r="C15" s="3" t="s">
        <v>1849</v>
      </c>
      <c r="D15" s="3" t="s">
        <v>1766</v>
      </c>
      <c r="E15" s="3" t="s">
        <v>1850</v>
      </c>
      <c r="F15" s="3" t="s">
        <v>1768</v>
      </c>
      <c r="G15" s="15">
        <v>23.453945000000001</v>
      </c>
      <c r="H15" s="15">
        <v>120.74937</v>
      </c>
      <c r="I15" s="3">
        <v>4</v>
      </c>
      <c r="J15" s="3" t="s">
        <v>1305</v>
      </c>
      <c r="K15" s="3" t="s">
        <v>1851</v>
      </c>
      <c r="L15" s="3" t="s">
        <v>1852</v>
      </c>
      <c r="M15" s="3" t="s">
        <v>1771</v>
      </c>
      <c r="N15" s="3">
        <v>160</v>
      </c>
      <c r="O15" s="3" t="s">
        <v>1772</v>
      </c>
      <c r="P15" s="3" t="s">
        <v>1361</v>
      </c>
      <c r="Q15" s="3" t="s">
        <v>1263</v>
      </c>
      <c r="R15" s="3" t="s">
        <v>1264</v>
      </c>
      <c r="S15" s="3" t="s">
        <v>1265</v>
      </c>
      <c r="T15" s="3" t="s">
        <v>1266</v>
      </c>
      <c r="U15" s="3" t="s">
        <v>1773</v>
      </c>
      <c r="V15" s="3" t="s">
        <v>1268</v>
      </c>
      <c r="W15" s="3" t="s">
        <v>1774</v>
      </c>
      <c r="X15" s="26">
        <v>1.8</v>
      </c>
      <c r="Y15" s="3" t="s">
        <v>1775</v>
      </c>
      <c r="Z15" s="3" t="s">
        <v>66</v>
      </c>
      <c r="AA15" s="5" t="s">
        <v>1853</v>
      </c>
      <c r="AB15" s="5" t="s">
        <v>1854</v>
      </c>
      <c r="AC15" s="3" t="s">
        <v>1778</v>
      </c>
      <c r="AD15" s="3" t="s">
        <v>1274</v>
      </c>
      <c r="AE15" s="3" t="s">
        <v>1275</v>
      </c>
    </row>
    <row r="16" spans="1:31" ht="70">
      <c r="A16" s="3" t="s">
        <v>1855</v>
      </c>
      <c r="B16" s="3" t="s">
        <v>750</v>
      </c>
      <c r="C16" s="3" t="s">
        <v>805</v>
      </c>
      <c r="D16" s="3" t="s">
        <v>1766</v>
      </c>
      <c r="E16" s="3" t="s">
        <v>1856</v>
      </c>
      <c r="F16" s="3" t="s">
        <v>1768</v>
      </c>
      <c r="G16" s="15">
        <v>23.213932</v>
      </c>
      <c r="H16" s="15">
        <v>120.3648</v>
      </c>
      <c r="I16" s="3">
        <v>5</v>
      </c>
      <c r="J16" s="3" t="s">
        <v>1257</v>
      </c>
      <c r="K16" s="3" t="s">
        <v>1857</v>
      </c>
      <c r="L16" s="3" t="s">
        <v>1858</v>
      </c>
      <c r="M16" s="3" t="s">
        <v>1771</v>
      </c>
      <c r="N16" s="3">
        <v>160</v>
      </c>
      <c r="O16" s="3" t="s">
        <v>1772</v>
      </c>
      <c r="P16" s="3" t="s">
        <v>1361</v>
      </c>
      <c r="Q16" s="3" t="s">
        <v>1263</v>
      </c>
      <c r="R16" s="3" t="s">
        <v>1264</v>
      </c>
      <c r="S16" s="3" t="s">
        <v>1265</v>
      </c>
      <c r="T16" s="3" t="s">
        <v>1266</v>
      </c>
      <c r="U16" s="3" t="s">
        <v>1773</v>
      </c>
      <c r="V16" s="3" t="s">
        <v>1268</v>
      </c>
      <c r="W16" s="3" t="s">
        <v>1774</v>
      </c>
      <c r="X16" s="26">
        <v>1.8</v>
      </c>
      <c r="Y16" s="3" t="s">
        <v>1775</v>
      </c>
      <c r="Z16" s="3" t="s">
        <v>29</v>
      </c>
      <c r="AA16" s="5" t="s">
        <v>1859</v>
      </c>
      <c r="AB16" s="5" t="s">
        <v>1860</v>
      </c>
      <c r="AC16" s="3" t="s">
        <v>1778</v>
      </c>
      <c r="AD16" s="3" t="s">
        <v>1274</v>
      </c>
      <c r="AE16" s="3" t="s">
        <v>1275</v>
      </c>
    </row>
    <row r="17" spans="1:31" ht="70">
      <c r="A17" s="3" t="s">
        <v>1861</v>
      </c>
      <c r="B17" s="3" t="s">
        <v>750</v>
      </c>
      <c r="C17" s="3" t="s">
        <v>1862</v>
      </c>
      <c r="D17" s="3" t="s">
        <v>1766</v>
      </c>
      <c r="E17" s="3" t="s">
        <v>1863</v>
      </c>
      <c r="F17" s="3" t="s">
        <v>1768</v>
      </c>
      <c r="G17" s="15">
        <v>23.25883</v>
      </c>
      <c r="H17" s="15">
        <v>120.10756000000001</v>
      </c>
      <c r="I17" s="3">
        <v>5</v>
      </c>
      <c r="J17" s="3" t="s">
        <v>1257</v>
      </c>
      <c r="K17" s="3" t="s">
        <v>1864</v>
      </c>
      <c r="L17" s="3" t="s">
        <v>1865</v>
      </c>
      <c r="M17" s="3" t="s">
        <v>1771</v>
      </c>
      <c r="N17" s="3">
        <v>160</v>
      </c>
      <c r="O17" s="3" t="s">
        <v>1772</v>
      </c>
      <c r="P17" s="3" t="s">
        <v>1361</v>
      </c>
      <c r="Q17" s="3" t="s">
        <v>1263</v>
      </c>
      <c r="R17" s="3" t="s">
        <v>1264</v>
      </c>
      <c r="S17" s="3" t="s">
        <v>1265</v>
      </c>
      <c r="T17" s="3" t="s">
        <v>1266</v>
      </c>
      <c r="U17" s="3" t="s">
        <v>1773</v>
      </c>
      <c r="V17" s="3" t="s">
        <v>1268</v>
      </c>
      <c r="W17" s="3" t="s">
        <v>1774</v>
      </c>
      <c r="X17" s="26">
        <v>1.8</v>
      </c>
      <c r="Y17" s="3" t="s">
        <v>1775</v>
      </c>
      <c r="Z17" s="3" t="s">
        <v>29</v>
      </c>
      <c r="AA17" s="5" t="s">
        <v>1866</v>
      </c>
      <c r="AB17" s="5" t="s">
        <v>1867</v>
      </c>
      <c r="AC17" s="3" t="s">
        <v>1778</v>
      </c>
      <c r="AD17" s="3" t="s">
        <v>1274</v>
      </c>
      <c r="AE17" s="3" t="s">
        <v>1275</v>
      </c>
    </row>
    <row r="18" spans="1:31" ht="70">
      <c r="A18" s="3" t="s">
        <v>1868</v>
      </c>
      <c r="B18" s="3" t="s">
        <v>750</v>
      </c>
      <c r="C18" s="3" t="s">
        <v>1869</v>
      </c>
      <c r="D18" s="3" t="s">
        <v>1766</v>
      </c>
      <c r="E18" s="3" t="s">
        <v>1870</v>
      </c>
      <c r="F18" s="3" t="s">
        <v>1768</v>
      </c>
      <c r="G18" s="15">
        <v>23.058373</v>
      </c>
      <c r="H18" s="15">
        <v>120.23497999999999</v>
      </c>
      <c r="I18" s="3">
        <v>5</v>
      </c>
      <c r="J18" s="3" t="s">
        <v>1257</v>
      </c>
      <c r="K18" s="3" t="s">
        <v>1871</v>
      </c>
      <c r="L18" s="3" t="s">
        <v>1872</v>
      </c>
      <c r="M18" s="3" t="s">
        <v>1771</v>
      </c>
      <c r="N18" s="3">
        <v>160</v>
      </c>
      <c r="O18" s="3" t="s">
        <v>1772</v>
      </c>
      <c r="P18" s="3" t="s">
        <v>1361</v>
      </c>
      <c r="Q18" s="3" t="s">
        <v>1263</v>
      </c>
      <c r="R18" s="3" t="s">
        <v>1264</v>
      </c>
      <c r="S18" s="3" t="s">
        <v>1265</v>
      </c>
      <c r="T18" s="3" t="s">
        <v>1266</v>
      </c>
      <c r="U18" s="3" t="s">
        <v>1773</v>
      </c>
      <c r="V18" s="3" t="s">
        <v>1268</v>
      </c>
      <c r="W18" s="3" t="s">
        <v>1774</v>
      </c>
      <c r="X18" s="26">
        <v>1.8</v>
      </c>
      <c r="Y18" s="3" t="s">
        <v>1775</v>
      </c>
      <c r="Z18" s="3" t="s">
        <v>29</v>
      </c>
      <c r="AA18" s="5" t="s">
        <v>1873</v>
      </c>
      <c r="AB18" s="5" t="s">
        <v>1874</v>
      </c>
      <c r="AC18" s="3" t="s">
        <v>1778</v>
      </c>
      <c r="AD18" s="3" t="s">
        <v>1274</v>
      </c>
      <c r="AE18" s="3" t="s">
        <v>1275</v>
      </c>
    </row>
    <row r="19" spans="1:31" ht="70">
      <c r="A19" s="3" t="s">
        <v>1875</v>
      </c>
      <c r="B19" s="3" t="s">
        <v>819</v>
      </c>
      <c r="C19" s="3" t="s">
        <v>1876</v>
      </c>
      <c r="D19" s="3" t="s">
        <v>1766</v>
      </c>
      <c r="E19" s="3" t="s">
        <v>1877</v>
      </c>
      <c r="F19" s="3" t="s">
        <v>1768</v>
      </c>
      <c r="G19" s="15">
        <v>22.550687</v>
      </c>
      <c r="H19" s="15">
        <v>120.31793999999999</v>
      </c>
      <c r="I19" s="3">
        <v>5</v>
      </c>
      <c r="J19" s="3" t="s">
        <v>1257</v>
      </c>
      <c r="K19" s="3" t="s">
        <v>1878</v>
      </c>
      <c r="L19" s="3" t="s">
        <v>1879</v>
      </c>
      <c r="M19" s="3" t="s">
        <v>1771</v>
      </c>
      <c r="N19" s="3">
        <v>160</v>
      </c>
      <c r="O19" s="3" t="s">
        <v>1772</v>
      </c>
      <c r="P19" s="3" t="s">
        <v>1361</v>
      </c>
      <c r="Q19" s="3" t="s">
        <v>1263</v>
      </c>
      <c r="R19" s="3" t="s">
        <v>1264</v>
      </c>
      <c r="S19" s="3" t="s">
        <v>1265</v>
      </c>
      <c r="T19" s="3" t="s">
        <v>1266</v>
      </c>
      <c r="U19" s="3" t="s">
        <v>1773</v>
      </c>
      <c r="V19" s="3" t="s">
        <v>1268</v>
      </c>
      <c r="W19" s="3" t="s">
        <v>1774</v>
      </c>
      <c r="X19" s="26">
        <v>1.8</v>
      </c>
      <c r="Y19" s="3" t="s">
        <v>1775</v>
      </c>
      <c r="Z19" s="3" t="s">
        <v>29</v>
      </c>
      <c r="AA19" s="5" t="s">
        <v>1880</v>
      </c>
      <c r="AB19" s="5" t="s">
        <v>1881</v>
      </c>
      <c r="AC19" s="3" t="s">
        <v>1778</v>
      </c>
      <c r="AD19" s="3" t="s">
        <v>1274</v>
      </c>
      <c r="AE19" s="3" t="s">
        <v>1275</v>
      </c>
    </row>
    <row r="20" spans="1:31" ht="98">
      <c r="A20" s="3" t="s">
        <v>1882</v>
      </c>
      <c r="B20" s="3" t="s">
        <v>819</v>
      </c>
      <c r="C20" s="3" t="s">
        <v>848</v>
      </c>
      <c r="D20" s="3" t="s">
        <v>1766</v>
      </c>
      <c r="E20" s="3" t="s">
        <v>1883</v>
      </c>
      <c r="F20" s="3" t="s">
        <v>1768</v>
      </c>
      <c r="G20" s="15">
        <v>22.692489999999999</v>
      </c>
      <c r="H20" s="15">
        <v>120.289</v>
      </c>
      <c r="I20" s="3">
        <v>5</v>
      </c>
      <c r="J20" s="3" t="s">
        <v>1257</v>
      </c>
      <c r="K20" s="3" t="s">
        <v>1884</v>
      </c>
      <c r="L20" s="3" t="s">
        <v>1885</v>
      </c>
      <c r="M20" s="3" t="s">
        <v>1771</v>
      </c>
      <c r="N20" s="3">
        <v>200</v>
      </c>
      <c r="O20" s="3" t="s">
        <v>1261</v>
      </c>
      <c r="P20" s="3" t="s">
        <v>1459</v>
      </c>
      <c r="Q20" s="3" t="s">
        <v>1263</v>
      </c>
      <c r="R20" s="3" t="s">
        <v>1264</v>
      </c>
      <c r="S20" s="3" t="s">
        <v>1265</v>
      </c>
      <c r="T20" s="3" t="s">
        <v>1266</v>
      </c>
      <c r="U20" s="3" t="s">
        <v>1773</v>
      </c>
      <c r="V20" s="3" t="s">
        <v>1268</v>
      </c>
      <c r="W20" s="3" t="s">
        <v>1774</v>
      </c>
      <c r="X20" s="26">
        <v>1.8</v>
      </c>
      <c r="Y20" s="3" t="s">
        <v>1775</v>
      </c>
      <c r="Z20" s="3" t="s">
        <v>29</v>
      </c>
      <c r="AA20" s="5" t="s">
        <v>1886</v>
      </c>
      <c r="AB20" s="5" t="s">
        <v>1887</v>
      </c>
      <c r="AC20" s="3" t="s">
        <v>1815</v>
      </c>
      <c r="AD20" s="3" t="s">
        <v>1274</v>
      </c>
      <c r="AE20" s="3" t="s">
        <v>1275</v>
      </c>
    </row>
    <row r="21" spans="1:31" ht="70">
      <c r="A21" s="3" t="s">
        <v>1888</v>
      </c>
      <c r="B21" s="3" t="s">
        <v>819</v>
      </c>
      <c r="C21" s="3" t="s">
        <v>1889</v>
      </c>
      <c r="D21" s="3" t="s">
        <v>1766</v>
      </c>
      <c r="E21" s="3" t="s">
        <v>1890</v>
      </c>
      <c r="F21" s="3" t="s">
        <v>1768</v>
      </c>
      <c r="G21" s="15">
        <v>22.911073999999999</v>
      </c>
      <c r="H21" s="15">
        <v>120.55754</v>
      </c>
      <c r="I21" s="3">
        <v>4</v>
      </c>
      <c r="J21" s="3" t="s">
        <v>1305</v>
      </c>
      <c r="K21" s="3" t="s">
        <v>1891</v>
      </c>
      <c r="L21" s="3" t="s">
        <v>1892</v>
      </c>
      <c r="M21" s="3" t="s">
        <v>1771</v>
      </c>
      <c r="N21" s="3">
        <v>160</v>
      </c>
      <c r="O21" s="3" t="s">
        <v>1772</v>
      </c>
      <c r="P21" s="3" t="s">
        <v>1361</v>
      </c>
      <c r="Q21" s="3" t="s">
        <v>1263</v>
      </c>
      <c r="R21" s="3" t="s">
        <v>1264</v>
      </c>
      <c r="S21" s="3" t="s">
        <v>1265</v>
      </c>
      <c r="T21" s="3" t="s">
        <v>1266</v>
      </c>
      <c r="U21" s="3" t="s">
        <v>1773</v>
      </c>
      <c r="V21" s="3" t="s">
        <v>1268</v>
      </c>
      <c r="W21" s="3" t="s">
        <v>1774</v>
      </c>
      <c r="X21" s="26">
        <v>1.8</v>
      </c>
      <c r="Y21" s="3" t="s">
        <v>1775</v>
      </c>
      <c r="Z21" s="3" t="s">
        <v>66</v>
      </c>
      <c r="AA21" s="5" t="s">
        <v>1893</v>
      </c>
      <c r="AB21" s="5" t="s">
        <v>1894</v>
      </c>
      <c r="AC21" s="3" t="s">
        <v>1778</v>
      </c>
      <c r="AD21" s="3" t="s">
        <v>1274</v>
      </c>
      <c r="AE21" s="3" t="s">
        <v>1275</v>
      </c>
    </row>
    <row r="22" spans="1:31" ht="56">
      <c r="A22" s="3" t="s">
        <v>1895</v>
      </c>
      <c r="B22" s="3" t="s">
        <v>914</v>
      </c>
      <c r="C22" s="3" t="s">
        <v>1896</v>
      </c>
      <c r="D22" s="3" t="s">
        <v>1766</v>
      </c>
      <c r="E22" s="3" t="s">
        <v>1897</v>
      </c>
      <c r="F22" s="3" t="s">
        <v>1768</v>
      </c>
      <c r="G22" s="15">
        <v>22.701433000000002</v>
      </c>
      <c r="H22" s="15">
        <v>120.64645</v>
      </c>
      <c r="I22" s="3">
        <v>5</v>
      </c>
      <c r="J22" s="3" t="s">
        <v>1257</v>
      </c>
      <c r="K22" s="3" t="s">
        <v>1898</v>
      </c>
      <c r="L22" s="3" t="s">
        <v>1899</v>
      </c>
      <c r="M22" s="3" t="s">
        <v>1771</v>
      </c>
      <c r="N22" s="3">
        <v>200</v>
      </c>
      <c r="O22" s="3" t="s">
        <v>1261</v>
      </c>
      <c r="P22" s="3" t="s">
        <v>1459</v>
      </c>
      <c r="Q22" s="3" t="s">
        <v>1263</v>
      </c>
      <c r="R22" s="3" t="s">
        <v>1264</v>
      </c>
      <c r="S22" s="3" t="s">
        <v>1265</v>
      </c>
      <c r="T22" s="3" t="s">
        <v>1266</v>
      </c>
      <c r="U22" s="3" t="s">
        <v>1773</v>
      </c>
      <c r="V22" s="3" t="s">
        <v>1268</v>
      </c>
      <c r="W22" s="3" t="s">
        <v>1774</v>
      </c>
      <c r="X22" s="26">
        <v>1.8</v>
      </c>
      <c r="Y22" s="3" t="s">
        <v>1775</v>
      </c>
      <c r="Z22" s="3" t="s">
        <v>29</v>
      </c>
      <c r="AA22" s="5" t="s">
        <v>1900</v>
      </c>
      <c r="AB22" s="5" t="s">
        <v>1901</v>
      </c>
      <c r="AC22" s="3" t="s">
        <v>1815</v>
      </c>
      <c r="AD22" s="3" t="s">
        <v>1274</v>
      </c>
      <c r="AE22" s="3" t="s">
        <v>1275</v>
      </c>
    </row>
    <row r="23" spans="1:31" ht="70">
      <c r="A23" s="3" t="s">
        <v>1902</v>
      </c>
      <c r="B23" s="3" t="s">
        <v>914</v>
      </c>
      <c r="C23" s="3" t="s">
        <v>948</v>
      </c>
      <c r="D23" s="3" t="s">
        <v>1766</v>
      </c>
      <c r="E23" s="3" t="s">
        <v>949</v>
      </c>
      <c r="F23" s="3" t="s">
        <v>1768</v>
      </c>
      <c r="G23" s="15">
        <v>22.658422000000002</v>
      </c>
      <c r="H23" s="15">
        <v>120.55880999999999</v>
      </c>
      <c r="I23" s="3">
        <v>5</v>
      </c>
      <c r="J23" s="3" t="s">
        <v>1257</v>
      </c>
      <c r="K23" s="3" t="s">
        <v>1903</v>
      </c>
      <c r="L23" s="3" t="s">
        <v>1904</v>
      </c>
      <c r="M23" s="3" t="s">
        <v>1771</v>
      </c>
      <c r="N23" s="3">
        <v>160</v>
      </c>
      <c r="O23" s="3" t="s">
        <v>1772</v>
      </c>
      <c r="P23" s="3" t="s">
        <v>1361</v>
      </c>
      <c r="Q23" s="3" t="s">
        <v>1263</v>
      </c>
      <c r="R23" s="3" t="s">
        <v>1264</v>
      </c>
      <c r="S23" s="3" t="s">
        <v>1265</v>
      </c>
      <c r="T23" s="3" t="s">
        <v>1266</v>
      </c>
      <c r="U23" s="3" t="s">
        <v>1773</v>
      </c>
      <c r="V23" s="3" t="s">
        <v>1268</v>
      </c>
      <c r="W23" s="3" t="s">
        <v>1774</v>
      </c>
      <c r="X23" s="26">
        <v>1.8</v>
      </c>
      <c r="Y23" s="3" t="s">
        <v>1775</v>
      </c>
      <c r="Z23" s="3" t="s">
        <v>29</v>
      </c>
      <c r="AA23" s="5" t="s">
        <v>950</v>
      </c>
      <c r="AB23" s="5" t="s">
        <v>1905</v>
      </c>
      <c r="AC23" s="3" t="s">
        <v>1778</v>
      </c>
      <c r="AD23" s="3" t="s">
        <v>1274</v>
      </c>
      <c r="AE23" s="3" t="s">
        <v>1764</v>
      </c>
    </row>
    <row r="24" spans="1:31" ht="70">
      <c r="A24" s="3" t="s">
        <v>1906</v>
      </c>
      <c r="B24" s="3" t="s">
        <v>914</v>
      </c>
      <c r="C24" s="3" t="s">
        <v>943</v>
      </c>
      <c r="D24" s="3" t="s">
        <v>1766</v>
      </c>
      <c r="E24" s="3" t="s">
        <v>1907</v>
      </c>
      <c r="F24" s="3" t="s">
        <v>1768</v>
      </c>
      <c r="G24" s="15">
        <v>21.96509</v>
      </c>
      <c r="H24" s="15">
        <v>120.74177</v>
      </c>
      <c r="I24" s="3">
        <v>4</v>
      </c>
      <c r="J24" s="3" t="s">
        <v>1305</v>
      </c>
      <c r="K24" s="3" t="s">
        <v>1908</v>
      </c>
      <c r="L24" s="3" t="s">
        <v>1909</v>
      </c>
      <c r="M24" s="3" t="s">
        <v>1771</v>
      </c>
      <c r="N24" s="3">
        <v>160</v>
      </c>
      <c r="O24" s="3" t="s">
        <v>1772</v>
      </c>
      <c r="P24" s="3" t="s">
        <v>1361</v>
      </c>
      <c r="Q24" s="3" t="s">
        <v>1263</v>
      </c>
      <c r="R24" s="3" t="s">
        <v>1264</v>
      </c>
      <c r="S24" s="3" t="s">
        <v>1265</v>
      </c>
      <c r="T24" s="3" t="s">
        <v>1266</v>
      </c>
      <c r="U24" s="3" t="s">
        <v>1773</v>
      </c>
      <c r="V24" s="3" t="s">
        <v>1268</v>
      </c>
      <c r="W24" s="3" t="s">
        <v>1774</v>
      </c>
      <c r="X24" s="26">
        <v>1.8</v>
      </c>
      <c r="Y24" s="3" t="s">
        <v>1775</v>
      </c>
      <c r="Z24" s="3" t="s">
        <v>66</v>
      </c>
      <c r="AA24" s="5" t="s">
        <v>1910</v>
      </c>
      <c r="AB24" s="5" t="s">
        <v>1911</v>
      </c>
      <c r="AC24" s="3" t="s">
        <v>1778</v>
      </c>
      <c r="AD24" s="3" t="s">
        <v>1274</v>
      </c>
      <c r="AE24" s="3" t="s">
        <v>1275</v>
      </c>
    </row>
    <row r="25" spans="1:31" ht="70">
      <c r="A25" s="3" t="s">
        <v>1912</v>
      </c>
      <c r="B25" s="3" t="s">
        <v>1087</v>
      </c>
      <c r="C25" s="3" t="s">
        <v>1913</v>
      </c>
      <c r="D25" s="3" t="s">
        <v>1766</v>
      </c>
      <c r="E25" s="3" t="s">
        <v>1914</v>
      </c>
      <c r="F25" s="3" t="s">
        <v>1768</v>
      </c>
      <c r="G25" s="15">
        <v>23.605174000000002</v>
      </c>
      <c r="H25" s="15">
        <v>119.51961</v>
      </c>
      <c r="I25" s="3">
        <v>5</v>
      </c>
      <c r="J25" s="3" t="s">
        <v>1257</v>
      </c>
      <c r="K25" s="3" t="s">
        <v>1915</v>
      </c>
      <c r="L25" s="3" t="s">
        <v>1916</v>
      </c>
      <c r="M25" s="3" t="s">
        <v>1771</v>
      </c>
      <c r="N25" s="3">
        <v>200</v>
      </c>
      <c r="O25" s="3" t="s">
        <v>1261</v>
      </c>
      <c r="P25" s="3" t="s">
        <v>1459</v>
      </c>
      <c r="Q25" s="3" t="s">
        <v>1263</v>
      </c>
      <c r="R25" s="3" t="s">
        <v>1264</v>
      </c>
      <c r="S25" s="3" t="s">
        <v>1265</v>
      </c>
      <c r="T25" s="3" t="s">
        <v>1266</v>
      </c>
      <c r="U25" s="3" t="s">
        <v>1773</v>
      </c>
      <c r="V25" s="3" t="s">
        <v>1268</v>
      </c>
      <c r="W25" s="3" t="s">
        <v>1774</v>
      </c>
      <c r="X25" s="26">
        <v>1.8</v>
      </c>
      <c r="Y25" s="3" t="s">
        <v>1775</v>
      </c>
      <c r="Z25" s="3" t="s">
        <v>29</v>
      </c>
      <c r="AA25" s="5" t="s">
        <v>1917</v>
      </c>
      <c r="AB25" s="5" t="s">
        <v>1918</v>
      </c>
      <c r="AC25" s="3" t="s">
        <v>1815</v>
      </c>
      <c r="AD25" s="3" t="s">
        <v>1274</v>
      </c>
      <c r="AE25" s="3" t="s">
        <v>1275</v>
      </c>
    </row>
    <row r="26" spans="1:31" ht="84">
      <c r="A26" s="3" t="s">
        <v>1919</v>
      </c>
      <c r="B26" s="3" t="s">
        <v>1087</v>
      </c>
      <c r="C26" s="3" t="s">
        <v>1088</v>
      </c>
      <c r="D26" s="3" t="s">
        <v>1766</v>
      </c>
      <c r="E26" s="3" t="s">
        <v>1920</v>
      </c>
      <c r="F26" s="3" t="s">
        <v>1768</v>
      </c>
      <c r="G26" s="15">
        <v>23.563853999999999</v>
      </c>
      <c r="H26" s="15">
        <v>119.56094</v>
      </c>
      <c r="I26" s="3">
        <v>5</v>
      </c>
      <c r="J26" s="3" t="s">
        <v>1257</v>
      </c>
      <c r="K26" s="3" t="s">
        <v>1921</v>
      </c>
      <c r="L26" s="3" t="s">
        <v>1922</v>
      </c>
      <c r="M26" s="3" t="s">
        <v>1771</v>
      </c>
      <c r="N26" s="3">
        <v>200</v>
      </c>
      <c r="O26" s="3" t="s">
        <v>1261</v>
      </c>
      <c r="P26" s="3" t="s">
        <v>1459</v>
      </c>
      <c r="Q26" s="3" t="s">
        <v>1263</v>
      </c>
      <c r="R26" s="3" t="s">
        <v>1264</v>
      </c>
      <c r="S26" s="3" t="s">
        <v>1265</v>
      </c>
      <c r="T26" s="3" t="s">
        <v>1266</v>
      </c>
      <c r="U26" s="3" t="s">
        <v>1773</v>
      </c>
      <c r="V26" s="3" t="s">
        <v>1268</v>
      </c>
      <c r="W26" s="3" t="s">
        <v>1774</v>
      </c>
      <c r="X26" s="26">
        <v>1.8</v>
      </c>
      <c r="Y26" s="3" t="s">
        <v>1775</v>
      </c>
      <c r="Z26" s="3" t="s">
        <v>29</v>
      </c>
      <c r="AA26" s="5" t="s">
        <v>1923</v>
      </c>
      <c r="AB26" s="5" t="s">
        <v>1924</v>
      </c>
      <c r="AC26" s="3" t="s">
        <v>1815</v>
      </c>
      <c r="AD26" s="3" t="s">
        <v>1274</v>
      </c>
      <c r="AE26" s="3" t="s">
        <v>1275</v>
      </c>
    </row>
    <row r="27" spans="1:31" ht="70">
      <c r="A27" s="3" t="s">
        <v>1925</v>
      </c>
      <c r="B27" s="3" t="s">
        <v>1120</v>
      </c>
      <c r="C27" s="3" t="s">
        <v>1926</v>
      </c>
      <c r="D27" s="3" t="s">
        <v>1766</v>
      </c>
      <c r="E27" s="3" t="s">
        <v>1927</v>
      </c>
      <c r="F27" s="3" t="s">
        <v>1768</v>
      </c>
      <c r="G27" s="15">
        <v>24.503810999999999</v>
      </c>
      <c r="H27" s="15">
        <v>118.44041</v>
      </c>
      <c r="I27" s="3">
        <v>5</v>
      </c>
      <c r="J27" s="3" t="s">
        <v>1257</v>
      </c>
      <c r="K27" s="3" t="s">
        <v>1928</v>
      </c>
      <c r="L27" s="3" t="s">
        <v>1929</v>
      </c>
      <c r="M27" s="3" t="s">
        <v>1771</v>
      </c>
      <c r="N27" s="3">
        <v>160</v>
      </c>
      <c r="O27" s="3" t="s">
        <v>1772</v>
      </c>
      <c r="P27" s="3" t="s">
        <v>1361</v>
      </c>
      <c r="Q27" s="3" t="s">
        <v>1263</v>
      </c>
      <c r="R27" s="3" t="s">
        <v>1264</v>
      </c>
      <c r="S27" s="3" t="s">
        <v>1265</v>
      </c>
      <c r="T27" s="3" t="s">
        <v>1266</v>
      </c>
      <c r="U27" s="3" t="s">
        <v>1773</v>
      </c>
      <c r="V27" s="3" t="s">
        <v>1268</v>
      </c>
      <c r="W27" s="3" t="s">
        <v>1774</v>
      </c>
      <c r="X27" s="26">
        <v>1.8</v>
      </c>
      <c r="Y27" s="3" t="s">
        <v>1775</v>
      </c>
      <c r="Z27" s="3" t="s">
        <v>29</v>
      </c>
      <c r="AA27" s="5" t="s">
        <v>1930</v>
      </c>
      <c r="AB27" s="5" t="s">
        <v>1931</v>
      </c>
      <c r="AC27" s="3" t="s">
        <v>1778</v>
      </c>
      <c r="AD27" s="3" t="s">
        <v>1274</v>
      </c>
      <c r="AE27" s="3" t="s">
        <v>1275</v>
      </c>
    </row>
  </sheetData>
  <mergeCells count="1">
    <mergeCell ref="A1:AE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7"/>
  <sheetViews>
    <sheetView workbookViewId="0"/>
  </sheetViews>
  <sheetFormatPr defaultRowHeight="14"/>
  <cols>
    <col min="1" max="1" width="19" customWidth="1"/>
    <col min="2" max="2" width="10" customWidth="1"/>
    <col min="3" max="3" width="11" customWidth="1"/>
    <col min="4" max="4" width="19" customWidth="1"/>
    <col min="5" max="5" width="31" customWidth="1"/>
    <col min="6" max="6" width="30" customWidth="1"/>
    <col min="7" max="8" width="16" customWidth="1"/>
    <col min="9" max="9" width="8" customWidth="1"/>
    <col min="10" max="10" width="12" customWidth="1"/>
    <col min="11" max="11" width="38" customWidth="1"/>
    <col min="12" max="12" width="48" customWidth="1"/>
    <col min="13" max="13" width="40" customWidth="1"/>
    <col min="14" max="14" width="15" customWidth="1"/>
    <col min="15" max="15" width="27" customWidth="1"/>
    <col min="16" max="16" width="48" customWidth="1"/>
    <col min="17" max="17" width="35" customWidth="1"/>
    <col min="18" max="18" width="34" customWidth="1"/>
    <col min="19" max="20" width="12" customWidth="1"/>
    <col min="21" max="21" width="25" customWidth="1"/>
    <col min="22" max="22" width="13" customWidth="1"/>
    <col min="23" max="23" width="16" customWidth="1"/>
    <col min="24" max="24" width="15" customWidth="1"/>
    <col min="25" max="25" width="42" customWidth="1"/>
    <col min="26" max="26" width="16" customWidth="1"/>
    <col min="27" max="27" width="48" customWidth="1"/>
    <col min="28" max="28" width="42" customWidth="1"/>
    <col min="29" max="29" width="28" customWidth="1"/>
    <col min="30" max="30" width="42" customWidth="1"/>
    <col min="31" max="31" width="38" customWidth="1"/>
  </cols>
  <sheetData>
    <row r="1" spans="1:31" ht="18">
      <c r="A1" s="44" t="s">
        <v>2254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3"/>
    </row>
    <row r="2" spans="1:31">
      <c r="A2" s="31" t="s">
        <v>1225</v>
      </c>
      <c r="B2" s="31" t="s">
        <v>2</v>
      </c>
      <c r="C2" s="31" t="s">
        <v>3</v>
      </c>
      <c r="D2" s="31" t="s">
        <v>5</v>
      </c>
      <c r="E2" s="31" t="s">
        <v>1226</v>
      </c>
      <c r="F2" s="31" t="s">
        <v>1227</v>
      </c>
      <c r="G2" s="31" t="s">
        <v>1228</v>
      </c>
      <c r="H2" s="31" t="s">
        <v>1229</v>
      </c>
      <c r="I2" s="31" t="s">
        <v>1230</v>
      </c>
      <c r="J2" s="31" t="s">
        <v>1231</v>
      </c>
      <c r="K2" s="31" t="s">
        <v>1232</v>
      </c>
      <c r="L2" s="31" t="s">
        <v>1233</v>
      </c>
      <c r="M2" s="31" t="s">
        <v>1234</v>
      </c>
      <c r="N2" s="31" t="s">
        <v>1235</v>
      </c>
      <c r="O2" s="31" t="s">
        <v>1236</v>
      </c>
      <c r="P2" s="31" t="s">
        <v>1237</v>
      </c>
      <c r="Q2" s="31" t="s">
        <v>1238</v>
      </c>
      <c r="R2" s="31" t="s">
        <v>1239</v>
      </c>
      <c r="S2" s="31" t="s">
        <v>1240</v>
      </c>
      <c r="T2" s="31" t="s">
        <v>1241</v>
      </c>
      <c r="U2" s="31" t="s">
        <v>1242</v>
      </c>
      <c r="V2" s="31" t="s">
        <v>1243</v>
      </c>
      <c r="W2" s="31" t="s">
        <v>1244</v>
      </c>
      <c r="X2" s="31" t="s">
        <v>1245</v>
      </c>
      <c r="Y2" s="31" t="s">
        <v>1246</v>
      </c>
      <c r="Z2" s="31" t="s">
        <v>7</v>
      </c>
      <c r="AA2" s="31" t="s">
        <v>1247</v>
      </c>
      <c r="AB2" s="31" t="s">
        <v>1248</v>
      </c>
      <c r="AC2" s="31" t="s">
        <v>1249</v>
      </c>
      <c r="AD2" s="31" t="s">
        <v>1250</v>
      </c>
      <c r="AE2" t="s">
        <v>1251</v>
      </c>
    </row>
    <row r="3" spans="1:31" ht="70">
      <c r="A3" s="3" t="s">
        <v>1932</v>
      </c>
      <c r="B3" s="3" t="s">
        <v>24</v>
      </c>
      <c r="C3" s="3" t="s">
        <v>58</v>
      </c>
      <c r="D3" s="3" t="s">
        <v>1933</v>
      </c>
      <c r="E3" s="3" t="s">
        <v>1934</v>
      </c>
      <c r="F3" s="3" t="s">
        <v>1935</v>
      </c>
      <c r="G3" s="15">
        <v>25.125630000000001</v>
      </c>
      <c r="H3" s="15">
        <v>121.4671</v>
      </c>
      <c r="I3" s="3">
        <v>5</v>
      </c>
      <c r="J3" s="3" t="s">
        <v>1257</v>
      </c>
      <c r="K3" s="3" t="s">
        <v>1936</v>
      </c>
      <c r="L3" s="3" t="s">
        <v>1937</v>
      </c>
      <c r="M3" s="3" t="s">
        <v>1938</v>
      </c>
      <c r="N3" s="3">
        <v>300</v>
      </c>
      <c r="O3" s="3" t="s">
        <v>1261</v>
      </c>
      <c r="P3" s="3" t="s">
        <v>1459</v>
      </c>
      <c r="Q3" s="3" t="s">
        <v>1263</v>
      </c>
      <c r="R3" s="3" t="s">
        <v>1264</v>
      </c>
      <c r="S3" s="3" t="s">
        <v>1265</v>
      </c>
      <c r="T3" s="3" t="s">
        <v>1266</v>
      </c>
      <c r="U3" s="3" t="s">
        <v>1939</v>
      </c>
      <c r="V3" s="3" t="s">
        <v>1442</v>
      </c>
      <c r="W3" s="3" t="s">
        <v>1940</v>
      </c>
      <c r="X3" s="26">
        <v>4</v>
      </c>
      <c r="Y3" s="3" t="s">
        <v>1941</v>
      </c>
      <c r="Z3" s="3" t="s">
        <v>29</v>
      </c>
      <c r="AA3" s="5" t="s">
        <v>1942</v>
      </c>
      <c r="AB3" s="5" t="s">
        <v>1943</v>
      </c>
      <c r="AC3" s="3" t="s">
        <v>1944</v>
      </c>
      <c r="AD3" s="3" t="s">
        <v>1274</v>
      </c>
      <c r="AE3" s="3" t="s">
        <v>1275</v>
      </c>
    </row>
    <row r="4" spans="1:31" ht="84">
      <c r="A4" s="3" t="s">
        <v>1945</v>
      </c>
      <c r="B4" s="3" t="s">
        <v>151</v>
      </c>
      <c r="C4" s="3" t="s">
        <v>1290</v>
      </c>
      <c r="D4" s="3" t="s">
        <v>1933</v>
      </c>
      <c r="E4" s="3" t="s">
        <v>1946</v>
      </c>
      <c r="F4" s="3" t="s">
        <v>1935</v>
      </c>
      <c r="G4" s="15">
        <v>25.156302</v>
      </c>
      <c r="H4" s="15">
        <v>121.45654999999999</v>
      </c>
      <c r="I4" s="3">
        <v>4</v>
      </c>
      <c r="J4" s="3" t="s">
        <v>1305</v>
      </c>
      <c r="K4" s="3" t="s">
        <v>1947</v>
      </c>
      <c r="L4" s="3" t="s">
        <v>1948</v>
      </c>
      <c r="M4" s="3" t="s">
        <v>1938</v>
      </c>
      <c r="N4" s="3">
        <v>300</v>
      </c>
      <c r="O4" s="3" t="s">
        <v>1261</v>
      </c>
      <c r="P4" s="3" t="s">
        <v>1459</v>
      </c>
      <c r="Q4" s="3" t="s">
        <v>1263</v>
      </c>
      <c r="R4" s="3" t="s">
        <v>1264</v>
      </c>
      <c r="S4" s="3" t="s">
        <v>1265</v>
      </c>
      <c r="T4" s="3" t="s">
        <v>1266</v>
      </c>
      <c r="U4" s="3" t="s">
        <v>1939</v>
      </c>
      <c r="V4" s="3" t="s">
        <v>1442</v>
      </c>
      <c r="W4" s="3" t="s">
        <v>1940</v>
      </c>
      <c r="X4" s="26">
        <v>4</v>
      </c>
      <c r="Y4" s="3" t="s">
        <v>1941</v>
      </c>
      <c r="Z4" s="3" t="s">
        <v>66</v>
      </c>
      <c r="AA4" s="5" t="s">
        <v>1949</v>
      </c>
      <c r="AB4" s="5" t="s">
        <v>1950</v>
      </c>
      <c r="AC4" s="3" t="s">
        <v>1944</v>
      </c>
      <c r="AD4" s="3" t="s">
        <v>1274</v>
      </c>
      <c r="AE4" s="3" t="s">
        <v>1275</v>
      </c>
    </row>
    <row r="5" spans="1:31" ht="84">
      <c r="A5" s="3" t="s">
        <v>1951</v>
      </c>
      <c r="B5" s="3" t="s">
        <v>151</v>
      </c>
      <c r="C5" s="3" t="s">
        <v>1952</v>
      </c>
      <c r="D5" s="3" t="s">
        <v>1933</v>
      </c>
      <c r="E5" s="3" t="s">
        <v>1953</v>
      </c>
      <c r="F5" s="3" t="s">
        <v>1935</v>
      </c>
      <c r="G5" s="15">
        <v>25.128150000000002</v>
      </c>
      <c r="H5" s="15">
        <v>121.41998</v>
      </c>
      <c r="I5" s="3">
        <v>4</v>
      </c>
      <c r="J5" s="3" t="s">
        <v>1305</v>
      </c>
      <c r="K5" s="3" t="s">
        <v>1954</v>
      </c>
      <c r="L5" s="3" t="s">
        <v>1955</v>
      </c>
      <c r="M5" s="3" t="s">
        <v>1938</v>
      </c>
      <c r="N5" s="3">
        <v>300</v>
      </c>
      <c r="O5" s="3" t="s">
        <v>1261</v>
      </c>
      <c r="P5" s="3" t="s">
        <v>1459</v>
      </c>
      <c r="Q5" s="3" t="s">
        <v>1263</v>
      </c>
      <c r="R5" s="3" t="s">
        <v>1264</v>
      </c>
      <c r="S5" s="3" t="s">
        <v>1265</v>
      </c>
      <c r="T5" s="3" t="s">
        <v>1266</v>
      </c>
      <c r="U5" s="3" t="s">
        <v>1939</v>
      </c>
      <c r="V5" s="3" t="s">
        <v>1442</v>
      </c>
      <c r="W5" s="3" t="s">
        <v>1940</v>
      </c>
      <c r="X5" s="26">
        <v>4</v>
      </c>
      <c r="Y5" s="3" t="s">
        <v>1941</v>
      </c>
      <c r="Z5" s="3" t="s">
        <v>66</v>
      </c>
      <c r="AA5" s="5" t="s">
        <v>1956</v>
      </c>
      <c r="AB5" s="5" t="s">
        <v>1957</v>
      </c>
      <c r="AC5" s="3" t="s">
        <v>1944</v>
      </c>
      <c r="AD5" s="3" t="s">
        <v>1274</v>
      </c>
      <c r="AE5" s="3" t="s">
        <v>1275</v>
      </c>
    </row>
    <row r="6" spans="1:31" ht="70">
      <c r="A6" s="3" t="s">
        <v>1958</v>
      </c>
      <c r="B6" s="3" t="s">
        <v>281</v>
      </c>
      <c r="C6" s="3" t="s">
        <v>1674</v>
      </c>
      <c r="D6" s="3" t="s">
        <v>1933</v>
      </c>
      <c r="E6" s="3" t="s">
        <v>1959</v>
      </c>
      <c r="F6" s="3" t="s">
        <v>1935</v>
      </c>
      <c r="G6" s="15">
        <v>24.969405999999999</v>
      </c>
      <c r="H6" s="15">
        <v>121.01237999999999</v>
      </c>
      <c r="I6" s="3">
        <v>5</v>
      </c>
      <c r="J6" s="3" t="s">
        <v>1257</v>
      </c>
      <c r="K6" s="3" t="s">
        <v>1960</v>
      </c>
      <c r="L6" s="3" t="s">
        <v>1961</v>
      </c>
      <c r="M6" s="3" t="s">
        <v>1938</v>
      </c>
      <c r="N6" s="3">
        <v>300</v>
      </c>
      <c r="O6" s="3" t="s">
        <v>1261</v>
      </c>
      <c r="P6" s="3" t="s">
        <v>1459</v>
      </c>
      <c r="Q6" s="3" t="s">
        <v>1263</v>
      </c>
      <c r="R6" s="3" t="s">
        <v>1264</v>
      </c>
      <c r="S6" s="3" t="s">
        <v>1265</v>
      </c>
      <c r="T6" s="3" t="s">
        <v>1266</v>
      </c>
      <c r="U6" s="3" t="s">
        <v>1939</v>
      </c>
      <c r="V6" s="3" t="s">
        <v>1442</v>
      </c>
      <c r="W6" s="3" t="s">
        <v>1940</v>
      </c>
      <c r="X6" s="26">
        <v>4</v>
      </c>
      <c r="Y6" s="3" t="s">
        <v>1941</v>
      </c>
      <c r="Z6" s="3" t="s">
        <v>29</v>
      </c>
      <c r="AA6" s="5" t="s">
        <v>1962</v>
      </c>
      <c r="AB6" s="5" t="s">
        <v>1963</v>
      </c>
      <c r="AC6" s="3" t="s">
        <v>1944</v>
      </c>
      <c r="AD6" s="3" t="s">
        <v>1274</v>
      </c>
      <c r="AE6" s="3" t="s">
        <v>1275</v>
      </c>
    </row>
    <row r="7" spans="1:31" ht="56">
      <c r="A7" s="3" t="s">
        <v>1964</v>
      </c>
      <c r="B7" s="3" t="s">
        <v>400</v>
      </c>
      <c r="C7" s="3" t="s">
        <v>1965</v>
      </c>
      <c r="D7" s="3" t="s">
        <v>1933</v>
      </c>
      <c r="E7" s="3" t="s">
        <v>1966</v>
      </c>
      <c r="F7" s="3" t="s">
        <v>1935</v>
      </c>
      <c r="G7" s="15">
        <v>24.655282</v>
      </c>
      <c r="H7" s="15">
        <v>121.02327</v>
      </c>
      <c r="I7" s="3">
        <v>4</v>
      </c>
      <c r="J7" s="3" t="s">
        <v>1305</v>
      </c>
      <c r="K7" s="3" t="s">
        <v>1967</v>
      </c>
      <c r="L7" s="3" t="s">
        <v>1968</v>
      </c>
      <c r="M7" s="3" t="s">
        <v>1938</v>
      </c>
      <c r="N7" s="3">
        <v>300</v>
      </c>
      <c r="O7" s="3" t="s">
        <v>1261</v>
      </c>
      <c r="P7" s="3" t="s">
        <v>1459</v>
      </c>
      <c r="Q7" s="3" t="s">
        <v>1263</v>
      </c>
      <c r="R7" s="3" t="s">
        <v>1264</v>
      </c>
      <c r="S7" s="3" t="s">
        <v>1265</v>
      </c>
      <c r="T7" s="3" t="s">
        <v>1266</v>
      </c>
      <c r="U7" s="3" t="s">
        <v>1939</v>
      </c>
      <c r="V7" s="3" t="s">
        <v>1442</v>
      </c>
      <c r="W7" s="3" t="s">
        <v>1940</v>
      </c>
      <c r="X7" s="26">
        <v>4</v>
      </c>
      <c r="Y7" s="3" t="s">
        <v>1941</v>
      </c>
      <c r="Z7" s="3" t="s">
        <v>66</v>
      </c>
      <c r="AA7" s="5" t="s">
        <v>1969</v>
      </c>
      <c r="AB7" s="5" t="s">
        <v>1970</v>
      </c>
      <c r="AC7" s="3" t="s">
        <v>1944</v>
      </c>
      <c r="AD7" s="3" t="s">
        <v>1274</v>
      </c>
      <c r="AE7" s="3" t="s">
        <v>1275</v>
      </c>
    </row>
    <row r="8" spans="1:31" ht="56">
      <c r="A8" s="3" t="s">
        <v>1971</v>
      </c>
      <c r="B8" s="3" t="s">
        <v>355</v>
      </c>
      <c r="C8" s="3" t="s">
        <v>356</v>
      </c>
      <c r="D8" s="3" t="s">
        <v>1933</v>
      </c>
      <c r="E8" s="3" t="s">
        <v>1972</v>
      </c>
      <c r="F8" s="3" t="s">
        <v>1935</v>
      </c>
      <c r="G8" s="15">
        <v>24.774933999999998</v>
      </c>
      <c r="H8" s="15">
        <v>120.9709</v>
      </c>
      <c r="I8" s="3">
        <v>4</v>
      </c>
      <c r="J8" s="3" t="s">
        <v>1305</v>
      </c>
      <c r="K8" s="3" t="s">
        <v>1973</v>
      </c>
      <c r="L8" s="3" t="s">
        <v>1974</v>
      </c>
      <c r="M8" s="3" t="s">
        <v>1938</v>
      </c>
      <c r="N8" s="3">
        <v>300</v>
      </c>
      <c r="O8" s="3" t="s">
        <v>1261</v>
      </c>
      <c r="P8" s="3" t="s">
        <v>1459</v>
      </c>
      <c r="Q8" s="3" t="s">
        <v>1263</v>
      </c>
      <c r="R8" s="3" t="s">
        <v>1264</v>
      </c>
      <c r="S8" s="3" t="s">
        <v>1265</v>
      </c>
      <c r="T8" s="3" t="s">
        <v>1266</v>
      </c>
      <c r="U8" s="3" t="s">
        <v>1939</v>
      </c>
      <c r="V8" s="3" t="s">
        <v>1442</v>
      </c>
      <c r="W8" s="3" t="s">
        <v>1940</v>
      </c>
      <c r="X8" s="26">
        <v>4</v>
      </c>
      <c r="Y8" s="3" t="s">
        <v>1941</v>
      </c>
      <c r="Z8" s="3" t="s">
        <v>66</v>
      </c>
      <c r="AA8" s="5" t="s">
        <v>1975</v>
      </c>
      <c r="AB8" s="5" t="s">
        <v>1976</v>
      </c>
      <c r="AC8" s="3" t="s">
        <v>1944</v>
      </c>
      <c r="AD8" s="3" t="s">
        <v>1274</v>
      </c>
      <c r="AE8" s="3" t="s">
        <v>1275</v>
      </c>
    </row>
    <row r="9" spans="1:31" ht="56">
      <c r="A9" s="3" t="s">
        <v>1977</v>
      </c>
      <c r="B9" s="3" t="s">
        <v>355</v>
      </c>
      <c r="C9" s="3" t="s">
        <v>356</v>
      </c>
      <c r="D9" s="3" t="s">
        <v>1933</v>
      </c>
      <c r="E9" s="3" t="s">
        <v>1978</v>
      </c>
      <c r="F9" s="3" t="s">
        <v>1935</v>
      </c>
      <c r="G9" s="15">
        <v>24.792534</v>
      </c>
      <c r="H9" s="15">
        <v>120.98459</v>
      </c>
      <c r="I9" s="3">
        <v>5</v>
      </c>
      <c r="J9" s="3" t="s">
        <v>1257</v>
      </c>
      <c r="K9" s="3" t="s">
        <v>1979</v>
      </c>
      <c r="L9" s="3" t="s">
        <v>1980</v>
      </c>
      <c r="M9" s="3" t="s">
        <v>1938</v>
      </c>
      <c r="N9" s="3">
        <v>300</v>
      </c>
      <c r="O9" s="3" t="s">
        <v>1261</v>
      </c>
      <c r="P9" s="3" t="s">
        <v>1459</v>
      </c>
      <c r="Q9" s="3" t="s">
        <v>1263</v>
      </c>
      <c r="R9" s="3" t="s">
        <v>1264</v>
      </c>
      <c r="S9" s="3" t="s">
        <v>1265</v>
      </c>
      <c r="T9" s="3" t="s">
        <v>1266</v>
      </c>
      <c r="U9" s="3" t="s">
        <v>1939</v>
      </c>
      <c r="V9" s="3" t="s">
        <v>1442</v>
      </c>
      <c r="W9" s="3" t="s">
        <v>1940</v>
      </c>
      <c r="X9" s="26">
        <v>4</v>
      </c>
      <c r="Y9" s="3" t="s">
        <v>1941</v>
      </c>
      <c r="Z9" s="3" t="s">
        <v>29</v>
      </c>
      <c r="AA9" s="5" t="s">
        <v>1981</v>
      </c>
      <c r="AB9" s="5" t="s">
        <v>1982</v>
      </c>
      <c r="AC9" s="3" t="s">
        <v>1944</v>
      </c>
      <c r="AD9" s="3" t="s">
        <v>1274</v>
      </c>
      <c r="AE9" s="3" t="s">
        <v>1983</v>
      </c>
    </row>
    <row r="10" spans="1:31" ht="84">
      <c r="A10" s="3" t="s">
        <v>1984</v>
      </c>
      <c r="B10" s="3" t="s">
        <v>436</v>
      </c>
      <c r="C10" s="3" t="s">
        <v>447</v>
      </c>
      <c r="D10" s="3" t="s">
        <v>1933</v>
      </c>
      <c r="E10" s="3" t="s">
        <v>1985</v>
      </c>
      <c r="F10" s="3" t="s">
        <v>1935</v>
      </c>
      <c r="G10" s="15">
        <v>24.666495999999999</v>
      </c>
      <c r="H10" s="15">
        <v>120.84343</v>
      </c>
      <c r="I10" s="3">
        <v>4</v>
      </c>
      <c r="J10" s="3" t="s">
        <v>1305</v>
      </c>
      <c r="K10" s="3" t="s">
        <v>1986</v>
      </c>
      <c r="L10" s="3" t="s">
        <v>1987</v>
      </c>
      <c r="M10" s="3" t="s">
        <v>1938</v>
      </c>
      <c r="N10" s="3">
        <v>300</v>
      </c>
      <c r="O10" s="3" t="s">
        <v>1261</v>
      </c>
      <c r="P10" s="3" t="s">
        <v>1459</v>
      </c>
      <c r="Q10" s="3" t="s">
        <v>1263</v>
      </c>
      <c r="R10" s="3" t="s">
        <v>1264</v>
      </c>
      <c r="S10" s="3" t="s">
        <v>1265</v>
      </c>
      <c r="T10" s="3" t="s">
        <v>1266</v>
      </c>
      <c r="U10" s="3" t="s">
        <v>1939</v>
      </c>
      <c r="V10" s="3" t="s">
        <v>1442</v>
      </c>
      <c r="W10" s="3" t="s">
        <v>1940</v>
      </c>
      <c r="X10" s="26">
        <v>4</v>
      </c>
      <c r="Y10" s="3" t="s">
        <v>1941</v>
      </c>
      <c r="Z10" s="3" t="s">
        <v>66</v>
      </c>
      <c r="AA10" s="5" t="s">
        <v>1988</v>
      </c>
      <c r="AB10" s="5" t="s">
        <v>1989</v>
      </c>
      <c r="AC10" s="3" t="s">
        <v>1944</v>
      </c>
      <c r="AD10" s="3" t="s">
        <v>1274</v>
      </c>
      <c r="AE10" s="3" t="s">
        <v>1275</v>
      </c>
    </row>
    <row r="11" spans="1:31" ht="56">
      <c r="A11" s="3" t="s">
        <v>1990</v>
      </c>
      <c r="B11" s="3" t="s">
        <v>480</v>
      </c>
      <c r="C11" s="3" t="s">
        <v>535</v>
      </c>
      <c r="D11" s="3" t="s">
        <v>1933</v>
      </c>
      <c r="E11" s="3" t="s">
        <v>1991</v>
      </c>
      <c r="F11" s="3" t="s">
        <v>1935</v>
      </c>
      <c r="G11" s="15">
        <v>24.311951000000001</v>
      </c>
      <c r="H11" s="15">
        <v>120.54980999999999</v>
      </c>
      <c r="I11" s="3">
        <v>5</v>
      </c>
      <c r="J11" s="3" t="s">
        <v>1257</v>
      </c>
      <c r="K11" s="3" t="s">
        <v>1992</v>
      </c>
      <c r="L11" s="3" t="s">
        <v>1993</v>
      </c>
      <c r="M11" s="3" t="s">
        <v>1938</v>
      </c>
      <c r="N11" s="3">
        <v>300</v>
      </c>
      <c r="O11" s="3" t="s">
        <v>1261</v>
      </c>
      <c r="P11" s="3" t="s">
        <v>1459</v>
      </c>
      <c r="Q11" s="3" t="s">
        <v>1263</v>
      </c>
      <c r="R11" s="3" t="s">
        <v>1264</v>
      </c>
      <c r="S11" s="3" t="s">
        <v>1265</v>
      </c>
      <c r="T11" s="3" t="s">
        <v>1266</v>
      </c>
      <c r="U11" s="3" t="s">
        <v>1939</v>
      </c>
      <c r="V11" s="3" t="s">
        <v>1442</v>
      </c>
      <c r="W11" s="3" t="s">
        <v>1940</v>
      </c>
      <c r="X11" s="26">
        <v>4</v>
      </c>
      <c r="Y11" s="3" t="s">
        <v>1941</v>
      </c>
      <c r="Z11" s="3" t="s">
        <v>29</v>
      </c>
      <c r="AA11" s="5" t="s">
        <v>1994</v>
      </c>
      <c r="AB11" s="5" t="s">
        <v>1995</v>
      </c>
      <c r="AC11" s="3" t="s">
        <v>1944</v>
      </c>
      <c r="AD11" s="3" t="s">
        <v>1274</v>
      </c>
      <c r="AE11" s="3" t="s">
        <v>1275</v>
      </c>
    </row>
    <row r="12" spans="1:31" ht="56">
      <c r="A12" s="3" t="s">
        <v>1996</v>
      </c>
      <c r="B12" s="3" t="s">
        <v>480</v>
      </c>
      <c r="C12" s="3" t="s">
        <v>523</v>
      </c>
      <c r="D12" s="3" t="s">
        <v>1933</v>
      </c>
      <c r="E12" s="3" t="s">
        <v>528</v>
      </c>
      <c r="F12" s="3" t="s">
        <v>1935</v>
      </c>
      <c r="G12" s="15">
        <v>24.148399999999999</v>
      </c>
      <c r="H12" s="15">
        <v>120.66477</v>
      </c>
      <c r="I12" s="3">
        <v>5</v>
      </c>
      <c r="J12" s="3" t="s">
        <v>1257</v>
      </c>
      <c r="K12" s="3" t="s">
        <v>1997</v>
      </c>
      <c r="L12" s="3" t="s">
        <v>1998</v>
      </c>
      <c r="M12" s="3" t="s">
        <v>1938</v>
      </c>
      <c r="N12" s="3">
        <v>300</v>
      </c>
      <c r="O12" s="3" t="s">
        <v>1261</v>
      </c>
      <c r="P12" s="3" t="s">
        <v>1459</v>
      </c>
      <c r="Q12" s="3" t="s">
        <v>1263</v>
      </c>
      <c r="R12" s="3" t="s">
        <v>1264</v>
      </c>
      <c r="S12" s="3" t="s">
        <v>1265</v>
      </c>
      <c r="T12" s="3" t="s">
        <v>1266</v>
      </c>
      <c r="U12" s="3" t="s">
        <v>1939</v>
      </c>
      <c r="V12" s="3" t="s">
        <v>1442</v>
      </c>
      <c r="W12" s="3" t="s">
        <v>1940</v>
      </c>
      <c r="X12" s="26">
        <v>4</v>
      </c>
      <c r="Y12" s="3" t="s">
        <v>1941</v>
      </c>
      <c r="Z12" s="3" t="s">
        <v>29</v>
      </c>
      <c r="AA12" s="5" t="s">
        <v>532</v>
      </c>
      <c r="AB12" s="5" t="s">
        <v>1999</v>
      </c>
      <c r="AC12" s="3" t="s">
        <v>1944</v>
      </c>
      <c r="AD12" s="3" t="s">
        <v>1274</v>
      </c>
      <c r="AE12" s="3" t="s">
        <v>1764</v>
      </c>
    </row>
    <row r="13" spans="1:31" ht="56">
      <c r="A13" s="3" t="s">
        <v>2000</v>
      </c>
      <c r="B13" s="3" t="s">
        <v>480</v>
      </c>
      <c r="C13" s="3" t="s">
        <v>2001</v>
      </c>
      <c r="D13" s="3" t="s">
        <v>1933</v>
      </c>
      <c r="E13" s="3" t="s">
        <v>2002</v>
      </c>
      <c r="F13" s="3" t="s">
        <v>1935</v>
      </c>
      <c r="G13" s="15">
        <v>24.205635000000001</v>
      </c>
      <c r="H13" s="15">
        <v>121.00572</v>
      </c>
      <c r="I13" s="3">
        <v>4</v>
      </c>
      <c r="J13" s="3" t="s">
        <v>1305</v>
      </c>
      <c r="K13" s="3" t="s">
        <v>2003</v>
      </c>
      <c r="L13" s="3" t="s">
        <v>2004</v>
      </c>
      <c r="M13" s="3" t="s">
        <v>1938</v>
      </c>
      <c r="N13" s="3">
        <v>300</v>
      </c>
      <c r="O13" s="3" t="s">
        <v>1261</v>
      </c>
      <c r="P13" s="3" t="s">
        <v>1459</v>
      </c>
      <c r="Q13" s="3" t="s">
        <v>1263</v>
      </c>
      <c r="R13" s="3" t="s">
        <v>1264</v>
      </c>
      <c r="S13" s="3" t="s">
        <v>1265</v>
      </c>
      <c r="T13" s="3" t="s">
        <v>1266</v>
      </c>
      <c r="U13" s="3" t="s">
        <v>1939</v>
      </c>
      <c r="V13" s="3" t="s">
        <v>1442</v>
      </c>
      <c r="W13" s="3" t="s">
        <v>1940</v>
      </c>
      <c r="X13" s="26">
        <v>4</v>
      </c>
      <c r="Y13" s="3" t="s">
        <v>1941</v>
      </c>
      <c r="Z13" s="3" t="s">
        <v>66</v>
      </c>
      <c r="AA13" s="5" t="s">
        <v>2005</v>
      </c>
      <c r="AB13" s="5" t="s">
        <v>2006</v>
      </c>
      <c r="AC13" s="3" t="s">
        <v>1944</v>
      </c>
      <c r="AD13" s="3" t="s">
        <v>1274</v>
      </c>
      <c r="AE13" s="3" t="s">
        <v>1275</v>
      </c>
    </row>
    <row r="14" spans="1:31" ht="70">
      <c r="A14" s="3" t="s">
        <v>2007</v>
      </c>
      <c r="B14" s="3" t="s">
        <v>559</v>
      </c>
      <c r="C14" s="3" t="s">
        <v>2008</v>
      </c>
      <c r="D14" s="3" t="s">
        <v>1933</v>
      </c>
      <c r="E14" s="3" t="s">
        <v>2009</v>
      </c>
      <c r="F14" s="3" t="s">
        <v>1935</v>
      </c>
      <c r="G14" s="15">
        <v>23.814388000000001</v>
      </c>
      <c r="H14" s="15">
        <v>120.61744</v>
      </c>
      <c r="I14" s="3">
        <v>5</v>
      </c>
      <c r="J14" s="3" t="s">
        <v>1257</v>
      </c>
      <c r="K14" s="3" t="s">
        <v>2010</v>
      </c>
      <c r="L14" s="3" t="s">
        <v>2011</v>
      </c>
      <c r="M14" s="3" t="s">
        <v>1938</v>
      </c>
      <c r="N14" s="3">
        <v>300</v>
      </c>
      <c r="O14" s="3" t="s">
        <v>1261</v>
      </c>
      <c r="P14" s="3" t="s">
        <v>1459</v>
      </c>
      <c r="Q14" s="3" t="s">
        <v>1263</v>
      </c>
      <c r="R14" s="3" t="s">
        <v>1264</v>
      </c>
      <c r="S14" s="3" t="s">
        <v>1265</v>
      </c>
      <c r="T14" s="3" t="s">
        <v>1266</v>
      </c>
      <c r="U14" s="3" t="s">
        <v>1939</v>
      </c>
      <c r="V14" s="3" t="s">
        <v>1442</v>
      </c>
      <c r="W14" s="3" t="s">
        <v>1940</v>
      </c>
      <c r="X14" s="26">
        <v>4</v>
      </c>
      <c r="Y14" s="3" t="s">
        <v>1941</v>
      </c>
      <c r="Z14" s="3" t="s">
        <v>29</v>
      </c>
      <c r="AA14" s="5" t="s">
        <v>2012</v>
      </c>
      <c r="AB14" s="5" t="s">
        <v>2013</v>
      </c>
      <c r="AC14" s="3" t="s">
        <v>1944</v>
      </c>
      <c r="AD14" s="3" t="s">
        <v>1274</v>
      </c>
      <c r="AE14" s="3" t="s">
        <v>1275</v>
      </c>
    </row>
    <row r="15" spans="1:31" ht="70">
      <c r="A15" s="3" t="s">
        <v>2014</v>
      </c>
      <c r="B15" s="3" t="s">
        <v>603</v>
      </c>
      <c r="C15" s="3" t="s">
        <v>2015</v>
      </c>
      <c r="D15" s="3" t="s">
        <v>1933</v>
      </c>
      <c r="E15" s="3" t="s">
        <v>2016</v>
      </c>
      <c r="F15" s="3" t="s">
        <v>1935</v>
      </c>
      <c r="G15" s="15">
        <v>23.852933</v>
      </c>
      <c r="H15" s="15">
        <v>120.90173</v>
      </c>
      <c r="I15" s="3">
        <v>5</v>
      </c>
      <c r="J15" s="3" t="s">
        <v>1257</v>
      </c>
      <c r="K15" s="3" t="s">
        <v>2017</v>
      </c>
      <c r="L15" s="3" t="s">
        <v>2018</v>
      </c>
      <c r="M15" s="3" t="s">
        <v>1938</v>
      </c>
      <c r="N15" s="3">
        <v>300</v>
      </c>
      <c r="O15" s="3" t="s">
        <v>1261</v>
      </c>
      <c r="P15" s="3" t="s">
        <v>1459</v>
      </c>
      <c r="Q15" s="3" t="s">
        <v>1263</v>
      </c>
      <c r="R15" s="3" t="s">
        <v>1264</v>
      </c>
      <c r="S15" s="3" t="s">
        <v>1265</v>
      </c>
      <c r="T15" s="3" t="s">
        <v>1266</v>
      </c>
      <c r="U15" s="3" t="s">
        <v>1939</v>
      </c>
      <c r="V15" s="3" t="s">
        <v>1442</v>
      </c>
      <c r="W15" s="3" t="s">
        <v>1940</v>
      </c>
      <c r="X15" s="26">
        <v>4</v>
      </c>
      <c r="Y15" s="3" t="s">
        <v>1941</v>
      </c>
      <c r="Z15" s="3" t="s">
        <v>29</v>
      </c>
      <c r="AA15" s="5" t="s">
        <v>2019</v>
      </c>
      <c r="AB15" s="5" t="s">
        <v>2020</v>
      </c>
      <c r="AC15" s="3" t="s">
        <v>1944</v>
      </c>
      <c r="AD15" s="3" t="s">
        <v>1274</v>
      </c>
      <c r="AE15" s="3" t="s">
        <v>1275</v>
      </c>
    </row>
    <row r="16" spans="1:31" ht="70">
      <c r="A16" s="3" t="s">
        <v>2021</v>
      </c>
      <c r="B16" s="3" t="s">
        <v>603</v>
      </c>
      <c r="C16" s="3" t="s">
        <v>2015</v>
      </c>
      <c r="D16" s="3" t="s">
        <v>1933</v>
      </c>
      <c r="E16" s="3" t="s">
        <v>2022</v>
      </c>
      <c r="F16" s="3" t="s">
        <v>1935</v>
      </c>
      <c r="G16" s="15">
        <v>23.862238999999999</v>
      </c>
      <c r="H16" s="15">
        <v>120.90869000000001</v>
      </c>
      <c r="I16" s="3">
        <v>5</v>
      </c>
      <c r="J16" s="3" t="s">
        <v>1257</v>
      </c>
      <c r="K16" s="3" t="s">
        <v>2023</v>
      </c>
      <c r="L16" s="3" t="s">
        <v>2024</v>
      </c>
      <c r="M16" s="3" t="s">
        <v>1938</v>
      </c>
      <c r="N16" s="3">
        <v>300</v>
      </c>
      <c r="O16" s="3" t="s">
        <v>1261</v>
      </c>
      <c r="P16" s="3" t="s">
        <v>1459</v>
      </c>
      <c r="Q16" s="3" t="s">
        <v>1263</v>
      </c>
      <c r="R16" s="3" t="s">
        <v>1264</v>
      </c>
      <c r="S16" s="3" t="s">
        <v>1265</v>
      </c>
      <c r="T16" s="3" t="s">
        <v>1266</v>
      </c>
      <c r="U16" s="3" t="s">
        <v>1939</v>
      </c>
      <c r="V16" s="3" t="s">
        <v>1442</v>
      </c>
      <c r="W16" s="3" t="s">
        <v>1940</v>
      </c>
      <c r="X16" s="26">
        <v>4</v>
      </c>
      <c r="Y16" s="3" t="s">
        <v>1941</v>
      </c>
      <c r="Z16" s="3" t="s">
        <v>29</v>
      </c>
      <c r="AA16" s="5" t="s">
        <v>2025</v>
      </c>
      <c r="AB16" s="5" t="s">
        <v>2026</v>
      </c>
      <c r="AC16" s="3" t="s">
        <v>1944</v>
      </c>
      <c r="AD16" s="3" t="s">
        <v>1274</v>
      </c>
      <c r="AE16" s="3" t="s">
        <v>1275</v>
      </c>
    </row>
    <row r="17" spans="1:31" ht="70">
      <c r="A17" s="3" t="s">
        <v>2027</v>
      </c>
      <c r="B17" s="3" t="s">
        <v>643</v>
      </c>
      <c r="C17" s="3" t="s">
        <v>676</v>
      </c>
      <c r="D17" s="3" t="s">
        <v>1933</v>
      </c>
      <c r="E17" s="3" t="s">
        <v>2028</v>
      </c>
      <c r="F17" s="3" t="s">
        <v>1935</v>
      </c>
      <c r="G17" s="15">
        <v>23.659291</v>
      </c>
      <c r="H17" s="15">
        <v>120.54098</v>
      </c>
      <c r="I17" s="3">
        <v>5</v>
      </c>
      <c r="J17" s="3" t="s">
        <v>1257</v>
      </c>
      <c r="K17" s="3" t="s">
        <v>2029</v>
      </c>
      <c r="L17" s="3" t="s">
        <v>2030</v>
      </c>
      <c r="M17" s="3" t="s">
        <v>1938</v>
      </c>
      <c r="N17" s="3">
        <v>300</v>
      </c>
      <c r="O17" s="3" t="s">
        <v>1261</v>
      </c>
      <c r="P17" s="3" t="s">
        <v>1459</v>
      </c>
      <c r="Q17" s="3" t="s">
        <v>1263</v>
      </c>
      <c r="R17" s="3" t="s">
        <v>1264</v>
      </c>
      <c r="S17" s="3" t="s">
        <v>1265</v>
      </c>
      <c r="T17" s="3" t="s">
        <v>1266</v>
      </c>
      <c r="U17" s="3" t="s">
        <v>1939</v>
      </c>
      <c r="V17" s="3" t="s">
        <v>1442</v>
      </c>
      <c r="W17" s="3" t="s">
        <v>1940</v>
      </c>
      <c r="X17" s="26">
        <v>4</v>
      </c>
      <c r="Y17" s="3" t="s">
        <v>1941</v>
      </c>
      <c r="Z17" s="3" t="s">
        <v>29</v>
      </c>
      <c r="AA17" s="5" t="s">
        <v>2031</v>
      </c>
      <c r="AB17" s="5" t="s">
        <v>2032</v>
      </c>
      <c r="AC17" s="3" t="s">
        <v>1944</v>
      </c>
      <c r="AD17" s="3" t="s">
        <v>1274</v>
      </c>
      <c r="AE17" s="3" t="s">
        <v>2033</v>
      </c>
    </row>
    <row r="18" spans="1:31" ht="70">
      <c r="A18" s="3" t="s">
        <v>2034</v>
      </c>
      <c r="B18" s="3" t="s">
        <v>750</v>
      </c>
      <c r="C18" s="3" t="s">
        <v>2035</v>
      </c>
      <c r="D18" s="3" t="s">
        <v>1933</v>
      </c>
      <c r="E18" s="3" t="s">
        <v>2036</v>
      </c>
      <c r="F18" s="3" t="s">
        <v>1935</v>
      </c>
      <c r="G18" s="15">
        <v>23.378122999999999</v>
      </c>
      <c r="H18" s="15">
        <v>120.40994000000001</v>
      </c>
      <c r="I18" s="3">
        <v>5</v>
      </c>
      <c r="J18" s="3" t="s">
        <v>1257</v>
      </c>
      <c r="K18" s="3" t="s">
        <v>2037</v>
      </c>
      <c r="L18" s="3" t="s">
        <v>2038</v>
      </c>
      <c r="M18" s="3" t="s">
        <v>1938</v>
      </c>
      <c r="N18" s="3">
        <v>300</v>
      </c>
      <c r="O18" s="3" t="s">
        <v>1261</v>
      </c>
      <c r="P18" s="3" t="s">
        <v>1459</v>
      </c>
      <c r="Q18" s="3" t="s">
        <v>1263</v>
      </c>
      <c r="R18" s="3" t="s">
        <v>1264</v>
      </c>
      <c r="S18" s="3" t="s">
        <v>1265</v>
      </c>
      <c r="T18" s="3" t="s">
        <v>1266</v>
      </c>
      <c r="U18" s="3" t="s">
        <v>1939</v>
      </c>
      <c r="V18" s="3" t="s">
        <v>1442</v>
      </c>
      <c r="W18" s="3" t="s">
        <v>1940</v>
      </c>
      <c r="X18" s="26">
        <v>4</v>
      </c>
      <c r="Y18" s="3" t="s">
        <v>1941</v>
      </c>
      <c r="Z18" s="3" t="s">
        <v>29</v>
      </c>
      <c r="AA18" s="5" t="s">
        <v>2039</v>
      </c>
      <c r="AB18" s="5" t="s">
        <v>2040</v>
      </c>
      <c r="AC18" s="3" t="s">
        <v>1944</v>
      </c>
      <c r="AD18" s="3" t="s">
        <v>1274</v>
      </c>
      <c r="AE18" s="3" t="s">
        <v>1275</v>
      </c>
    </row>
    <row r="19" spans="1:31" ht="70">
      <c r="A19" s="3" t="s">
        <v>2041</v>
      </c>
      <c r="B19" s="3" t="s">
        <v>750</v>
      </c>
      <c r="C19" s="3" t="s">
        <v>1869</v>
      </c>
      <c r="D19" s="3" t="s">
        <v>1933</v>
      </c>
      <c r="E19" s="3" t="s">
        <v>2042</v>
      </c>
      <c r="F19" s="3" t="s">
        <v>1935</v>
      </c>
      <c r="G19" s="15">
        <v>23.002870000000001</v>
      </c>
      <c r="H19" s="15">
        <v>120.13625999999999</v>
      </c>
      <c r="I19" s="3">
        <v>4</v>
      </c>
      <c r="J19" s="3" t="s">
        <v>1305</v>
      </c>
      <c r="K19" s="3" t="s">
        <v>2043</v>
      </c>
      <c r="L19" s="3" t="s">
        <v>2044</v>
      </c>
      <c r="M19" s="3" t="s">
        <v>1938</v>
      </c>
      <c r="N19" s="3">
        <v>300</v>
      </c>
      <c r="O19" s="3" t="s">
        <v>1261</v>
      </c>
      <c r="P19" s="3" t="s">
        <v>1459</v>
      </c>
      <c r="Q19" s="3" t="s">
        <v>1263</v>
      </c>
      <c r="R19" s="3" t="s">
        <v>1264</v>
      </c>
      <c r="S19" s="3" t="s">
        <v>1265</v>
      </c>
      <c r="T19" s="3" t="s">
        <v>1266</v>
      </c>
      <c r="U19" s="3" t="s">
        <v>1939</v>
      </c>
      <c r="V19" s="3" t="s">
        <v>1442</v>
      </c>
      <c r="W19" s="3" t="s">
        <v>1940</v>
      </c>
      <c r="X19" s="26">
        <v>4</v>
      </c>
      <c r="Y19" s="3" t="s">
        <v>1941</v>
      </c>
      <c r="Z19" s="3" t="s">
        <v>66</v>
      </c>
      <c r="AA19" s="5" t="s">
        <v>2045</v>
      </c>
      <c r="AB19" s="5" t="s">
        <v>2046</v>
      </c>
      <c r="AC19" s="3" t="s">
        <v>1944</v>
      </c>
      <c r="AD19" s="3" t="s">
        <v>1274</v>
      </c>
      <c r="AE19" s="3" t="s">
        <v>1275</v>
      </c>
    </row>
    <row r="20" spans="1:31" ht="56">
      <c r="A20" s="3" t="s">
        <v>2047</v>
      </c>
      <c r="B20" s="3" t="s">
        <v>819</v>
      </c>
      <c r="C20" s="3" t="s">
        <v>866</v>
      </c>
      <c r="D20" s="3" t="s">
        <v>1933</v>
      </c>
      <c r="E20" s="3" t="s">
        <v>2048</v>
      </c>
      <c r="F20" s="3" t="s">
        <v>1935</v>
      </c>
      <c r="G20" s="15">
        <v>22.652683</v>
      </c>
      <c r="H20" s="15">
        <v>120.30316000000001</v>
      </c>
      <c r="I20" s="3">
        <v>5</v>
      </c>
      <c r="J20" s="3" t="s">
        <v>1257</v>
      </c>
      <c r="K20" s="3" t="s">
        <v>2049</v>
      </c>
      <c r="L20" s="3" t="s">
        <v>2050</v>
      </c>
      <c r="M20" s="3" t="s">
        <v>1938</v>
      </c>
      <c r="N20" s="3">
        <v>300</v>
      </c>
      <c r="O20" s="3" t="s">
        <v>1261</v>
      </c>
      <c r="P20" s="3" t="s">
        <v>1459</v>
      </c>
      <c r="Q20" s="3" t="s">
        <v>1263</v>
      </c>
      <c r="R20" s="3" t="s">
        <v>1264</v>
      </c>
      <c r="S20" s="3" t="s">
        <v>1265</v>
      </c>
      <c r="T20" s="3" t="s">
        <v>1266</v>
      </c>
      <c r="U20" s="3" t="s">
        <v>1939</v>
      </c>
      <c r="V20" s="3" t="s">
        <v>1442</v>
      </c>
      <c r="W20" s="3" t="s">
        <v>1940</v>
      </c>
      <c r="X20" s="26">
        <v>4</v>
      </c>
      <c r="Y20" s="3" t="s">
        <v>1941</v>
      </c>
      <c r="Z20" s="3" t="s">
        <v>29</v>
      </c>
      <c r="AA20" s="5" t="s">
        <v>2051</v>
      </c>
      <c r="AB20" s="5" t="s">
        <v>2052</v>
      </c>
      <c r="AC20" s="3" t="s">
        <v>1944</v>
      </c>
      <c r="AD20" s="3" t="s">
        <v>1274</v>
      </c>
      <c r="AE20" s="3" t="s">
        <v>1275</v>
      </c>
    </row>
    <row r="21" spans="1:31" ht="70">
      <c r="A21" s="3" t="s">
        <v>2053</v>
      </c>
      <c r="B21" s="3" t="s">
        <v>819</v>
      </c>
      <c r="C21" s="3" t="s">
        <v>848</v>
      </c>
      <c r="D21" s="3" t="s">
        <v>1933</v>
      </c>
      <c r="E21" s="3" t="s">
        <v>871</v>
      </c>
      <c r="F21" s="3" t="s">
        <v>1935</v>
      </c>
      <c r="G21" s="15">
        <v>22.680554000000001</v>
      </c>
      <c r="H21" s="15">
        <v>120.29821</v>
      </c>
      <c r="I21" s="3">
        <v>4</v>
      </c>
      <c r="J21" s="3" t="s">
        <v>1305</v>
      </c>
      <c r="K21" s="3" t="s">
        <v>2054</v>
      </c>
      <c r="L21" s="3" t="s">
        <v>2055</v>
      </c>
      <c r="M21" s="3" t="s">
        <v>1938</v>
      </c>
      <c r="N21" s="3">
        <v>300</v>
      </c>
      <c r="O21" s="3" t="s">
        <v>1261</v>
      </c>
      <c r="P21" s="3" t="s">
        <v>1459</v>
      </c>
      <c r="Q21" s="3" t="s">
        <v>1263</v>
      </c>
      <c r="R21" s="3" t="s">
        <v>1264</v>
      </c>
      <c r="S21" s="3" t="s">
        <v>1265</v>
      </c>
      <c r="T21" s="3" t="s">
        <v>1266</v>
      </c>
      <c r="U21" s="3" t="s">
        <v>1939</v>
      </c>
      <c r="V21" s="3" t="s">
        <v>1442</v>
      </c>
      <c r="W21" s="3" t="s">
        <v>1940</v>
      </c>
      <c r="X21" s="26">
        <v>4</v>
      </c>
      <c r="Y21" s="3" t="s">
        <v>1941</v>
      </c>
      <c r="Z21" s="3" t="s">
        <v>66</v>
      </c>
      <c r="AA21" s="5" t="s">
        <v>872</v>
      </c>
      <c r="AB21" s="5" t="s">
        <v>2056</v>
      </c>
      <c r="AC21" s="3" t="s">
        <v>1944</v>
      </c>
      <c r="AD21" s="3" t="s">
        <v>1274</v>
      </c>
      <c r="AE21" s="3" t="s">
        <v>1764</v>
      </c>
    </row>
    <row r="22" spans="1:31" ht="70">
      <c r="A22" s="3" t="s">
        <v>2057</v>
      </c>
      <c r="B22" s="3" t="s">
        <v>914</v>
      </c>
      <c r="C22" s="3" t="s">
        <v>2058</v>
      </c>
      <c r="D22" s="3" t="s">
        <v>1933</v>
      </c>
      <c r="E22" s="3" t="s">
        <v>2059</v>
      </c>
      <c r="F22" s="3" t="s">
        <v>1935</v>
      </c>
      <c r="G22" s="15">
        <v>22.43207</v>
      </c>
      <c r="H22" s="15">
        <v>120.49007</v>
      </c>
      <c r="I22" s="3">
        <v>4</v>
      </c>
      <c r="J22" s="3" t="s">
        <v>1305</v>
      </c>
      <c r="K22" s="3" t="s">
        <v>2060</v>
      </c>
      <c r="L22" s="3" t="s">
        <v>2061</v>
      </c>
      <c r="M22" s="3" t="s">
        <v>1938</v>
      </c>
      <c r="N22" s="3">
        <v>300</v>
      </c>
      <c r="O22" s="3" t="s">
        <v>1261</v>
      </c>
      <c r="P22" s="3" t="s">
        <v>1459</v>
      </c>
      <c r="Q22" s="3" t="s">
        <v>1263</v>
      </c>
      <c r="R22" s="3" t="s">
        <v>1264</v>
      </c>
      <c r="S22" s="3" t="s">
        <v>1265</v>
      </c>
      <c r="T22" s="3" t="s">
        <v>1266</v>
      </c>
      <c r="U22" s="3" t="s">
        <v>1939</v>
      </c>
      <c r="V22" s="3" t="s">
        <v>1442</v>
      </c>
      <c r="W22" s="3" t="s">
        <v>1940</v>
      </c>
      <c r="X22" s="26">
        <v>4</v>
      </c>
      <c r="Y22" s="3" t="s">
        <v>1941</v>
      </c>
      <c r="Z22" s="3" t="s">
        <v>66</v>
      </c>
      <c r="AA22" s="5" t="s">
        <v>2062</v>
      </c>
      <c r="AB22" s="5" t="s">
        <v>2063</v>
      </c>
      <c r="AC22" s="3" t="s">
        <v>1944</v>
      </c>
      <c r="AD22" s="3" t="s">
        <v>1274</v>
      </c>
      <c r="AE22" s="3" t="s">
        <v>1275</v>
      </c>
    </row>
    <row r="23" spans="1:31" ht="70">
      <c r="A23" s="3" t="s">
        <v>2064</v>
      </c>
      <c r="B23" s="3" t="s">
        <v>958</v>
      </c>
      <c r="C23" s="3" t="s">
        <v>2065</v>
      </c>
      <c r="D23" s="3" t="s">
        <v>1933</v>
      </c>
      <c r="E23" s="3" t="s">
        <v>986</v>
      </c>
      <c r="F23" s="3" t="s">
        <v>1935</v>
      </c>
      <c r="G23" s="15">
        <v>24.672993000000002</v>
      </c>
      <c r="H23" s="15">
        <v>121.81581</v>
      </c>
      <c r="I23" s="3">
        <v>5</v>
      </c>
      <c r="J23" s="3" t="s">
        <v>1257</v>
      </c>
      <c r="K23" s="3" t="s">
        <v>2066</v>
      </c>
      <c r="L23" s="3" t="s">
        <v>2067</v>
      </c>
      <c r="M23" s="3" t="s">
        <v>1938</v>
      </c>
      <c r="N23" s="3">
        <v>300</v>
      </c>
      <c r="O23" s="3" t="s">
        <v>1261</v>
      </c>
      <c r="P23" s="3" t="s">
        <v>1459</v>
      </c>
      <c r="Q23" s="3" t="s">
        <v>1263</v>
      </c>
      <c r="R23" s="3" t="s">
        <v>1264</v>
      </c>
      <c r="S23" s="3" t="s">
        <v>1265</v>
      </c>
      <c r="T23" s="3" t="s">
        <v>1266</v>
      </c>
      <c r="U23" s="3" t="s">
        <v>1939</v>
      </c>
      <c r="V23" s="3" t="s">
        <v>1442</v>
      </c>
      <c r="W23" s="3" t="s">
        <v>1940</v>
      </c>
      <c r="X23" s="26">
        <v>4</v>
      </c>
      <c r="Y23" s="3" t="s">
        <v>1941</v>
      </c>
      <c r="Z23" s="3" t="s">
        <v>29</v>
      </c>
      <c r="AA23" s="5" t="s">
        <v>2068</v>
      </c>
      <c r="AB23" s="5" t="s">
        <v>2069</v>
      </c>
      <c r="AC23" s="3" t="s">
        <v>1944</v>
      </c>
      <c r="AD23" s="3" t="s">
        <v>1274</v>
      </c>
      <c r="AE23" s="3" t="s">
        <v>1764</v>
      </c>
    </row>
    <row r="24" spans="1:31" ht="70">
      <c r="A24" s="3" t="s">
        <v>2070</v>
      </c>
      <c r="B24" s="3" t="s">
        <v>1008</v>
      </c>
      <c r="C24" s="3" t="s">
        <v>1028</v>
      </c>
      <c r="D24" s="3" t="s">
        <v>1933</v>
      </c>
      <c r="E24" s="3" t="s">
        <v>2071</v>
      </c>
      <c r="F24" s="3" t="s">
        <v>1935</v>
      </c>
      <c r="G24" s="15">
        <v>24.031426</v>
      </c>
      <c r="H24" s="15">
        <v>121.62717000000001</v>
      </c>
      <c r="I24" s="3">
        <v>5</v>
      </c>
      <c r="J24" s="3" t="s">
        <v>1257</v>
      </c>
      <c r="K24" s="3" t="s">
        <v>2072</v>
      </c>
      <c r="L24" s="3" t="s">
        <v>2073</v>
      </c>
      <c r="M24" s="3" t="s">
        <v>1938</v>
      </c>
      <c r="N24" s="3">
        <v>300</v>
      </c>
      <c r="O24" s="3" t="s">
        <v>1261</v>
      </c>
      <c r="P24" s="3" t="s">
        <v>1459</v>
      </c>
      <c r="Q24" s="3" t="s">
        <v>1263</v>
      </c>
      <c r="R24" s="3" t="s">
        <v>1264</v>
      </c>
      <c r="S24" s="3" t="s">
        <v>1265</v>
      </c>
      <c r="T24" s="3" t="s">
        <v>1266</v>
      </c>
      <c r="U24" s="3" t="s">
        <v>1939</v>
      </c>
      <c r="V24" s="3" t="s">
        <v>1442</v>
      </c>
      <c r="W24" s="3" t="s">
        <v>1940</v>
      </c>
      <c r="X24" s="26">
        <v>4</v>
      </c>
      <c r="Y24" s="3" t="s">
        <v>1941</v>
      </c>
      <c r="Z24" s="3" t="s">
        <v>29</v>
      </c>
      <c r="AA24" s="5" t="s">
        <v>2074</v>
      </c>
      <c r="AB24" s="5" t="s">
        <v>1031</v>
      </c>
      <c r="AC24" s="3" t="s">
        <v>1944</v>
      </c>
      <c r="AD24" s="3" t="s">
        <v>1274</v>
      </c>
      <c r="AE24" s="3" t="s">
        <v>2075</v>
      </c>
    </row>
    <row r="25" spans="1:31" ht="56">
      <c r="A25" s="3" t="s">
        <v>2076</v>
      </c>
      <c r="B25" s="3" t="s">
        <v>1048</v>
      </c>
      <c r="C25" s="3" t="s">
        <v>2077</v>
      </c>
      <c r="D25" s="3" t="s">
        <v>1933</v>
      </c>
      <c r="E25" s="3" t="s">
        <v>2078</v>
      </c>
      <c r="F25" s="3" t="s">
        <v>1935</v>
      </c>
      <c r="G25" s="15">
        <v>23.330549999999999</v>
      </c>
      <c r="H25" s="15">
        <v>121.45135999999999</v>
      </c>
      <c r="I25" s="3">
        <v>4</v>
      </c>
      <c r="J25" s="3" t="s">
        <v>1305</v>
      </c>
      <c r="K25" s="3" t="s">
        <v>2079</v>
      </c>
      <c r="L25" s="3" t="s">
        <v>2080</v>
      </c>
      <c r="M25" s="3" t="s">
        <v>1938</v>
      </c>
      <c r="N25" s="3">
        <v>300</v>
      </c>
      <c r="O25" s="3" t="s">
        <v>1261</v>
      </c>
      <c r="P25" s="3" t="s">
        <v>1459</v>
      </c>
      <c r="Q25" s="3" t="s">
        <v>1263</v>
      </c>
      <c r="R25" s="3" t="s">
        <v>1264</v>
      </c>
      <c r="S25" s="3" t="s">
        <v>1265</v>
      </c>
      <c r="T25" s="3" t="s">
        <v>1266</v>
      </c>
      <c r="U25" s="3" t="s">
        <v>1939</v>
      </c>
      <c r="V25" s="3" t="s">
        <v>1442</v>
      </c>
      <c r="W25" s="3" t="s">
        <v>1940</v>
      </c>
      <c r="X25" s="26">
        <v>4</v>
      </c>
      <c r="Y25" s="3" t="s">
        <v>1941</v>
      </c>
      <c r="Z25" s="3" t="s">
        <v>66</v>
      </c>
      <c r="AA25" s="5" t="s">
        <v>2081</v>
      </c>
      <c r="AB25" s="5" t="s">
        <v>2082</v>
      </c>
      <c r="AC25" s="3" t="s">
        <v>1944</v>
      </c>
      <c r="AD25" s="3" t="s">
        <v>1274</v>
      </c>
      <c r="AE25" s="3" t="s">
        <v>1275</v>
      </c>
    </row>
    <row r="26" spans="1:31" ht="70">
      <c r="A26" s="3" t="s">
        <v>2083</v>
      </c>
      <c r="B26" s="3" t="s">
        <v>1048</v>
      </c>
      <c r="C26" s="3" t="s">
        <v>1067</v>
      </c>
      <c r="D26" s="3" t="s">
        <v>1933</v>
      </c>
      <c r="E26" s="3" t="s">
        <v>1068</v>
      </c>
      <c r="F26" s="3" t="s">
        <v>1935</v>
      </c>
      <c r="G26" s="15">
        <v>23.04</v>
      </c>
      <c r="H26" s="15">
        <v>121.17388</v>
      </c>
      <c r="I26" s="3">
        <v>5</v>
      </c>
      <c r="J26" s="3" t="s">
        <v>1257</v>
      </c>
      <c r="K26" s="3" t="s">
        <v>2084</v>
      </c>
      <c r="L26" s="3" t="s">
        <v>2085</v>
      </c>
      <c r="M26" s="3" t="s">
        <v>1938</v>
      </c>
      <c r="N26" s="3">
        <v>300</v>
      </c>
      <c r="O26" s="3" t="s">
        <v>1261</v>
      </c>
      <c r="P26" s="3" t="s">
        <v>1459</v>
      </c>
      <c r="Q26" s="3" t="s">
        <v>1263</v>
      </c>
      <c r="R26" s="3" t="s">
        <v>1264</v>
      </c>
      <c r="S26" s="3" t="s">
        <v>1265</v>
      </c>
      <c r="T26" s="3" t="s">
        <v>1266</v>
      </c>
      <c r="U26" s="3" t="s">
        <v>1939</v>
      </c>
      <c r="V26" s="3" t="s">
        <v>1442</v>
      </c>
      <c r="W26" s="3" t="s">
        <v>1940</v>
      </c>
      <c r="X26" s="26">
        <v>4</v>
      </c>
      <c r="Y26" s="3" t="s">
        <v>1941</v>
      </c>
      <c r="Z26" s="3" t="s">
        <v>29</v>
      </c>
      <c r="AA26" s="5" t="s">
        <v>1069</v>
      </c>
      <c r="AB26" s="5" t="s">
        <v>1070</v>
      </c>
      <c r="AC26" s="3" t="s">
        <v>1944</v>
      </c>
      <c r="AD26" s="3" t="s">
        <v>1274</v>
      </c>
      <c r="AE26" s="3" t="s">
        <v>1764</v>
      </c>
    </row>
    <row r="27" spans="1:31" ht="56">
      <c r="A27" s="3" t="s">
        <v>2086</v>
      </c>
      <c r="B27" s="3" t="s">
        <v>1120</v>
      </c>
      <c r="C27" s="3" t="s">
        <v>1127</v>
      </c>
      <c r="D27" s="3" t="s">
        <v>1933</v>
      </c>
      <c r="E27" s="3" t="s">
        <v>2087</v>
      </c>
      <c r="F27" s="3" t="s">
        <v>1935</v>
      </c>
      <c r="G27" s="15">
        <v>24.463408000000001</v>
      </c>
      <c r="H27" s="15">
        <v>118.30054</v>
      </c>
      <c r="I27" s="3">
        <v>4</v>
      </c>
      <c r="J27" s="3" t="s">
        <v>1305</v>
      </c>
      <c r="K27" s="3" t="s">
        <v>2088</v>
      </c>
      <c r="L27" s="3" t="s">
        <v>2089</v>
      </c>
      <c r="M27" s="3" t="s">
        <v>1938</v>
      </c>
      <c r="N27" s="3">
        <v>300</v>
      </c>
      <c r="O27" s="3" t="s">
        <v>1261</v>
      </c>
      <c r="P27" s="3" t="s">
        <v>1459</v>
      </c>
      <c r="Q27" s="3" t="s">
        <v>1263</v>
      </c>
      <c r="R27" s="3" t="s">
        <v>1264</v>
      </c>
      <c r="S27" s="3" t="s">
        <v>1265</v>
      </c>
      <c r="T27" s="3" t="s">
        <v>1266</v>
      </c>
      <c r="U27" s="3" t="s">
        <v>1939</v>
      </c>
      <c r="V27" s="3" t="s">
        <v>1442</v>
      </c>
      <c r="W27" s="3" t="s">
        <v>1940</v>
      </c>
      <c r="X27" s="26">
        <v>4</v>
      </c>
      <c r="Y27" s="3" t="s">
        <v>1941</v>
      </c>
      <c r="Z27" s="3" t="s">
        <v>66</v>
      </c>
      <c r="AA27" s="5" t="s">
        <v>2090</v>
      </c>
      <c r="AB27" s="5" t="s">
        <v>2091</v>
      </c>
      <c r="AC27" s="3" t="s">
        <v>1944</v>
      </c>
      <c r="AD27" s="3" t="s">
        <v>1274</v>
      </c>
      <c r="AE27" s="3" t="s">
        <v>1275</v>
      </c>
    </row>
  </sheetData>
  <mergeCells count="1">
    <mergeCell ref="A1:AE1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27"/>
  <sheetViews>
    <sheetView workbookViewId="0"/>
  </sheetViews>
  <sheetFormatPr defaultRowHeight="14"/>
  <cols>
    <col min="1" max="1" width="19" customWidth="1"/>
    <col min="2" max="2" width="10" customWidth="1"/>
    <col min="3" max="3" width="11" customWidth="1"/>
    <col min="4" max="4" width="19" customWidth="1"/>
    <col min="5" max="5" width="31" customWidth="1"/>
    <col min="6" max="6" width="30" customWidth="1"/>
    <col min="7" max="8" width="16" customWidth="1"/>
    <col min="9" max="9" width="8" customWidth="1"/>
    <col min="10" max="10" width="12" customWidth="1"/>
    <col min="11" max="11" width="38" customWidth="1"/>
    <col min="12" max="12" width="48" customWidth="1"/>
    <col min="13" max="13" width="40" customWidth="1"/>
    <col min="14" max="14" width="15" customWidth="1"/>
    <col min="15" max="15" width="27" customWidth="1"/>
    <col min="16" max="16" width="48" customWidth="1"/>
    <col min="17" max="17" width="35" customWidth="1"/>
    <col min="18" max="18" width="34" customWidth="1"/>
    <col min="19" max="20" width="12" customWidth="1"/>
    <col min="21" max="21" width="25" customWidth="1"/>
    <col min="22" max="22" width="13" customWidth="1"/>
    <col min="23" max="23" width="16" customWidth="1"/>
    <col min="24" max="24" width="15" customWidth="1"/>
    <col min="25" max="25" width="42" customWidth="1"/>
    <col min="26" max="26" width="16" customWidth="1"/>
    <col min="27" max="27" width="48" customWidth="1"/>
    <col min="28" max="28" width="42" customWidth="1"/>
    <col min="29" max="29" width="28" customWidth="1"/>
    <col min="30" max="30" width="42" customWidth="1"/>
    <col min="31" max="31" width="38" customWidth="1"/>
  </cols>
  <sheetData>
    <row r="1" spans="1:31" ht="18">
      <c r="A1" s="44" t="s">
        <v>2255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3"/>
    </row>
    <row r="2" spans="1:31">
      <c r="A2" s="32" t="s">
        <v>1225</v>
      </c>
      <c r="B2" s="32" t="s">
        <v>2</v>
      </c>
      <c r="C2" s="32" t="s">
        <v>3</v>
      </c>
      <c r="D2" s="32" t="s">
        <v>5</v>
      </c>
      <c r="E2" s="32" t="s">
        <v>1226</v>
      </c>
      <c r="F2" s="32" t="s">
        <v>1227</v>
      </c>
      <c r="G2" s="32" t="s">
        <v>1228</v>
      </c>
      <c r="H2" s="32" t="s">
        <v>1229</v>
      </c>
      <c r="I2" s="32" t="s">
        <v>1230</v>
      </c>
      <c r="J2" s="32" t="s">
        <v>1231</v>
      </c>
      <c r="K2" s="32" t="s">
        <v>1232</v>
      </c>
      <c r="L2" s="32" t="s">
        <v>1233</v>
      </c>
      <c r="M2" s="32" t="s">
        <v>1234</v>
      </c>
      <c r="N2" s="32" t="s">
        <v>1235</v>
      </c>
      <c r="O2" s="32" t="s">
        <v>1236</v>
      </c>
      <c r="P2" s="32" t="s">
        <v>1237</v>
      </c>
      <c r="Q2" s="32" t="s">
        <v>1238</v>
      </c>
      <c r="R2" s="32" t="s">
        <v>1239</v>
      </c>
      <c r="S2" s="32" t="s">
        <v>1240</v>
      </c>
      <c r="T2" s="32" t="s">
        <v>1241</v>
      </c>
      <c r="U2" s="32" t="s">
        <v>1242</v>
      </c>
      <c r="V2" s="32" t="s">
        <v>1243</v>
      </c>
      <c r="W2" s="32" t="s">
        <v>1244</v>
      </c>
      <c r="X2" s="32" t="s">
        <v>1245</v>
      </c>
      <c r="Y2" s="32" t="s">
        <v>1246</v>
      </c>
      <c r="Z2" s="32" t="s">
        <v>7</v>
      </c>
      <c r="AA2" s="32" t="s">
        <v>1247</v>
      </c>
      <c r="AB2" s="32" t="s">
        <v>1248</v>
      </c>
      <c r="AC2" s="32" t="s">
        <v>1249</v>
      </c>
      <c r="AD2" s="32" t="s">
        <v>1250</v>
      </c>
      <c r="AE2" t="s">
        <v>1251</v>
      </c>
    </row>
    <row r="3" spans="1:31" ht="56">
      <c r="A3" s="3" t="s">
        <v>2092</v>
      </c>
      <c r="B3" s="3" t="s">
        <v>24</v>
      </c>
      <c r="C3" s="3" t="s">
        <v>58</v>
      </c>
      <c r="D3" s="3" t="s">
        <v>2093</v>
      </c>
      <c r="E3" s="3" t="s">
        <v>2094</v>
      </c>
      <c r="F3" s="3" t="s">
        <v>2095</v>
      </c>
      <c r="G3" s="15">
        <v>25.136524000000001</v>
      </c>
      <c r="H3" s="15">
        <v>121.50637</v>
      </c>
      <c r="I3" s="3">
        <v>5</v>
      </c>
      <c r="J3" s="3" t="s">
        <v>1257</v>
      </c>
      <c r="K3" s="3" t="s">
        <v>2096</v>
      </c>
      <c r="L3" s="3" t="s">
        <v>2097</v>
      </c>
      <c r="M3" s="3" t="s">
        <v>2098</v>
      </c>
      <c r="N3" s="3">
        <v>120</v>
      </c>
      <c r="O3" s="3" t="s">
        <v>1360</v>
      </c>
      <c r="P3" s="3" t="s">
        <v>1361</v>
      </c>
      <c r="Q3" s="3" t="s">
        <v>1263</v>
      </c>
      <c r="R3" s="3" t="s">
        <v>1264</v>
      </c>
      <c r="S3" s="3" t="s">
        <v>1265</v>
      </c>
      <c r="T3" s="3" t="s">
        <v>1266</v>
      </c>
      <c r="U3" s="3" t="s">
        <v>2099</v>
      </c>
      <c r="V3" s="3" t="s">
        <v>1268</v>
      </c>
      <c r="W3" s="3" t="s">
        <v>2100</v>
      </c>
      <c r="X3" s="26">
        <v>1.5</v>
      </c>
      <c r="Y3" s="3" t="s">
        <v>2101</v>
      </c>
      <c r="Z3" s="3" t="s">
        <v>29</v>
      </c>
      <c r="AA3" s="5" t="s">
        <v>2102</v>
      </c>
      <c r="AB3" s="5" t="s">
        <v>2103</v>
      </c>
      <c r="AC3" s="3" t="s">
        <v>2104</v>
      </c>
      <c r="AD3" s="3" t="s">
        <v>1274</v>
      </c>
      <c r="AE3" s="3" t="s">
        <v>1275</v>
      </c>
    </row>
    <row r="4" spans="1:31" ht="56">
      <c r="A4" s="3" t="s">
        <v>2105</v>
      </c>
      <c r="B4" s="3" t="s">
        <v>24</v>
      </c>
      <c r="C4" s="3" t="s">
        <v>44</v>
      </c>
      <c r="D4" s="3" t="s">
        <v>2093</v>
      </c>
      <c r="E4" s="3" t="s">
        <v>2106</v>
      </c>
      <c r="F4" s="3" t="s">
        <v>2095</v>
      </c>
      <c r="G4" s="15">
        <v>25.036756</v>
      </c>
      <c r="H4" s="15">
        <v>121.51904</v>
      </c>
      <c r="I4" s="3">
        <v>5</v>
      </c>
      <c r="J4" s="3" t="s">
        <v>1257</v>
      </c>
      <c r="K4" s="3" t="s">
        <v>2107</v>
      </c>
      <c r="L4" s="3" t="s">
        <v>2108</v>
      </c>
      <c r="M4" s="3" t="s">
        <v>2098</v>
      </c>
      <c r="N4" s="3">
        <v>120</v>
      </c>
      <c r="O4" s="3" t="s">
        <v>1360</v>
      </c>
      <c r="P4" s="3" t="s">
        <v>1361</v>
      </c>
      <c r="Q4" s="3" t="s">
        <v>1263</v>
      </c>
      <c r="R4" s="3" t="s">
        <v>1264</v>
      </c>
      <c r="S4" s="3" t="s">
        <v>1265</v>
      </c>
      <c r="T4" s="3" t="s">
        <v>1266</v>
      </c>
      <c r="U4" s="3" t="s">
        <v>2099</v>
      </c>
      <c r="V4" s="3" t="s">
        <v>1268</v>
      </c>
      <c r="W4" s="3" t="s">
        <v>2100</v>
      </c>
      <c r="X4" s="26">
        <v>1.5</v>
      </c>
      <c r="Y4" s="3" t="s">
        <v>2101</v>
      </c>
      <c r="Z4" s="3" t="s">
        <v>29</v>
      </c>
      <c r="AA4" s="5" t="s">
        <v>2109</v>
      </c>
      <c r="AB4" s="5" t="s">
        <v>2110</v>
      </c>
      <c r="AC4" s="3" t="s">
        <v>2104</v>
      </c>
      <c r="AD4" s="3" t="s">
        <v>1274</v>
      </c>
      <c r="AE4" s="3" t="s">
        <v>1275</v>
      </c>
    </row>
    <row r="5" spans="1:31" ht="56">
      <c r="A5" s="3" t="s">
        <v>2111</v>
      </c>
      <c r="B5" s="3" t="s">
        <v>24</v>
      </c>
      <c r="C5" s="3" t="s">
        <v>275</v>
      </c>
      <c r="D5" s="3" t="s">
        <v>2093</v>
      </c>
      <c r="E5" s="3" t="s">
        <v>2112</v>
      </c>
      <c r="F5" s="3" t="s">
        <v>2095</v>
      </c>
      <c r="G5" s="15">
        <v>25.033975999999999</v>
      </c>
      <c r="H5" s="15">
        <v>121.56453</v>
      </c>
      <c r="I5" s="3">
        <v>5</v>
      </c>
      <c r="J5" s="3" t="s">
        <v>1257</v>
      </c>
      <c r="K5" s="3" t="s">
        <v>2113</v>
      </c>
      <c r="L5" s="3" t="s">
        <v>2114</v>
      </c>
      <c r="M5" s="3" t="s">
        <v>2098</v>
      </c>
      <c r="N5" s="3">
        <v>120</v>
      </c>
      <c r="O5" s="3" t="s">
        <v>1360</v>
      </c>
      <c r="P5" s="3" t="s">
        <v>1361</v>
      </c>
      <c r="Q5" s="3" t="s">
        <v>1263</v>
      </c>
      <c r="R5" s="3" t="s">
        <v>1264</v>
      </c>
      <c r="S5" s="3" t="s">
        <v>1265</v>
      </c>
      <c r="T5" s="3" t="s">
        <v>1266</v>
      </c>
      <c r="U5" s="3" t="s">
        <v>2099</v>
      </c>
      <c r="V5" s="3" t="s">
        <v>1268</v>
      </c>
      <c r="W5" s="3" t="s">
        <v>2100</v>
      </c>
      <c r="X5" s="26">
        <v>1.5</v>
      </c>
      <c r="Y5" s="3" t="s">
        <v>2101</v>
      </c>
      <c r="Z5" s="3" t="s">
        <v>29</v>
      </c>
      <c r="AA5" s="5" t="s">
        <v>2115</v>
      </c>
      <c r="AB5" s="5" t="s">
        <v>2116</v>
      </c>
      <c r="AC5" s="3" t="s">
        <v>2104</v>
      </c>
      <c r="AD5" s="3" t="s">
        <v>1274</v>
      </c>
      <c r="AE5" s="3" t="s">
        <v>1275</v>
      </c>
    </row>
    <row r="6" spans="1:31" ht="56">
      <c r="A6" s="3" t="s">
        <v>2117</v>
      </c>
      <c r="B6" s="3" t="s">
        <v>24</v>
      </c>
      <c r="C6" s="3" t="s">
        <v>89</v>
      </c>
      <c r="D6" s="3" t="s">
        <v>2093</v>
      </c>
      <c r="E6" s="3" t="s">
        <v>2118</v>
      </c>
      <c r="F6" s="3" t="s">
        <v>2095</v>
      </c>
      <c r="G6" s="15">
        <v>25.042013000000001</v>
      </c>
      <c r="H6" s="15">
        <v>121.50685</v>
      </c>
      <c r="I6" s="3">
        <v>5</v>
      </c>
      <c r="J6" s="3" t="s">
        <v>1257</v>
      </c>
      <c r="K6" s="3" t="s">
        <v>2119</v>
      </c>
      <c r="L6" s="3" t="s">
        <v>2120</v>
      </c>
      <c r="M6" s="3" t="s">
        <v>2098</v>
      </c>
      <c r="N6" s="3">
        <v>120</v>
      </c>
      <c r="O6" s="3" t="s">
        <v>1360</v>
      </c>
      <c r="P6" s="3" t="s">
        <v>1361</v>
      </c>
      <c r="Q6" s="3" t="s">
        <v>1263</v>
      </c>
      <c r="R6" s="3" t="s">
        <v>1264</v>
      </c>
      <c r="S6" s="3" t="s">
        <v>1265</v>
      </c>
      <c r="T6" s="3" t="s">
        <v>1266</v>
      </c>
      <c r="U6" s="3" t="s">
        <v>2099</v>
      </c>
      <c r="V6" s="3" t="s">
        <v>1268</v>
      </c>
      <c r="W6" s="3" t="s">
        <v>2100</v>
      </c>
      <c r="X6" s="26">
        <v>1.5</v>
      </c>
      <c r="Y6" s="3" t="s">
        <v>2101</v>
      </c>
      <c r="Z6" s="3" t="s">
        <v>29</v>
      </c>
      <c r="AA6" s="5" t="s">
        <v>2121</v>
      </c>
      <c r="AB6" s="5" t="s">
        <v>2122</v>
      </c>
      <c r="AC6" s="3" t="s">
        <v>2104</v>
      </c>
      <c r="AD6" s="3" t="s">
        <v>1274</v>
      </c>
      <c r="AE6" s="3" t="s">
        <v>1275</v>
      </c>
    </row>
    <row r="7" spans="1:31" ht="70">
      <c r="A7" s="3" t="s">
        <v>2123</v>
      </c>
      <c r="B7" s="3" t="s">
        <v>24</v>
      </c>
      <c r="C7" s="3" t="s">
        <v>97</v>
      </c>
      <c r="D7" s="3" t="s">
        <v>2093</v>
      </c>
      <c r="E7" s="3" t="s">
        <v>2124</v>
      </c>
      <c r="F7" s="3" t="s">
        <v>2095</v>
      </c>
      <c r="G7" s="15">
        <v>25.072410999999999</v>
      </c>
      <c r="H7" s="15">
        <v>121.52481</v>
      </c>
      <c r="I7" s="3">
        <v>5</v>
      </c>
      <c r="J7" s="3" t="s">
        <v>1257</v>
      </c>
      <c r="K7" s="3" t="s">
        <v>2125</v>
      </c>
      <c r="L7" s="3" t="s">
        <v>2126</v>
      </c>
      <c r="M7" s="3" t="s">
        <v>2098</v>
      </c>
      <c r="N7" s="3">
        <v>120</v>
      </c>
      <c r="O7" s="3" t="s">
        <v>1360</v>
      </c>
      <c r="P7" s="3" t="s">
        <v>1361</v>
      </c>
      <c r="Q7" s="3" t="s">
        <v>1263</v>
      </c>
      <c r="R7" s="3" t="s">
        <v>1264</v>
      </c>
      <c r="S7" s="3" t="s">
        <v>1265</v>
      </c>
      <c r="T7" s="3" t="s">
        <v>1266</v>
      </c>
      <c r="U7" s="3" t="s">
        <v>2099</v>
      </c>
      <c r="V7" s="3" t="s">
        <v>1268</v>
      </c>
      <c r="W7" s="3" t="s">
        <v>2100</v>
      </c>
      <c r="X7" s="26">
        <v>1.5</v>
      </c>
      <c r="Y7" s="3" t="s">
        <v>2101</v>
      </c>
      <c r="Z7" s="3" t="s">
        <v>29</v>
      </c>
      <c r="AA7" s="5" t="s">
        <v>2127</v>
      </c>
      <c r="AB7" s="5" t="s">
        <v>2128</v>
      </c>
      <c r="AC7" s="3" t="s">
        <v>2104</v>
      </c>
      <c r="AD7" s="3" t="s">
        <v>1274</v>
      </c>
      <c r="AE7" s="3" t="s">
        <v>1275</v>
      </c>
    </row>
    <row r="8" spans="1:31" ht="84">
      <c r="A8" s="3" t="s">
        <v>2129</v>
      </c>
      <c r="B8" s="3" t="s">
        <v>24</v>
      </c>
      <c r="C8" s="3" t="s">
        <v>44</v>
      </c>
      <c r="D8" s="3" t="s">
        <v>2093</v>
      </c>
      <c r="E8" s="3" t="s">
        <v>2130</v>
      </c>
      <c r="F8" s="3" t="s">
        <v>2095</v>
      </c>
      <c r="G8" s="15">
        <v>25.012516000000002</v>
      </c>
      <c r="H8" s="15">
        <v>121.53</v>
      </c>
      <c r="I8" s="3">
        <v>4</v>
      </c>
      <c r="J8" s="3" t="s">
        <v>1305</v>
      </c>
      <c r="K8" s="3" t="s">
        <v>2131</v>
      </c>
      <c r="L8" s="3" t="s">
        <v>2132</v>
      </c>
      <c r="M8" s="3" t="s">
        <v>2098</v>
      </c>
      <c r="N8" s="3">
        <v>120</v>
      </c>
      <c r="O8" s="3" t="s">
        <v>1360</v>
      </c>
      <c r="P8" s="3" t="s">
        <v>1361</v>
      </c>
      <c r="Q8" s="3" t="s">
        <v>1263</v>
      </c>
      <c r="R8" s="3" t="s">
        <v>1264</v>
      </c>
      <c r="S8" s="3" t="s">
        <v>1265</v>
      </c>
      <c r="T8" s="3" t="s">
        <v>1266</v>
      </c>
      <c r="U8" s="3" t="s">
        <v>2099</v>
      </c>
      <c r="V8" s="3" t="s">
        <v>1268</v>
      </c>
      <c r="W8" s="3" t="s">
        <v>2100</v>
      </c>
      <c r="X8" s="26">
        <v>1.5</v>
      </c>
      <c r="Y8" s="3" t="s">
        <v>2101</v>
      </c>
      <c r="Z8" s="3" t="s">
        <v>66</v>
      </c>
      <c r="AA8" s="5" t="s">
        <v>2133</v>
      </c>
      <c r="AB8" s="5" t="s">
        <v>2134</v>
      </c>
      <c r="AC8" s="3" t="s">
        <v>2104</v>
      </c>
      <c r="AD8" s="3" t="s">
        <v>1274</v>
      </c>
      <c r="AE8" s="3" t="s">
        <v>1275</v>
      </c>
    </row>
    <row r="9" spans="1:31" ht="70">
      <c r="A9" s="3" t="s">
        <v>2135</v>
      </c>
      <c r="B9" s="3" t="s">
        <v>151</v>
      </c>
      <c r="C9" s="3" t="s">
        <v>209</v>
      </c>
      <c r="D9" s="3" t="s">
        <v>2093</v>
      </c>
      <c r="E9" s="3" t="s">
        <v>2136</v>
      </c>
      <c r="F9" s="3" t="s">
        <v>2095</v>
      </c>
      <c r="G9" s="15">
        <v>25.156873000000001</v>
      </c>
      <c r="H9" s="15">
        <v>121.40485</v>
      </c>
      <c r="I9" s="3">
        <v>5</v>
      </c>
      <c r="J9" s="3" t="s">
        <v>1257</v>
      </c>
      <c r="K9" s="3" t="s">
        <v>2137</v>
      </c>
      <c r="L9" s="3" t="s">
        <v>2138</v>
      </c>
      <c r="M9" s="3" t="s">
        <v>2098</v>
      </c>
      <c r="N9" s="3">
        <v>120</v>
      </c>
      <c r="O9" s="3" t="s">
        <v>1360</v>
      </c>
      <c r="P9" s="3" t="s">
        <v>1361</v>
      </c>
      <c r="Q9" s="3" t="s">
        <v>1263</v>
      </c>
      <c r="R9" s="3" t="s">
        <v>1264</v>
      </c>
      <c r="S9" s="3" t="s">
        <v>1265</v>
      </c>
      <c r="T9" s="3" t="s">
        <v>1266</v>
      </c>
      <c r="U9" s="3" t="s">
        <v>2099</v>
      </c>
      <c r="V9" s="3" t="s">
        <v>1268</v>
      </c>
      <c r="W9" s="3" t="s">
        <v>2100</v>
      </c>
      <c r="X9" s="26">
        <v>1.5</v>
      </c>
      <c r="Y9" s="3" t="s">
        <v>2101</v>
      </c>
      <c r="Z9" s="3" t="s">
        <v>29</v>
      </c>
      <c r="AA9" s="5" t="s">
        <v>2139</v>
      </c>
      <c r="AB9" s="5" t="s">
        <v>2140</v>
      </c>
      <c r="AC9" s="3" t="s">
        <v>2104</v>
      </c>
      <c r="AD9" s="3" t="s">
        <v>1274</v>
      </c>
      <c r="AE9" s="3" t="s">
        <v>1275</v>
      </c>
    </row>
    <row r="10" spans="1:31" ht="56">
      <c r="A10" s="3" t="s">
        <v>2141</v>
      </c>
      <c r="B10" s="3" t="s">
        <v>151</v>
      </c>
      <c r="C10" s="3" t="s">
        <v>1303</v>
      </c>
      <c r="D10" s="3" t="s">
        <v>2093</v>
      </c>
      <c r="E10" s="3" t="s">
        <v>2142</v>
      </c>
      <c r="F10" s="3" t="s">
        <v>2095</v>
      </c>
      <c r="G10" s="15">
        <v>25.246441999999998</v>
      </c>
      <c r="H10" s="15">
        <v>121.61121</v>
      </c>
      <c r="I10" s="3">
        <v>5</v>
      </c>
      <c r="J10" s="3" t="s">
        <v>1257</v>
      </c>
      <c r="K10" s="3" t="s">
        <v>2143</v>
      </c>
      <c r="L10" s="3" t="s">
        <v>2144</v>
      </c>
      <c r="M10" s="3" t="s">
        <v>2098</v>
      </c>
      <c r="N10" s="3">
        <v>120</v>
      </c>
      <c r="O10" s="3" t="s">
        <v>1360</v>
      </c>
      <c r="P10" s="3" t="s">
        <v>1361</v>
      </c>
      <c r="Q10" s="3" t="s">
        <v>1263</v>
      </c>
      <c r="R10" s="3" t="s">
        <v>1264</v>
      </c>
      <c r="S10" s="3" t="s">
        <v>1265</v>
      </c>
      <c r="T10" s="3" t="s">
        <v>1266</v>
      </c>
      <c r="U10" s="3" t="s">
        <v>2099</v>
      </c>
      <c r="V10" s="3" t="s">
        <v>1268</v>
      </c>
      <c r="W10" s="3" t="s">
        <v>2100</v>
      </c>
      <c r="X10" s="26">
        <v>1.5</v>
      </c>
      <c r="Y10" s="3" t="s">
        <v>2101</v>
      </c>
      <c r="Z10" s="3" t="s">
        <v>29</v>
      </c>
      <c r="AA10" s="5" t="s">
        <v>2145</v>
      </c>
      <c r="AB10" s="5" t="s">
        <v>2146</v>
      </c>
      <c r="AC10" s="3" t="s">
        <v>2104</v>
      </c>
      <c r="AD10" s="3" t="s">
        <v>1274</v>
      </c>
      <c r="AE10" s="3" t="s">
        <v>1275</v>
      </c>
    </row>
    <row r="11" spans="1:31" ht="84">
      <c r="A11" s="3" t="s">
        <v>2147</v>
      </c>
      <c r="B11" s="3" t="s">
        <v>355</v>
      </c>
      <c r="C11" s="3" t="s">
        <v>366</v>
      </c>
      <c r="D11" s="3" t="s">
        <v>2093</v>
      </c>
      <c r="E11" s="3" t="s">
        <v>2148</v>
      </c>
      <c r="F11" s="3" t="s">
        <v>2095</v>
      </c>
      <c r="G11" s="15">
        <v>24.806764000000001</v>
      </c>
      <c r="H11" s="15">
        <v>120.96879</v>
      </c>
      <c r="I11" s="3">
        <v>4</v>
      </c>
      <c r="J11" s="3" t="s">
        <v>1305</v>
      </c>
      <c r="K11" s="3" t="s">
        <v>2149</v>
      </c>
      <c r="L11" s="3" t="s">
        <v>2150</v>
      </c>
      <c r="M11" s="3" t="s">
        <v>2098</v>
      </c>
      <c r="N11" s="3">
        <v>120</v>
      </c>
      <c r="O11" s="3" t="s">
        <v>1360</v>
      </c>
      <c r="P11" s="3" t="s">
        <v>1361</v>
      </c>
      <c r="Q11" s="3" t="s">
        <v>1263</v>
      </c>
      <c r="R11" s="3" t="s">
        <v>1264</v>
      </c>
      <c r="S11" s="3" t="s">
        <v>1265</v>
      </c>
      <c r="T11" s="3" t="s">
        <v>1266</v>
      </c>
      <c r="U11" s="3" t="s">
        <v>2099</v>
      </c>
      <c r="V11" s="3" t="s">
        <v>1268</v>
      </c>
      <c r="W11" s="3" t="s">
        <v>2100</v>
      </c>
      <c r="X11" s="26">
        <v>1.5</v>
      </c>
      <c r="Y11" s="3" t="s">
        <v>2101</v>
      </c>
      <c r="Z11" s="3" t="s">
        <v>66</v>
      </c>
      <c r="AA11" s="5" t="s">
        <v>2151</v>
      </c>
      <c r="AB11" s="5" t="s">
        <v>2152</v>
      </c>
      <c r="AC11" s="3" t="s">
        <v>2104</v>
      </c>
      <c r="AD11" s="3" t="s">
        <v>1274</v>
      </c>
      <c r="AE11" s="3" t="s">
        <v>1275</v>
      </c>
    </row>
    <row r="12" spans="1:31" ht="70">
      <c r="A12" s="3" t="s">
        <v>2153</v>
      </c>
      <c r="B12" s="3" t="s">
        <v>355</v>
      </c>
      <c r="C12" s="3" t="s">
        <v>366</v>
      </c>
      <c r="D12" s="3" t="s">
        <v>2093</v>
      </c>
      <c r="E12" s="3" t="s">
        <v>2154</v>
      </c>
      <c r="F12" s="3" t="s">
        <v>2095</v>
      </c>
      <c r="G12" s="15">
        <v>24.801313</v>
      </c>
      <c r="H12" s="15">
        <v>120.97811</v>
      </c>
      <c r="I12" s="3">
        <v>4</v>
      </c>
      <c r="J12" s="3" t="s">
        <v>1305</v>
      </c>
      <c r="K12" s="3" t="s">
        <v>2155</v>
      </c>
      <c r="L12" s="3" t="s">
        <v>2156</v>
      </c>
      <c r="M12" s="3" t="s">
        <v>2098</v>
      </c>
      <c r="N12" s="3">
        <v>120</v>
      </c>
      <c r="O12" s="3" t="s">
        <v>1360</v>
      </c>
      <c r="P12" s="3" t="s">
        <v>1361</v>
      </c>
      <c r="Q12" s="3" t="s">
        <v>1263</v>
      </c>
      <c r="R12" s="3" t="s">
        <v>1264</v>
      </c>
      <c r="S12" s="3" t="s">
        <v>1265</v>
      </c>
      <c r="T12" s="3" t="s">
        <v>1266</v>
      </c>
      <c r="U12" s="3" t="s">
        <v>2099</v>
      </c>
      <c r="V12" s="3" t="s">
        <v>1268</v>
      </c>
      <c r="W12" s="3" t="s">
        <v>2100</v>
      </c>
      <c r="X12" s="26">
        <v>1.5</v>
      </c>
      <c r="Y12" s="3" t="s">
        <v>2101</v>
      </c>
      <c r="Z12" s="3" t="s">
        <v>66</v>
      </c>
      <c r="AA12" s="5" t="s">
        <v>2157</v>
      </c>
      <c r="AB12" s="5" t="s">
        <v>2158</v>
      </c>
      <c r="AC12" s="3" t="s">
        <v>2104</v>
      </c>
      <c r="AD12" s="3" t="s">
        <v>1274</v>
      </c>
      <c r="AE12" s="3" t="s">
        <v>1275</v>
      </c>
    </row>
    <row r="13" spans="1:31" ht="70">
      <c r="A13" s="3" t="s">
        <v>2159</v>
      </c>
      <c r="B13" s="3" t="s">
        <v>436</v>
      </c>
      <c r="C13" s="3" t="s">
        <v>1478</v>
      </c>
      <c r="D13" s="3" t="s">
        <v>2093</v>
      </c>
      <c r="E13" s="3" t="s">
        <v>2160</v>
      </c>
      <c r="F13" s="3" t="s">
        <v>2095</v>
      </c>
      <c r="G13" s="15">
        <v>24.406005</v>
      </c>
      <c r="H13" s="15">
        <v>120.76118</v>
      </c>
      <c r="I13" s="3">
        <v>4</v>
      </c>
      <c r="J13" s="3" t="s">
        <v>1305</v>
      </c>
      <c r="K13" s="3" t="s">
        <v>2161</v>
      </c>
      <c r="L13" s="3" t="s">
        <v>2162</v>
      </c>
      <c r="M13" s="3" t="s">
        <v>2098</v>
      </c>
      <c r="N13" s="3">
        <v>120</v>
      </c>
      <c r="O13" s="3" t="s">
        <v>1360</v>
      </c>
      <c r="P13" s="3" t="s">
        <v>1361</v>
      </c>
      <c r="Q13" s="3" t="s">
        <v>1263</v>
      </c>
      <c r="R13" s="3" t="s">
        <v>1264</v>
      </c>
      <c r="S13" s="3" t="s">
        <v>1265</v>
      </c>
      <c r="T13" s="3" t="s">
        <v>1266</v>
      </c>
      <c r="U13" s="3" t="s">
        <v>2099</v>
      </c>
      <c r="V13" s="3" t="s">
        <v>1268</v>
      </c>
      <c r="W13" s="3" t="s">
        <v>2100</v>
      </c>
      <c r="X13" s="26">
        <v>1.5</v>
      </c>
      <c r="Y13" s="3" t="s">
        <v>2101</v>
      </c>
      <c r="Z13" s="3" t="s">
        <v>66</v>
      </c>
      <c r="AA13" s="5" t="s">
        <v>2163</v>
      </c>
      <c r="AB13" s="5" t="s">
        <v>2164</v>
      </c>
      <c r="AC13" s="3" t="s">
        <v>2104</v>
      </c>
      <c r="AD13" s="3" t="s">
        <v>1274</v>
      </c>
      <c r="AE13" s="3" t="s">
        <v>1275</v>
      </c>
    </row>
    <row r="14" spans="1:31" ht="70">
      <c r="A14" s="3" t="s">
        <v>2165</v>
      </c>
      <c r="B14" s="3" t="s">
        <v>480</v>
      </c>
      <c r="C14" s="3" t="s">
        <v>481</v>
      </c>
      <c r="D14" s="3" t="s">
        <v>2093</v>
      </c>
      <c r="E14" s="3" t="s">
        <v>2166</v>
      </c>
      <c r="F14" s="3" t="s">
        <v>2095</v>
      </c>
      <c r="G14" s="15">
        <v>24.162648999999998</v>
      </c>
      <c r="H14" s="15">
        <v>120.6403</v>
      </c>
      <c r="I14" s="3">
        <v>5</v>
      </c>
      <c r="J14" s="3" t="s">
        <v>1257</v>
      </c>
      <c r="K14" s="3" t="s">
        <v>2167</v>
      </c>
      <c r="L14" s="3" t="s">
        <v>2168</v>
      </c>
      <c r="M14" s="3" t="s">
        <v>2098</v>
      </c>
      <c r="N14" s="3">
        <v>120</v>
      </c>
      <c r="O14" s="3" t="s">
        <v>1360</v>
      </c>
      <c r="P14" s="3" t="s">
        <v>1361</v>
      </c>
      <c r="Q14" s="3" t="s">
        <v>1263</v>
      </c>
      <c r="R14" s="3" t="s">
        <v>1264</v>
      </c>
      <c r="S14" s="3" t="s">
        <v>1265</v>
      </c>
      <c r="T14" s="3" t="s">
        <v>1266</v>
      </c>
      <c r="U14" s="3" t="s">
        <v>2099</v>
      </c>
      <c r="V14" s="3" t="s">
        <v>1268</v>
      </c>
      <c r="W14" s="3" t="s">
        <v>2100</v>
      </c>
      <c r="X14" s="26">
        <v>1.5</v>
      </c>
      <c r="Y14" s="3" t="s">
        <v>2101</v>
      </c>
      <c r="Z14" s="3" t="s">
        <v>29</v>
      </c>
      <c r="AA14" s="5" t="s">
        <v>2169</v>
      </c>
      <c r="AB14" s="5" t="s">
        <v>2170</v>
      </c>
      <c r="AC14" s="3" t="s">
        <v>2104</v>
      </c>
      <c r="AD14" s="3" t="s">
        <v>1274</v>
      </c>
      <c r="AE14" s="3" t="s">
        <v>1275</v>
      </c>
    </row>
    <row r="15" spans="1:31" ht="70">
      <c r="A15" s="3" t="s">
        <v>2171</v>
      </c>
      <c r="B15" s="3" t="s">
        <v>480</v>
      </c>
      <c r="C15" s="3" t="s">
        <v>523</v>
      </c>
      <c r="D15" s="3" t="s">
        <v>2093</v>
      </c>
      <c r="E15" s="3" t="s">
        <v>2172</v>
      </c>
      <c r="F15" s="3" t="s">
        <v>2095</v>
      </c>
      <c r="G15" s="15">
        <v>24.141186000000001</v>
      </c>
      <c r="H15" s="15">
        <v>120.66331</v>
      </c>
      <c r="I15" s="3">
        <v>5</v>
      </c>
      <c r="J15" s="3" t="s">
        <v>1257</v>
      </c>
      <c r="K15" s="3" t="s">
        <v>2173</v>
      </c>
      <c r="L15" s="3" t="s">
        <v>2174</v>
      </c>
      <c r="M15" s="3" t="s">
        <v>2098</v>
      </c>
      <c r="N15" s="3">
        <v>120</v>
      </c>
      <c r="O15" s="3" t="s">
        <v>1360</v>
      </c>
      <c r="P15" s="3" t="s">
        <v>1361</v>
      </c>
      <c r="Q15" s="3" t="s">
        <v>1263</v>
      </c>
      <c r="R15" s="3" t="s">
        <v>1264</v>
      </c>
      <c r="S15" s="3" t="s">
        <v>1265</v>
      </c>
      <c r="T15" s="3" t="s">
        <v>1266</v>
      </c>
      <c r="U15" s="3" t="s">
        <v>2099</v>
      </c>
      <c r="V15" s="3" t="s">
        <v>1268</v>
      </c>
      <c r="W15" s="3" t="s">
        <v>2100</v>
      </c>
      <c r="X15" s="26">
        <v>1.5</v>
      </c>
      <c r="Y15" s="3" t="s">
        <v>2101</v>
      </c>
      <c r="Z15" s="3" t="s">
        <v>29</v>
      </c>
      <c r="AA15" s="5" t="s">
        <v>2175</v>
      </c>
      <c r="AB15" s="5" t="s">
        <v>2176</v>
      </c>
      <c r="AC15" s="3" t="s">
        <v>2104</v>
      </c>
      <c r="AD15" s="3" t="s">
        <v>1274</v>
      </c>
      <c r="AE15" s="3" t="s">
        <v>1275</v>
      </c>
    </row>
    <row r="16" spans="1:31" ht="56">
      <c r="A16" s="3" t="s">
        <v>2177</v>
      </c>
      <c r="B16" s="3" t="s">
        <v>480</v>
      </c>
      <c r="C16" s="3" t="s">
        <v>496</v>
      </c>
      <c r="D16" s="3" t="s">
        <v>2093</v>
      </c>
      <c r="E16" s="3" t="s">
        <v>2178</v>
      </c>
      <c r="F16" s="3" t="s">
        <v>2095</v>
      </c>
      <c r="G16" s="15">
        <v>24.133680999999999</v>
      </c>
      <c r="H16" s="15">
        <v>120.60983</v>
      </c>
      <c r="I16" s="3">
        <v>4</v>
      </c>
      <c r="J16" s="3" t="s">
        <v>1305</v>
      </c>
      <c r="K16" s="3" t="s">
        <v>2179</v>
      </c>
      <c r="L16" s="3" t="s">
        <v>2180</v>
      </c>
      <c r="M16" s="3" t="s">
        <v>2098</v>
      </c>
      <c r="N16" s="3">
        <v>120</v>
      </c>
      <c r="O16" s="3" t="s">
        <v>1360</v>
      </c>
      <c r="P16" s="3" t="s">
        <v>1361</v>
      </c>
      <c r="Q16" s="3" t="s">
        <v>1263</v>
      </c>
      <c r="R16" s="3" t="s">
        <v>1264</v>
      </c>
      <c r="S16" s="3" t="s">
        <v>1265</v>
      </c>
      <c r="T16" s="3" t="s">
        <v>1266</v>
      </c>
      <c r="U16" s="3" t="s">
        <v>2099</v>
      </c>
      <c r="V16" s="3" t="s">
        <v>1268</v>
      </c>
      <c r="W16" s="3" t="s">
        <v>2100</v>
      </c>
      <c r="X16" s="26">
        <v>1.5</v>
      </c>
      <c r="Y16" s="3" t="s">
        <v>2101</v>
      </c>
      <c r="Z16" s="3" t="s">
        <v>66</v>
      </c>
      <c r="AA16" s="5" t="s">
        <v>2181</v>
      </c>
      <c r="AB16" s="5" t="s">
        <v>2182</v>
      </c>
      <c r="AC16" s="3" t="s">
        <v>2104</v>
      </c>
      <c r="AD16" s="3" t="s">
        <v>1274</v>
      </c>
      <c r="AE16" s="3" t="s">
        <v>1275</v>
      </c>
    </row>
    <row r="17" spans="1:31" ht="70">
      <c r="A17" s="3" t="s">
        <v>2183</v>
      </c>
      <c r="B17" s="3" t="s">
        <v>559</v>
      </c>
      <c r="C17" s="3" t="s">
        <v>560</v>
      </c>
      <c r="D17" s="3" t="s">
        <v>2093</v>
      </c>
      <c r="E17" s="3" t="s">
        <v>2184</v>
      </c>
      <c r="F17" s="3" t="s">
        <v>2095</v>
      </c>
      <c r="G17" s="15">
        <v>24.078486999999999</v>
      </c>
      <c r="H17" s="15">
        <v>120.54882000000001</v>
      </c>
      <c r="I17" s="3">
        <v>4</v>
      </c>
      <c r="J17" s="3" t="s">
        <v>1305</v>
      </c>
      <c r="K17" s="3" t="s">
        <v>2185</v>
      </c>
      <c r="L17" s="3" t="s">
        <v>2186</v>
      </c>
      <c r="M17" s="3" t="s">
        <v>2098</v>
      </c>
      <c r="N17" s="3">
        <v>120</v>
      </c>
      <c r="O17" s="3" t="s">
        <v>1360</v>
      </c>
      <c r="P17" s="3" t="s">
        <v>1361</v>
      </c>
      <c r="Q17" s="3" t="s">
        <v>1263</v>
      </c>
      <c r="R17" s="3" t="s">
        <v>1264</v>
      </c>
      <c r="S17" s="3" t="s">
        <v>1265</v>
      </c>
      <c r="T17" s="3" t="s">
        <v>1266</v>
      </c>
      <c r="U17" s="3" t="s">
        <v>2099</v>
      </c>
      <c r="V17" s="3" t="s">
        <v>1268</v>
      </c>
      <c r="W17" s="3" t="s">
        <v>2100</v>
      </c>
      <c r="X17" s="26">
        <v>1.5</v>
      </c>
      <c r="Y17" s="3" t="s">
        <v>2101</v>
      </c>
      <c r="Z17" s="3" t="s">
        <v>66</v>
      </c>
      <c r="AA17" s="5" t="s">
        <v>2187</v>
      </c>
      <c r="AB17" s="5" t="s">
        <v>2188</v>
      </c>
      <c r="AC17" s="3" t="s">
        <v>2104</v>
      </c>
      <c r="AD17" s="3" t="s">
        <v>1274</v>
      </c>
      <c r="AE17" s="3" t="s">
        <v>1275</v>
      </c>
    </row>
    <row r="18" spans="1:31" ht="84">
      <c r="A18" s="3" t="s">
        <v>2189</v>
      </c>
      <c r="B18" s="3" t="s">
        <v>603</v>
      </c>
      <c r="C18" s="3" t="s">
        <v>604</v>
      </c>
      <c r="D18" s="3" t="s">
        <v>2093</v>
      </c>
      <c r="E18" s="3" t="s">
        <v>2190</v>
      </c>
      <c r="F18" s="3" t="s">
        <v>2095</v>
      </c>
      <c r="G18" s="15">
        <v>23.980774</v>
      </c>
      <c r="H18" s="15">
        <v>120.69185</v>
      </c>
      <c r="I18" s="3">
        <v>4</v>
      </c>
      <c r="J18" s="3" t="s">
        <v>1305</v>
      </c>
      <c r="K18" s="3" t="s">
        <v>2191</v>
      </c>
      <c r="L18" s="3" t="s">
        <v>2192</v>
      </c>
      <c r="M18" s="3" t="s">
        <v>2098</v>
      </c>
      <c r="N18" s="3">
        <v>120</v>
      </c>
      <c r="O18" s="3" t="s">
        <v>1360</v>
      </c>
      <c r="P18" s="3" t="s">
        <v>1361</v>
      </c>
      <c r="Q18" s="3" t="s">
        <v>1263</v>
      </c>
      <c r="R18" s="3" t="s">
        <v>1264</v>
      </c>
      <c r="S18" s="3" t="s">
        <v>1265</v>
      </c>
      <c r="T18" s="3" t="s">
        <v>1266</v>
      </c>
      <c r="U18" s="3" t="s">
        <v>2099</v>
      </c>
      <c r="V18" s="3" t="s">
        <v>1268</v>
      </c>
      <c r="W18" s="3" t="s">
        <v>2100</v>
      </c>
      <c r="X18" s="26">
        <v>1.5</v>
      </c>
      <c r="Y18" s="3" t="s">
        <v>2101</v>
      </c>
      <c r="Z18" s="3" t="s">
        <v>66</v>
      </c>
      <c r="AA18" s="5" t="s">
        <v>2193</v>
      </c>
      <c r="AB18" s="5" t="s">
        <v>2194</v>
      </c>
      <c r="AC18" s="3" t="s">
        <v>2104</v>
      </c>
      <c r="AD18" s="3" t="s">
        <v>1274</v>
      </c>
      <c r="AE18" s="3" t="s">
        <v>1275</v>
      </c>
    </row>
    <row r="19" spans="1:31" ht="84">
      <c r="A19" s="3" t="s">
        <v>2195</v>
      </c>
      <c r="B19" s="3" t="s">
        <v>714</v>
      </c>
      <c r="C19" s="3" t="s">
        <v>2196</v>
      </c>
      <c r="D19" s="3" t="s">
        <v>2093</v>
      </c>
      <c r="E19" s="3" t="s">
        <v>2197</v>
      </c>
      <c r="F19" s="3" t="s">
        <v>2095</v>
      </c>
      <c r="G19" s="15">
        <v>23.473129</v>
      </c>
      <c r="H19" s="15">
        <v>120.29271</v>
      </c>
      <c r="I19" s="3">
        <v>5</v>
      </c>
      <c r="J19" s="3" t="s">
        <v>1257</v>
      </c>
      <c r="K19" s="3" t="s">
        <v>2198</v>
      </c>
      <c r="L19" s="3" t="s">
        <v>2199</v>
      </c>
      <c r="M19" s="3" t="s">
        <v>2098</v>
      </c>
      <c r="N19" s="3">
        <v>120</v>
      </c>
      <c r="O19" s="3" t="s">
        <v>1360</v>
      </c>
      <c r="P19" s="3" t="s">
        <v>1361</v>
      </c>
      <c r="Q19" s="3" t="s">
        <v>1263</v>
      </c>
      <c r="R19" s="3" t="s">
        <v>1264</v>
      </c>
      <c r="S19" s="3" t="s">
        <v>1265</v>
      </c>
      <c r="T19" s="3" t="s">
        <v>1266</v>
      </c>
      <c r="U19" s="3" t="s">
        <v>2099</v>
      </c>
      <c r="V19" s="3" t="s">
        <v>1268</v>
      </c>
      <c r="W19" s="3" t="s">
        <v>2100</v>
      </c>
      <c r="X19" s="26">
        <v>1.5</v>
      </c>
      <c r="Y19" s="3" t="s">
        <v>2101</v>
      </c>
      <c r="Z19" s="3" t="s">
        <v>29</v>
      </c>
      <c r="AA19" s="5" t="s">
        <v>2200</v>
      </c>
      <c r="AB19" s="5" t="s">
        <v>2201</v>
      </c>
      <c r="AC19" s="3" t="s">
        <v>2104</v>
      </c>
      <c r="AD19" s="3" t="s">
        <v>1274</v>
      </c>
      <c r="AE19" s="3" t="s">
        <v>1275</v>
      </c>
    </row>
    <row r="20" spans="1:31" ht="70">
      <c r="A20" s="3" t="s">
        <v>2202</v>
      </c>
      <c r="B20" s="3" t="s">
        <v>685</v>
      </c>
      <c r="C20" s="3" t="s">
        <v>356</v>
      </c>
      <c r="D20" s="3" t="s">
        <v>2093</v>
      </c>
      <c r="E20" s="3" t="s">
        <v>2203</v>
      </c>
      <c r="F20" s="3" t="s">
        <v>2095</v>
      </c>
      <c r="G20" s="15">
        <v>23.481038999999999</v>
      </c>
      <c r="H20" s="15">
        <v>120.46747999999999</v>
      </c>
      <c r="I20" s="3">
        <v>4</v>
      </c>
      <c r="J20" s="3" t="s">
        <v>1305</v>
      </c>
      <c r="K20" s="3" t="s">
        <v>2204</v>
      </c>
      <c r="L20" s="3" t="s">
        <v>2205</v>
      </c>
      <c r="M20" s="3" t="s">
        <v>2098</v>
      </c>
      <c r="N20" s="3">
        <v>120</v>
      </c>
      <c r="O20" s="3" t="s">
        <v>1360</v>
      </c>
      <c r="P20" s="3" t="s">
        <v>1361</v>
      </c>
      <c r="Q20" s="3" t="s">
        <v>1263</v>
      </c>
      <c r="R20" s="3" t="s">
        <v>1264</v>
      </c>
      <c r="S20" s="3" t="s">
        <v>1265</v>
      </c>
      <c r="T20" s="3" t="s">
        <v>1266</v>
      </c>
      <c r="U20" s="3" t="s">
        <v>2099</v>
      </c>
      <c r="V20" s="3" t="s">
        <v>1268</v>
      </c>
      <c r="W20" s="3" t="s">
        <v>2100</v>
      </c>
      <c r="X20" s="26">
        <v>1.5</v>
      </c>
      <c r="Y20" s="3" t="s">
        <v>2101</v>
      </c>
      <c r="Z20" s="3" t="s">
        <v>66</v>
      </c>
      <c r="AA20" s="5" t="s">
        <v>2206</v>
      </c>
      <c r="AB20" s="5" t="s">
        <v>2207</v>
      </c>
      <c r="AC20" s="3" t="s">
        <v>2104</v>
      </c>
      <c r="AD20" s="3" t="s">
        <v>1274</v>
      </c>
      <c r="AE20" s="3" t="s">
        <v>1275</v>
      </c>
    </row>
    <row r="21" spans="1:31" ht="56">
      <c r="A21" s="3" t="s">
        <v>2208</v>
      </c>
      <c r="B21" s="3" t="s">
        <v>750</v>
      </c>
      <c r="C21" s="3" t="s">
        <v>800</v>
      </c>
      <c r="D21" s="3" t="s">
        <v>2093</v>
      </c>
      <c r="E21" s="3" t="s">
        <v>2209</v>
      </c>
      <c r="F21" s="3" t="s">
        <v>2095</v>
      </c>
      <c r="G21" s="15">
        <v>22.934752</v>
      </c>
      <c r="H21" s="15">
        <v>120.22605</v>
      </c>
      <c r="I21" s="3">
        <v>5</v>
      </c>
      <c r="J21" s="3" t="s">
        <v>1257</v>
      </c>
      <c r="K21" s="3" t="s">
        <v>2210</v>
      </c>
      <c r="L21" s="3" t="s">
        <v>2211</v>
      </c>
      <c r="M21" s="3" t="s">
        <v>2098</v>
      </c>
      <c r="N21" s="3">
        <v>120</v>
      </c>
      <c r="O21" s="3" t="s">
        <v>1360</v>
      </c>
      <c r="P21" s="3" t="s">
        <v>1361</v>
      </c>
      <c r="Q21" s="3" t="s">
        <v>1263</v>
      </c>
      <c r="R21" s="3" t="s">
        <v>1264</v>
      </c>
      <c r="S21" s="3" t="s">
        <v>1265</v>
      </c>
      <c r="T21" s="3" t="s">
        <v>1266</v>
      </c>
      <c r="U21" s="3" t="s">
        <v>2099</v>
      </c>
      <c r="V21" s="3" t="s">
        <v>1268</v>
      </c>
      <c r="W21" s="3" t="s">
        <v>2100</v>
      </c>
      <c r="X21" s="26">
        <v>1.5</v>
      </c>
      <c r="Y21" s="3" t="s">
        <v>2101</v>
      </c>
      <c r="Z21" s="3" t="s">
        <v>29</v>
      </c>
      <c r="AA21" s="5" t="s">
        <v>2212</v>
      </c>
      <c r="AB21" s="5" t="s">
        <v>2213</v>
      </c>
      <c r="AC21" s="3" t="s">
        <v>2104</v>
      </c>
      <c r="AD21" s="3" t="s">
        <v>1274</v>
      </c>
      <c r="AE21" s="3" t="s">
        <v>1275</v>
      </c>
    </row>
    <row r="22" spans="1:31" ht="70">
      <c r="A22" s="3" t="s">
        <v>2214</v>
      </c>
      <c r="B22" s="3" t="s">
        <v>750</v>
      </c>
      <c r="C22" s="3" t="s">
        <v>751</v>
      </c>
      <c r="D22" s="3" t="s">
        <v>2093</v>
      </c>
      <c r="E22" s="3" t="s">
        <v>2215</v>
      </c>
      <c r="F22" s="3" t="s">
        <v>2095</v>
      </c>
      <c r="G22" s="15">
        <v>22.9922</v>
      </c>
      <c r="H22" s="15">
        <v>120.20458000000001</v>
      </c>
      <c r="I22" s="3">
        <v>5</v>
      </c>
      <c r="J22" s="3" t="s">
        <v>1257</v>
      </c>
      <c r="K22" s="3" t="s">
        <v>2216</v>
      </c>
      <c r="L22" s="3" t="s">
        <v>2217</v>
      </c>
      <c r="M22" s="3" t="s">
        <v>2098</v>
      </c>
      <c r="N22" s="3">
        <v>120</v>
      </c>
      <c r="O22" s="3" t="s">
        <v>1360</v>
      </c>
      <c r="P22" s="3" t="s">
        <v>1361</v>
      </c>
      <c r="Q22" s="3" t="s">
        <v>1263</v>
      </c>
      <c r="R22" s="3" t="s">
        <v>1264</v>
      </c>
      <c r="S22" s="3" t="s">
        <v>1265</v>
      </c>
      <c r="T22" s="3" t="s">
        <v>1266</v>
      </c>
      <c r="U22" s="3" t="s">
        <v>2099</v>
      </c>
      <c r="V22" s="3" t="s">
        <v>1268</v>
      </c>
      <c r="W22" s="3" t="s">
        <v>2100</v>
      </c>
      <c r="X22" s="26">
        <v>1.5</v>
      </c>
      <c r="Y22" s="3" t="s">
        <v>2101</v>
      </c>
      <c r="Z22" s="3" t="s">
        <v>29</v>
      </c>
      <c r="AA22" s="5" t="s">
        <v>2218</v>
      </c>
      <c r="AB22" s="5" t="s">
        <v>2219</v>
      </c>
      <c r="AC22" s="3" t="s">
        <v>2104</v>
      </c>
      <c r="AD22" s="3" t="s">
        <v>1274</v>
      </c>
      <c r="AE22" s="3" t="s">
        <v>1275</v>
      </c>
    </row>
    <row r="23" spans="1:31" ht="84">
      <c r="A23" s="3" t="s">
        <v>2220</v>
      </c>
      <c r="B23" s="3" t="s">
        <v>819</v>
      </c>
      <c r="C23" s="3" t="s">
        <v>835</v>
      </c>
      <c r="D23" s="3" t="s">
        <v>2093</v>
      </c>
      <c r="E23" s="3" t="s">
        <v>2221</v>
      </c>
      <c r="F23" s="3" t="s">
        <v>2095</v>
      </c>
      <c r="G23" s="15">
        <v>22.623000000000001</v>
      </c>
      <c r="H23" s="15">
        <v>120.34244</v>
      </c>
      <c r="I23" s="3">
        <v>5</v>
      </c>
      <c r="J23" s="3" t="s">
        <v>1257</v>
      </c>
      <c r="K23" s="3" t="s">
        <v>2222</v>
      </c>
      <c r="L23" s="3" t="s">
        <v>2223</v>
      </c>
      <c r="M23" s="3" t="s">
        <v>2098</v>
      </c>
      <c r="N23" s="3">
        <v>120</v>
      </c>
      <c r="O23" s="3" t="s">
        <v>1360</v>
      </c>
      <c r="P23" s="3" t="s">
        <v>1361</v>
      </c>
      <c r="Q23" s="3" t="s">
        <v>1263</v>
      </c>
      <c r="R23" s="3" t="s">
        <v>1264</v>
      </c>
      <c r="S23" s="3" t="s">
        <v>1265</v>
      </c>
      <c r="T23" s="3" t="s">
        <v>1266</v>
      </c>
      <c r="U23" s="3" t="s">
        <v>2099</v>
      </c>
      <c r="V23" s="3" t="s">
        <v>1268</v>
      </c>
      <c r="W23" s="3" t="s">
        <v>2100</v>
      </c>
      <c r="X23" s="26">
        <v>1.5</v>
      </c>
      <c r="Y23" s="3" t="s">
        <v>2101</v>
      </c>
      <c r="Z23" s="3" t="s">
        <v>29</v>
      </c>
      <c r="AA23" s="5" t="s">
        <v>2224</v>
      </c>
      <c r="AB23" s="5" t="s">
        <v>2225</v>
      </c>
      <c r="AC23" s="3" t="s">
        <v>2104</v>
      </c>
      <c r="AD23" s="3" t="s">
        <v>1274</v>
      </c>
      <c r="AE23" s="3" t="s">
        <v>1275</v>
      </c>
    </row>
    <row r="24" spans="1:31" ht="70">
      <c r="A24" s="3" t="s">
        <v>2226</v>
      </c>
      <c r="B24" s="3" t="s">
        <v>819</v>
      </c>
      <c r="C24" s="3" t="s">
        <v>2227</v>
      </c>
      <c r="D24" s="3" t="s">
        <v>2093</v>
      </c>
      <c r="E24" s="3" t="s">
        <v>2228</v>
      </c>
      <c r="F24" s="3" t="s">
        <v>2095</v>
      </c>
      <c r="G24" s="15">
        <v>22.620004999999999</v>
      </c>
      <c r="H24" s="15">
        <v>120.2816</v>
      </c>
      <c r="I24" s="3">
        <v>5</v>
      </c>
      <c r="J24" s="3" t="s">
        <v>1257</v>
      </c>
      <c r="K24" s="3" t="s">
        <v>2229</v>
      </c>
      <c r="L24" s="3" t="s">
        <v>2230</v>
      </c>
      <c r="M24" s="3" t="s">
        <v>2098</v>
      </c>
      <c r="N24" s="3">
        <v>120</v>
      </c>
      <c r="O24" s="3" t="s">
        <v>1360</v>
      </c>
      <c r="P24" s="3" t="s">
        <v>1361</v>
      </c>
      <c r="Q24" s="3" t="s">
        <v>1263</v>
      </c>
      <c r="R24" s="3" t="s">
        <v>1264</v>
      </c>
      <c r="S24" s="3" t="s">
        <v>1265</v>
      </c>
      <c r="T24" s="3" t="s">
        <v>1266</v>
      </c>
      <c r="U24" s="3" t="s">
        <v>2099</v>
      </c>
      <c r="V24" s="3" t="s">
        <v>1268</v>
      </c>
      <c r="W24" s="3" t="s">
        <v>2100</v>
      </c>
      <c r="X24" s="26">
        <v>1.5</v>
      </c>
      <c r="Y24" s="3" t="s">
        <v>2101</v>
      </c>
      <c r="Z24" s="3" t="s">
        <v>29</v>
      </c>
      <c r="AA24" s="5" t="s">
        <v>2231</v>
      </c>
      <c r="AB24" s="5" t="s">
        <v>2232</v>
      </c>
      <c r="AC24" s="3" t="s">
        <v>2104</v>
      </c>
      <c r="AD24" s="3" t="s">
        <v>1274</v>
      </c>
      <c r="AE24" s="3" t="s">
        <v>1275</v>
      </c>
    </row>
    <row r="25" spans="1:31" ht="70">
      <c r="A25" s="3" t="s">
        <v>2233</v>
      </c>
      <c r="B25" s="3" t="s">
        <v>958</v>
      </c>
      <c r="C25" s="3" t="s">
        <v>2065</v>
      </c>
      <c r="D25" s="3" t="s">
        <v>2093</v>
      </c>
      <c r="E25" s="3" t="s">
        <v>2234</v>
      </c>
      <c r="F25" s="3" t="s">
        <v>2095</v>
      </c>
      <c r="G25" s="15">
        <v>24.685587000000002</v>
      </c>
      <c r="H25" s="15">
        <v>121.82405</v>
      </c>
      <c r="I25" s="3">
        <v>5</v>
      </c>
      <c r="J25" s="3" t="s">
        <v>1257</v>
      </c>
      <c r="K25" s="3" t="s">
        <v>2235</v>
      </c>
      <c r="L25" s="3" t="s">
        <v>2236</v>
      </c>
      <c r="M25" s="3" t="s">
        <v>2098</v>
      </c>
      <c r="N25" s="3">
        <v>120</v>
      </c>
      <c r="O25" s="3" t="s">
        <v>1360</v>
      </c>
      <c r="P25" s="3" t="s">
        <v>1361</v>
      </c>
      <c r="Q25" s="3" t="s">
        <v>1263</v>
      </c>
      <c r="R25" s="3" t="s">
        <v>1264</v>
      </c>
      <c r="S25" s="3" t="s">
        <v>1265</v>
      </c>
      <c r="T25" s="3" t="s">
        <v>1266</v>
      </c>
      <c r="U25" s="3" t="s">
        <v>2099</v>
      </c>
      <c r="V25" s="3" t="s">
        <v>1268</v>
      </c>
      <c r="W25" s="3" t="s">
        <v>2100</v>
      </c>
      <c r="X25" s="26">
        <v>1.5</v>
      </c>
      <c r="Y25" s="3" t="s">
        <v>2101</v>
      </c>
      <c r="Z25" s="3" t="s">
        <v>29</v>
      </c>
      <c r="AA25" s="5" t="s">
        <v>2237</v>
      </c>
      <c r="AB25" s="5" t="s">
        <v>2238</v>
      </c>
      <c r="AC25" s="3" t="s">
        <v>2104</v>
      </c>
      <c r="AD25" s="3" t="s">
        <v>1274</v>
      </c>
      <c r="AE25" s="3" t="s">
        <v>1275</v>
      </c>
    </row>
    <row r="26" spans="1:31" ht="56">
      <c r="A26" s="3" t="s">
        <v>2239</v>
      </c>
      <c r="B26" s="3" t="s">
        <v>1008</v>
      </c>
      <c r="C26" s="3" t="s">
        <v>1009</v>
      </c>
      <c r="D26" s="3" t="s">
        <v>2093</v>
      </c>
      <c r="E26" s="3" t="s">
        <v>2240</v>
      </c>
      <c r="F26" s="3" t="s">
        <v>2095</v>
      </c>
      <c r="G26" s="15">
        <v>23.982804999999999</v>
      </c>
      <c r="H26" s="15">
        <v>121.61548999999999</v>
      </c>
      <c r="I26" s="3">
        <v>5</v>
      </c>
      <c r="J26" s="3" t="s">
        <v>1257</v>
      </c>
      <c r="K26" s="3" t="s">
        <v>2241</v>
      </c>
      <c r="L26" s="3" t="s">
        <v>2242</v>
      </c>
      <c r="M26" s="3" t="s">
        <v>2098</v>
      </c>
      <c r="N26" s="3">
        <v>120</v>
      </c>
      <c r="O26" s="3" t="s">
        <v>1360</v>
      </c>
      <c r="P26" s="3" t="s">
        <v>1361</v>
      </c>
      <c r="Q26" s="3" t="s">
        <v>1263</v>
      </c>
      <c r="R26" s="3" t="s">
        <v>1264</v>
      </c>
      <c r="S26" s="3" t="s">
        <v>1265</v>
      </c>
      <c r="T26" s="3" t="s">
        <v>1266</v>
      </c>
      <c r="U26" s="3" t="s">
        <v>2099</v>
      </c>
      <c r="V26" s="3" t="s">
        <v>1268</v>
      </c>
      <c r="W26" s="3" t="s">
        <v>2100</v>
      </c>
      <c r="X26" s="26">
        <v>1.5</v>
      </c>
      <c r="Y26" s="3" t="s">
        <v>2101</v>
      </c>
      <c r="Z26" s="3" t="s">
        <v>29</v>
      </c>
      <c r="AA26" s="5" t="s">
        <v>2243</v>
      </c>
      <c r="AB26" s="5" t="s">
        <v>2244</v>
      </c>
      <c r="AC26" s="3" t="s">
        <v>2104</v>
      </c>
      <c r="AD26" s="3" t="s">
        <v>1274</v>
      </c>
      <c r="AE26" s="3" t="s">
        <v>1275</v>
      </c>
    </row>
    <row r="27" spans="1:31" ht="70">
      <c r="A27" s="3" t="s">
        <v>2245</v>
      </c>
      <c r="B27" s="3" t="s">
        <v>1048</v>
      </c>
      <c r="C27" s="3" t="s">
        <v>1049</v>
      </c>
      <c r="D27" s="3" t="s">
        <v>2093</v>
      </c>
      <c r="E27" s="3" t="s">
        <v>2246</v>
      </c>
      <c r="F27" s="3" t="s">
        <v>2095</v>
      </c>
      <c r="G27" s="15">
        <v>22.792165000000001</v>
      </c>
      <c r="H27" s="15">
        <v>121.11593000000001</v>
      </c>
      <c r="I27" s="3">
        <v>5</v>
      </c>
      <c r="J27" s="3" t="s">
        <v>1257</v>
      </c>
      <c r="K27" s="3" t="s">
        <v>2247</v>
      </c>
      <c r="L27" s="3" t="s">
        <v>2248</v>
      </c>
      <c r="M27" s="3" t="s">
        <v>2098</v>
      </c>
      <c r="N27" s="3">
        <v>120</v>
      </c>
      <c r="O27" s="3" t="s">
        <v>1360</v>
      </c>
      <c r="P27" s="3" t="s">
        <v>1361</v>
      </c>
      <c r="Q27" s="3" t="s">
        <v>1263</v>
      </c>
      <c r="R27" s="3" t="s">
        <v>1264</v>
      </c>
      <c r="S27" s="3" t="s">
        <v>1265</v>
      </c>
      <c r="T27" s="3" t="s">
        <v>1266</v>
      </c>
      <c r="U27" s="3" t="s">
        <v>2099</v>
      </c>
      <c r="V27" s="3" t="s">
        <v>1268</v>
      </c>
      <c r="W27" s="3" t="s">
        <v>2100</v>
      </c>
      <c r="X27" s="26">
        <v>1.5</v>
      </c>
      <c r="Y27" s="3" t="s">
        <v>2101</v>
      </c>
      <c r="Z27" s="3" t="s">
        <v>29</v>
      </c>
      <c r="AA27" s="5" t="s">
        <v>2249</v>
      </c>
      <c r="AB27" s="5" t="s">
        <v>1065</v>
      </c>
      <c r="AC27" s="3" t="s">
        <v>2104</v>
      </c>
      <c r="AD27" s="3" t="s">
        <v>1274</v>
      </c>
      <c r="AE27" s="3" t="s">
        <v>1275</v>
      </c>
    </row>
  </sheetData>
  <mergeCells count="1">
    <mergeCell ref="A1:AE1"/>
  </mergeCells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4"/>
  <sheetViews>
    <sheetView workbookViewId="0"/>
  </sheetViews>
  <sheetFormatPr defaultRowHeight="14"/>
  <cols>
    <col min="1" max="3" width="16" customWidth="1"/>
    <col min="4" max="4" width="13" customWidth="1"/>
    <col min="5" max="5" width="20" customWidth="1"/>
    <col min="6" max="6" width="12" customWidth="1"/>
    <col min="7" max="7" width="42" customWidth="1"/>
    <col min="8" max="8" width="18" customWidth="1"/>
    <col min="9" max="9" width="48" customWidth="1"/>
  </cols>
  <sheetData>
    <row r="1" spans="1:9" ht="19">
      <c r="A1" s="45" t="s">
        <v>2256</v>
      </c>
      <c r="B1" s="45"/>
      <c r="C1" s="45"/>
      <c r="D1" s="45"/>
      <c r="E1" s="45"/>
      <c r="F1" s="45"/>
      <c r="G1" s="45"/>
      <c r="H1" s="45"/>
      <c r="I1" s="45"/>
    </row>
    <row r="2" spans="1:9" ht="28">
      <c r="A2" s="24" t="s">
        <v>1242</v>
      </c>
      <c r="B2" s="24" t="s">
        <v>2257</v>
      </c>
      <c r="C2" s="24" t="s">
        <v>2258</v>
      </c>
      <c r="D2" s="24" t="s">
        <v>2259</v>
      </c>
      <c r="E2" s="24" t="s">
        <v>2260</v>
      </c>
      <c r="F2" s="24" t="s">
        <v>2261</v>
      </c>
      <c r="G2" s="24" t="s">
        <v>2262</v>
      </c>
      <c r="H2" s="24" t="s">
        <v>1244</v>
      </c>
      <c r="I2" s="24" t="s">
        <v>2263</v>
      </c>
    </row>
    <row r="3" spans="1:9" ht="28">
      <c r="A3" s="2" t="s">
        <v>1267</v>
      </c>
      <c r="B3" s="2">
        <v>25</v>
      </c>
      <c r="C3" s="2">
        <v>14</v>
      </c>
      <c r="D3" s="2">
        <v>11</v>
      </c>
      <c r="E3" s="2">
        <v>1</v>
      </c>
      <c r="F3" s="2">
        <v>24</v>
      </c>
      <c r="G3" s="2">
        <v>14</v>
      </c>
      <c r="H3" s="2" t="s">
        <v>1269</v>
      </c>
      <c r="I3" s="2" t="s">
        <v>1270</v>
      </c>
    </row>
    <row r="4" spans="1:9" ht="28">
      <c r="A4" s="2" t="s">
        <v>1441</v>
      </c>
      <c r="B4" s="2">
        <v>25</v>
      </c>
      <c r="C4" s="2">
        <v>13</v>
      </c>
      <c r="D4" s="2">
        <v>12</v>
      </c>
      <c r="E4" s="2">
        <v>17</v>
      </c>
      <c r="F4" s="2">
        <v>8</v>
      </c>
      <c r="G4" s="2">
        <v>12</v>
      </c>
      <c r="H4" s="2" t="s">
        <v>1443</v>
      </c>
      <c r="I4" s="2" t="s">
        <v>1444</v>
      </c>
    </row>
    <row r="5" spans="1:9" ht="28">
      <c r="A5" s="2" t="s">
        <v>1611</v>
      </c>
      <c r="B5" s="2">
        <v>25</v>
      </c>
      <c r="C5" s="2">
        <v>15</v>
      </c>
      <c r="D5" s="2">
        <v>10</v>
      </c>
      <c r="E5" s="2">
        <v>0</v>
      </c>
      <c r="F5" s="2">
        <v>25</v>
      </c>
      <c r="G5" s="2">
        <v>16</v>
      </c>
      <c r="H5" s="2" t="s">
        <v>1443</v>
      </c>
      <c r="I5" s="2" t="s">
        <v>1612</v>
      </c>
    </row>
    <row r="6" spans="1:9" ht="28">
      <c r="A6" s="2" t="s">
        <v>1773</v>
      </c>
      <c r="B6" s="2">
        <v>25</v>
      </c>
      <c r="C6" s="2">
        <v>17</v>
      </c>
      <c r="D6" s="2">
        <v>8</v>
      </c>
      <c r="E6" s="2">
        <v>20</v>
      </c>
      <c r="F6" s="2">
        <v>5</v>
      </c>
      <c r="G6" s="2">
        <v>12</v>
      </c>
      <c r="H6" s="2" t="s">
        <v>1774</v>
      </c>
      <c r="I6" s="2" t="s">
        <v>1775</v>
      </c>
    </row>
    <row r="7" spans="1:9" ht="28">
      <c r="A7" s="2" t="s">
        <v>1939</v>
      </c>
      <c r="B7" s="2">
        <v>25</v>
      </c>
      <c r="C7" s="2">
        <v>14</v>
      </c>
      <c r="D7" s="2">
        <v>11</v>
      </c>
      <c r="E7" s="2">
        <v>0</v>
      </c>
      <c r="F7" s="2">
        <v>25</v>
      </c>
      <c r="G7" s="2">
        <v>17</v>
      </c>
      <c r="H7" s="2" t="s">
        <v>1940</v>
      </c>
      <c r="I7" s="2" t="s">
        <v>1941</v>
      </c>
    </row>
    <row r="8" spans="1:9" ht="28">
      <c r="A8" s="2" t="s">
        <v>2099</v>
      </c>
      <c r="B8" s="2">
        <v>25</v>
      </c>
      <c r="C8" s="2">
        <v>17</v>
      </c>
      <c r="D8" s="2">
        <v>8</v>
      </c>
      <c r="E8" s="2">
        <v>25</v>
      </c>
      <c r="F8" s="2">
        <v>0</v>
      </c>
      <c r="G8" s="2">
        <v>14</v>
      </c>
      <c r="H8" s="2" t="s">
        <v>2100</v>
      </c>
      <c r="I8" s="2" t="s">
        <v>2101</v>
      </c>
    </row>
    <row r="9" spans="1:9">
      <c r="A9" s="33" t="s">
        <v>1177</v>
      </c>
      <c r="B9" s="33">
        <v>150</v>
      </c>
      <c r="C9" s="33">
        <v>90</v>
      </c>
      <c r="D9" s="33">
        <v>60</v>
      </c>
      <c r="E9" s="33">
        <v>63</v>
      </c>
      <c r="F9" s="33">
        <v>87</v>
      </c>
      <c r="G9" s="33">
        <v>22</v>
      </c>
      <c r="H9" s="33" t="s">
        <v>2264</v>
      </c>
      <c r="I9" s="33" t="s">
        <v>2265</v>
      </c>
    </row>
    <row r="12" spans="1:9">
      <c r="A12" s="34" t="s">
        <v>2</v>
      </c>
      <c r="B12" s="34" t="s">
        <v>2266</v>
      </c>
      <c r="C12" s="34" t="s">
        <v>2267</v>
      </c>
      <c r="E12" s="24" t="s">
        <v>2268</v>
      </c>
      <c r="F12" s="24" t="s">
        <v>1179</v>
      </c>
      <c r="G12" s="24" t="s">
        <v>2269</v>
      </c>
    </row>
    <row r="13" spans="1:9">
      <c r="A13" s="11" t="s">
        <v>24</v>
      </c>
      <c r="B13" s="11">
        <v>15</v>
      </c>
      <c r="C13" s="11">
        <v>5</v>
      </c>
      <c r="E13" s="2" t="s">
        <v>2270</v>
      </c>
      <c r="F13" s="2">
        <v>6</v>
      </c>
      <c r="G13" s="2" t="s">
        <v>2271</v>
      </c>
    </row>
    <row r="14" spans="1:9">
      <c r="A14" s="11" t="s">
        <v>151</v>
      </c>
      <c r="B14" s="11">
        <v>20</v>
      </c>
      <c r="C14" s="11">
        <v>6</v>
      </c>
      <c r="E14" s="2" t="s">
        <v>2272</v>
      </c>
      <c r="F14" s="2">
        <v>6</v>
      </c>
      <c r="G14" s="2" t="s">
        <v>2273</v>
      </c>
    </row>
    <row r="15" spans="1:9">
      <c r="A15" s="11" t="s">
        <v>241</v>
      </c>
      <c r="B15" s="11">
        <v>3</v>
      </c>
      <c r="C15" s="11">
        <v>1</v>
      </c>
      <c r="E15" s="2" t="s">
        <v>2274</v>
      </c>
      <c r="F15" s="2">
        <v>138</v>
      </c>
      <c r="G15" s="2" t="s">
        <v>2275</v>
      </c>
    </row>
    <row r="16" spans="1:9">
      <c r="A16" s="11" t="s">
        <v>281</v>
      </c>
      <c r="B16" s="11">
        <v>8</v>
      </c>
      <c r="C16" s="11">
        <v>4</v>
      </c>
    </row>
    <row r="17" spans="1:3">
      <c r="A17" s="11" t="s">
        <v>355</v>
      </c>
      <c r="B17" s="11">
        <v>6</v>
      </c>
      <c r="C17" s="11">
        <v>4</v>
      </c>
    </row>
    <row r="18" spans="1:3">
      <c r="A18" s="11" t="s">
        <v>400</v>
      </c>
      <c r="B18" s="11">
        <v>6</v>
      </c>
      <c r="C18" s="11">
        <v>4</v>
      </c>
    </row>
    <row r="19" spans="1:3">
      <c r="A19" s="11" t="s">
        <v>436</v>
      </c>
      <c r="B19" s="11">
        <v>10</v>
      </c>
      <c r="C19" s="11">
        <v>6</v>
      </c>
    </row>
    <row r="20" spans="1:3">
      <c r="A20" s="11" t="s">
        <v>480</v>
      </c>
      <c r="B20" s="11">
        <v>9</v>
      </c>
      <c r="C20" s="11">
        <v>4</v>
      </c>
    </row>
    <row r="21" spans="1:3">
      <c r="A21" s="11" t="s">
        <v>559</v>
      </c>
      <c r="B21" s="11">
        <v>7</v>
      </c>
      <c r="C21" s="11">
        <v>6</v>
      </c>
    </row>
    <row r="22" spans="1:3">
      <c r="A22" s="11" t="s">
        <v>603</v>
      </c>
      <c r="B22" s="11">
        <v>7</v>
      </c>
      <c r="C22" s="11">
        <v>3</v>
      </c>
    </row>
    <row r="23" spans="1:3">
      <c r="A23" s="11" t="s">
        <v>643</v>
      </c>
      <c r="B23" s="11">
        <v>3</v>
      </c>
      <c r="C23" s="11">
        <v>3</v>
      </c>
    </row>
    <row r="24" spans="1:3">
      <c r="A24" s="11" t="s">
        <v>685</v>
      </c>
      <c r="B24" s="11">
        <v>5</v>
      </c>
      <c r="C24" s="11">
        <v>3</v>
      </c>
    </row>
    <row r="25" spans="1:3">
      <c r="A25" s="11" t="s">
        <v>714</v>
      </c>
      <c r="B25" s="11">
        <v>5</v>
      </c>
      <c r="C25" s="11">
        <v>4</v>
      </c>
    </row>
    <row r="26" spans="1:3">
      <c r="A26" s="11" t="s">
        <v>750</v>
      </c>
      <c r="B26" s="11">
        <v>10</v>
      </c>
      <c r="C26" s="11">
        <v>5</v>
      </c>
    </row>
    <row r="27" spans="1:3">
      <c r="A27" s="11" t="s">
        <v>819</v>
      </c>
      <c r="B27" s="11">
        <v>9</v>
      </c>
      <c r="C27" s="11">
        <v>4</v>
      </c>
    </row>
    <row r="28" spans="1:3">
      <c r="A28" s="11" t="s">
        <v>914</v>
      </c>
      <c r="B28" s="11">
        <v>6</v>
      </c>
      <c r="C28" s="11">
        <v>4</v>
      </c>
    </row>
    <row r="29" spans="1:3">
      <c r="A29" s="11" t="s">
        <v>958</v>
      </c>
      <c r="B29" s="11">
        <v>4</v>
      </c>
      <c r="C29" s="11">
        <v>4</v>
      </c>
    </row>
    <row r="30" spans="1:3">
      <c r="A30" s="11" t="s">
        <v>1008</v>
      </c>
      <c r="B30" s="11">
        <v>4</v>
      </c>
      <c r="C30" s="11">
        <v>4</v>
      </c>
    </row>
    <row r="31" spans="1:3">
      <c r="A31" s="11" t="s">
        <v>1048</v>
      </c>
      <c r="B31" s="11">
        <v>5</v>
      </c>
      <c r="C31" s="11">
        <v>4</v>
      </c>
    </row>
    <row r="32" spans="1:3">
      <c r="A32" s="11" t="s">
        <v>1087</v>
      </c>
      <c r="B32" s="11">
        <v>4</v>
      </c>
      <c r="C32" s="11">
        <v>3</v>
      </c>
    </row>
    <row r="33" spans="1:3">
      <c r="A33" s="11" t="s">
        <v>1120</v>
      </c>
      <c r="B33" s="11">
        <v>3</v>
      </c>
      <c r="C33" s="11">
        <v>3</v>
      </c>
    </row>
    <row r="34" spans="1:3">
      <c r="A34" s="11" t="s">
        <v>1154</v>
      </c>
      <c r="B34" s="11">
        <v>1</v>
      </c>
      <c r="C34" s="11">
        <v>1</v>
      </c>
    </row>
  </sheetData>
  <mergeCells count="1">
    <mergeCell ref="A1:I1"/>
  </mergeCells>
  <phoneticPr fontId="10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9"/>
  <sheetViews>
    <sheetView workbookViewId="0"/>
  </sheetViews>
  <sheetFormatPr defaultRowHeight="14"/>
  <cols>
    <col min="1" max="1" width="19" customWidth="1"/>
    <col min="2" max="2" width="28" customWidth="1"/>
    <col min="3" max="3" width="10" customWidth="1"/>
    <col min="4" max="4" width="11" customWidth="1"/>
    <col min="5" max="5" width="32" customWidth="1"/>
    <col min="6" max="7" width="16" customWidth="1"/>
    <col min="8" max="8" width="28" customWidth="1"/>
    <col min="9" max="9" width="30" customWidth="1"/>
    <col min="10" max="10" width="16" customWidth="1"/>
    <col min="11" max="11" width="48" customWidth="1"/>
    <col min="12" max="12" width="42" customWidth="1"/>
    <col min="13" max="13" width="38" customWidth="1"/>
    <col min="14" max="14" width="50" customWidth="1"/>
  </cols>
  <sheetData>
    <row r="1" spans="1:14" ht="18">
      <c r="A1" s="46" t="s">
        <v>2276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35"/>
    </row>
    <row r="2" spans="1:14">
      <c r="A2" s="36" t="s">
        <v>1225</v>
      </c>
      <c r="B2" s="36" t="s">
        <v>1242</v>
      </c>
      <c r="C2" s="36" t="s">
        <v>2</v>
      </c>
      <c r="D2" s="36" t="s">
        <v>3</v>
      </c>
      <c r="E2" s="36" t="s">
        <v>1226</v>
      </c>
      <c r="F2" s="36" t="s">
        <v>2277</v>
      </c>
      <c r="G2" s="36" t="s">
        <v>2278</v>
      </c>
      <c r="H2" s="36" t="s">
        <v>1236</v>
      </c>
      <c r="I2" s="36" t="s">
        <v>1249</v>
      </c>
      <c r="J2" s="36" t="s">
        <v>1223</v>
      </c>
      <c r="K2" s="36" t="s">
        <v>1247</v>
      </c>
      <c r="L2" s="36" t="s">
        <v>1248</v>
      </c>
      <c r="M2" s="36" t="s">
        <v>1251</v>
      </c>
      <c r="N2" s="36" t="s">
        <v>2279</v>
      </c>
    </row>
    <row r="3" spans="1:14" ht="56">
      <c r="A3" s="3" t="s">
        <v>1409</v>
      </c>
      <c r="B3" s="3" t="s">
        <v>1267</v>
      </c>
      <c r="C3" s="3" t="s">
        <v>914</v>
      </c>
      <c r="D3" s="3" t="s">
        <v>943</v>
      </c>
      <c r="E3" s="3" t="s">
        <v>1410</v>
      </c>
      <c r="F3" s="15">
        <v>22.000859999999999</v>
      </c>
      <c r="G3" s="15">
        <v>120.74478000000001</v>
      </c>
      <c r="H3" s="3" t="s">
        <v>1261</v>
      </c>
      <c r="I3" s="3" t="s">
        <v>1273</v>
      </c>
      <c r="J3" s="3" t="s">
        <v>29</v>
      </c>
      <c r="K3" s="5" t="s">
        <v>1413</v>
      </c>
      <c r="L3" s="5" t="s">
        <v>1414</v>
      </c>
      <c r="M3" s="3" t="s">
        <v>1275</v>
      </c>
      <c r="N3" s="3" t="s">
        <v>2280</v>
      </c>
    </row>
    <row r="4" spans="1:14" ht="56">
      <c r="A4" s="3" t="s">
        <v>1379</v>
      </c>
      <c r="B4" s="3" t="s">
        <v>1267</v>
      </c>
      <c r="C4" s="3" t="s">
        <v>559</v>
      </c>
      <c r="D4" s="3" t="s">
        <v>588</v>
      </c>
      <c r="E4" s="3" t="s">
        <v>1380</v>
      </c>
      <c r="F4" s="15">
        <v>24.055906</v>
      </c>
      <c r="G4" s="15">
        <v>120.43289</v>
      </c>
      <c r="H4" s="3" t="s">
        <v>1261</v>
      </c>
      <c r="I4" s="3" t="s">
        <v>1273</v>
      </c>
      <c r="J4" s="3" t="s">
        <v>29</v>
      </c>
      <c r="K4" s="5" t="s">
        <v>1383</v>
      </c>
      <c r="L4" s="5" t="s">
        <v>1384</v>
      </c>
      <c r="M4" s="3" t="s">
        <v>1275</v>
      </c>
      <c r="N4" s="3" t="s">
        <v>2280</v>
      </c>
    </row>
    <row r="5" spans="1:14" ht="56">
      <c r="A5" s="3" t="s">
        <v>1296</v>
      </c>
      <c r="B5" s="3" t="s">
        <v>1267</v>
      </c>
      <c r="C5" s="3" t="s">
        <v>151</v>
      </c>
      <c r="D5" s="3" t="s">
        <v>223</v>
      </c>
      <c r="E5" s="3" t="s">
        <v>1297</v>
      </c>
      <c r="F5" s="15">
        <v>24.934515999999999</v>
      </c>
      <c r="G5" s="15">
        <v>121.37029</v>
      </c>
      <c r="H5" s="3" t="s">
        <v>1261</v>
      </c>
      <c r="I5" s="3" t="s">
        <v>1273</v>
      </c>
      <c r="J5" s="3" t="s">
        <v>29</v>
      </c>
      <c r="K5" s="5" t="s">
        <v>1300</v>
      </c>
      <c r="L5" s="5" t="s">
        <v>1301</v>
      </c>
      <c r="M5" s="3" t="s">
        <v>1275</v>
      </c>
      <c r="N5" s="3" t="s">
        <v>2280</v>
      </c>
    </row>
    <row r="6" spans="1:14" ht="56">
      <c r="A6" s="3" t="s">
        <v>1282</v>
      </c>
      <c r="B6" s="3" t="s">
        <v>1267</v>
      </c>
      <c r="C6" s="3" t="s">
        <v>151</v>
      </c>
      <c r="D6" s="3" t="s">
        <v>1283</v>
      </c>
      <c r="E6" s="3" t="s">
        <v>1284</v>
      </c>
      <c r="F6" s="15">
        <v>25.109819000000002</v>
      </c>
      <c r="G6" s="15">
        <v>121.84341000000001</v>
      </c>
      <c r="H6" s="3" t="s">
        <v>1261</v>
      </c>
      <c r="I6" s="3" t="s">
        <v>1273</v>
      </c>
      <c r="J6" s="3" t="s">
        <v>29</v>
      </c>
      <c r="K6" s="5" t="s">
        <v>1287</v>
      </c>
      <c r="L6" s="5" t="s">
        <v>1288</v>
      </c>
      <c r="M6" s="3" t="s">
        <v>1275</v>
      </c>
      <c r="N6" s="3" t="s">
        <v>2280</v>
      </c>
    </row>
    <row r="7" spans="1:14" ht="56">
      <c r="A7" s="3" t="s">
        <v>1289</v>
      </c>
      <c r="B7" s="3" t="s">
        <v>1267</v>
      </c>
      <c r="C7" s="3" t="s">
        <v>151</v>
      </c>
      <c r="D7" s="3" t="s">
        <v>1290</v>
      </c>
      <c r="E7" s="3" t="s">
        <v>1291</v>
      </c>
      <c r="F7" s="15">
        <v>25.171037999999999</v>
      </c>
      <c r="G7" s="15">
        <v>121.43895000000001</v>
      </c>
      <c r="H7" s="3" t="s">
        <v>1261</v>
      </c>
      <c r="I7" s="3" t="s">
        <v>1273</v>
      </c>
      <c r="J7" s="3" t="s">
        <v>29</v>
      </c>
      <c r="K7" s="5" t="s">
        <v>1294</v>
      </c>
      <c r="L7" s="5" t="s">
        <v>1295</v>
      </c>
      <c r="M7" s="3" t="s">
        <v>1275</v>
      </c>
      <c r="N7" s="3" t="s">
        <v>2280</v>
      </c>
    </row>
    <row r="8" spans="1:14" ht="56">
      <c r="A8" s="3" t="s">
        <v>1336</v>
      </c>
      <c r="B8" s="3" t="s">
        <v>1267</v>
      </c>
      <c r="C8" s="3" t="s">
        <v>400</v>
      </c>
      <c r="D8" s="3" t="s">
        <v>1337</v>
      </c>
      <c r="E8" s="3" t="s">
        <v>1338</v>
      </c>
      <c r="F8" s="15">
        <v>24.699815999999998</v>
      </c>
      <c r="G8" s="15">
        <v>121.05722</v>
      </c>
      <c r="H8" s="3" t="s">
        <v>1261</v>
      </c>
      <c r="I8" s="3" t="s">
        <v>1273</v>
      </c>
      <c r="J8" s="3" t="s">
        <v>29</v>
      </c>
      <c r="K8" s="5" t="s">
        <v>1341</v>
      </c>
      <c r="L8" s="5" t="s">
        <v>1342</v>
      </c>
      <c r="M8" s="3" t="s">
        <v>1275</v>
      </c>
      <c r="N8" s="3" t="s">
        <v>2280</v>
      </c>
    </row>
    <row r="9" spans="1:14" ht="56">
      <c r="A9" s="3" t="s">
        <v>1317</v>
      </c>
      <c r="B9" s="3" t="s">
        <v>1267</v>
      </c>
      <c r="C9" s="3" t="s">
        <v>281</v>
      </c>
      <c r="D9" s="3" t="s">
        <v>1318</v>
      </c>
      <c r="E9" s="3" t="s">
        <v>1319</v>
      </c>
      <c r="F9" s="15">
        <v>24.885186000000001</v>
      </c>
      <c r="G9" s="15">
        <v>121.28747</v>
      </c>
      <c r="H9" s="3" t="s">
        <v>1261</v>
      </c>
      <c r="I9" s="3" t="s">
        <v>1273</v>
      </c>
      <c r="J9" s="3" t="s">
        <v>29</v>
      </c>
      <c r="K9" s="5" t="s">
        <v>1322</v>
      </c>
      <c r="L9" s="5" t="s">
        <v>1323</v>
      </c>
      <c r="M9" s="3" t="s">
        <v>1275</v>
      </c>
      <c r="N9" s="3" t="s">
        <v>2280</v>
      </c>
    </row>
    <row r="10" spans="1:14" ht="56">
      <c r="A10" s="3" t="s">
        <v>1415</v>
      </c>
      <c r="B10" s="3" t="s">
        <v>1267</v>
      </c>
      <c r="C10" s="3" t="s">
        <v>1087</v>
      </c>
      <c r="D10" s="3" t="s">
        <v>1088</v>
      </c>
      <c r="E10" s="3" t="s">
        <v>1416</v>
      </c>
      <c r="F10" s="15">
        <v>23.564864</v>
      </c>
      <c r="G10" s="15">
        <v>119.56487</v>
      </c>
      <c r="H10" s="3" t="s">
        <v>1261</v>
      </c>
      <c r="I10" s="3" t="s">
        <v>1273</v>
      </c>
      <c r="J10" s="3" t="s">
        <v>29</v>
      </c>
      <c r="K10" s="5" t="s">
        <v>1419</v>
      </c>
      <c r="L10" s="5" t="s">
        <v>1420</v>
      </c>
      <c r="M10" s="3" t="s">
        <v>1275</v>
      </c>
      <c r="N10" s="3" t="s">
        <v>2280</v>
      </c>
    </row>
    <row r="11" spans="1:14" ht="56">
      <c r="A11" s="3" t="s">
        <v>1276</v>
      </c>
      <c r="B11" s="3" t="s">
        <v>1267</v>
      </c>
      <c r="C11" s="3" t="s">
        <v>24</v>
      </c>
      <c r="D11" s="3" t="s">
        <v>89</v>
      </c>
      <c r="E11" s="3" t="s">
        <v>1277</v>
      </c>
      <c r="F11" s="15">
        <v>25.036837999999999</v>
      </c>
      <c r="G11" s="15">
        <v>121.50216</v>
      </c>
      <c r="H11" s="3" t="s">
        <v>1261</v>
      </c>
      <c r="I11" s="3" t="s">
        <v>1273</v>
      </c>
      <c r="J11" s="3" t="s">
        <v>29</v>
      </c>
      <c r="K11" s="5" t="s">
        <v>1280</v>
      </c>
      <c r="L11" s="5" t="s">
        <v>1281</v>
      </c>
      <c r="M11" s="3" t="s">
        <v>1275</v>
      </c>
      <c r="N11" s="3" t="s">
        <v>2280</v>
      </c>
    </row>
    <row r="12" spans="1:14" ht="70">
      <c r="A12" s="3" t="s">
        <v>1252</v>
      </c>
      <c r="B12" s="3" t="s">
        <v>1267</v>
      </c>
      <c r="C12" s="3" t="s">
        <v>24</v>
      </c>
      <c r="D12" s="3" t="s">
        <v>1253</v>
      </c>
      <c r="E12" s="3" t="s">
        <v>1255</v>
      </c>
      <c r="F12" s="15">
        <v>25.055104</v>
      </c>
      <c r="G12" s="15">
        <v>121.51003</v>
      </c>
      <c r="H12" s="3" t="s">
        <v>1261</v>
      </c>
      <c r="I12" s="3" t="s">
        <v>1273</v>
      </c>
      <c r="J12" s="3" t="s">
        <v>29</v>
      </c>
      <c r="K12" s="5" t="s">
        <v>1271</v>
      </c>
      <c r="L12" s="5" t="s">
        <v>1272</v>
      </c>
      <c r="M12" s="3" t="s">
        <v>1275</v>
      </c>
      <c r="N12" s="3" t="s">
        <v>2280</v>
      </c>
    </row>
    <row r="13" spans="1:14" ht="70">
      <c r="A13" s="3" t="s">
        <v>1397</v>
      </c>
      <c r="B13" s="3" t="s">
        <v>1267</v>
      </c>
      <c r="C13" s="3" t="s">
        <v>750</v>
      </c>
      <c r="D13" s="3" t="s">
        <v>765</v>
      </c>
      <c r="E13" s="3" t="s">
        <v>1398</v>
      </c>
      <c r="F13" s="15">
        <v>23.001508999999999</v>
      </c>
      <c r="G13" s="15">
        <v>120.16061999999999</v>
      </c>
      <c r="H13" s="3" t="s">
        <v>1261</v>
      </c>
      <c r="I13" s="3" t="s">
        <v>1273</v>
      </c>
      <c r="J13" s="3" t="s">
        <v>29</v>
      </c>
      <c r="K13" s="5" t="s">
        <v>1401</v>
      </c>
      <c r="L13" s="5" t="s">
        <v>1402</v>
      </c>
      <c r="M13" s="3" t="s">
        <v>1275</v>
      </c>
      <c r="N13" s="3" t="s">
        <v>2280</v>
      </c>
    </row>
    <row r="14" spans="1:14" ht="56">
      <c r="A14" s="3" t="s">
        <v>1365</v>
      </c>
      <c r="B14" s="3" t="s">
        <v>1267</v>
      </c>
      <c r="C14" s="3" t="s">
        <v>436</v>
      </c>
      <c r="D14" s="3" t="s">
        <v>1366</v>
      </c>
      <c r="E14" s="3" t="s">
        <v>1367</v>
      </c>
      <c r="F14" s="15">
        <v>24.599318</v>
      </c>
      <c r="G14" s="15">
        <v>120.99928</v>
      </c>
      <c r="H14" s="3" t="s">
        <v>1261</v>
      </c>
      <c r="I14" s="3" t="s">
        <v>1273</v>
      </c>
      <c r="J14" s="3" t="s">
        <v>29</v>
      </c>
      <c r="K14" s="5" t="s">
        <v>1370</v>
      </c>
      <c r="L14" s="5" t="s">
        <v>1371</v>
      </c>
      <c r="M14" s="3" t="s">
        <v>1275</v>
      </c>
      <c r="N14" s="3" t="s">
        <v>2280</v>
      </c>
    </row>
    <row r="15" spans="1:14" ht="56">
      <c r="A15" s="3" t="s">
        <v>1427</v>
      </c>
      <c r="B15" s="3" t="s">
        <v>1267</v>
      </c>
      <c r="C15" s="3" t="s">
        <v>1154</v>
      </c>
      <c r="D15" s="3" t="s">
        <v>1155</v>
      </c>
      <c r="E15" s="3" t="s">
        <v>1428</v>
      </c>
      <c r="F15" s="15">
        <v>26.224782000000001</v>
      </c>
      <c r="G15" s="15">
        <v>119.98366</v>
      </c>
      <c r="H15" s="3" t="s">
        <v>1261</v>
      </c>
      <c r="I15" s="3" t="s">
        <v>1273</v>
      </c>
      <c r="J15" s="3" t="s">
        <v>29</v>
      </c>
      <c r="K15" s="5" t="s">
        <v>1431</v>
      </c>
      <c r="L15" s="5" t="s">
        <v>1432</v>
      </c>
      <c r="M15" s="3" t="s">
        <v>1275</v>
      </c>
      <c r="N15" s="3" t="s">
        <v>2280</v>
      </c>
    </row>
    <row r="16" spans="1:14" ht="70">
      <c r="A16" s="3" t="s">
        <v>1421</v>
      </c>
      <c r="B16" s="3" t="s">
        <v>1267</v>
      </c>
      <c r="C16" s="3" t="s">
        <v>1120</v>
      </c>
      <c r="D16" s="3" t="s">
        <v>1121</v>
      </c>
      <c r="E16" s="3" t="s">
        <v>1422</v>
      </c>
      <c r="F16" s="15">
        <v>24.433119000000001</v>
      </c>
      <c r="G16" s="15">
        <v>118.32016</v>
      </c>
      <c r="H16" s="3" t="s">
        <v>1261</v>
      </c>
      <c r="I16" s="3" t="s">
        <v>1273</v>
      </c>
      <c r="J16" s="3" t="s">
        <v>29</v>
      </c>
      <c r="K16" s="5" t="s">
        <v>1425</v>
      </c>
      <c r="L16" s="5" t="s">
        <v>1426</v>
      </c>
      <c r="M16" s="3" t="s">
        <v>1275</v>
      </c>
      <c r="N16" s="3" t="s">
        <v>2280</v>
      </c>
    </row>
    <row r="17" spans="1:14" ht="70">
      <c r="A17" s="3" t="s">
        <v>1554</v>
      </c>
      <c r="B17" s="3" t="s">
        <v>1441</v>
      </c>
      <c r="C17" s="3" t="s">
        <v>685</v>
      </c>
      <c r="D17" s="3" t="s">
        <v>523</v>
      </c>
      <c r="E17" s="3" t="s">
        <v>1555</v>
      </c>
      <c r="F17" s="15">
        <v>23.479118</v>
      </c>
      <c r="G17" s="15">
        <v>120.44113</v>
      </c>
      <c r="H17" s="3" t="s">
        <v>1261</v>
      </c>
      <c r="I17" s="3" t="s">
        <v>1462</v>
      </c>
      <c r="J17" s="3" t="s">
        <v>29</v>
      </c>
      <c r="K17" s="5" t="s">
        <v>1558</v>
      </c>
      <c r="L17" s="5" t="s">
        <v>1559</v>
      </c>
      <c r="M17" s="3" t="s">
        <v>1275</v>
      </c>
      <c r="N17" s="3" t="s">
        <v>2280</v>
      </c>
    </row>
    <row r="18" spans="1:14" ht="84">
      <c r="A18" s="3" t="s">
        <v>1560</v>
      </c>
      <c r="B18" s="3" t="s">
        <v>1441</v>
      </c>
      <c r="C18" s="3" t="s">
        <v>685</v>
      </c>
      <c r="D18" s="3" t="s">
        <v>356</v>
      </c>
      <c r="E18" s="3" t="s">
        <v>1561</v>
      </c>
      <c r="F18" s="15">
        <v>23.486342</v>
      </c>
      <c r="G18" s="15">
        <v>120.45126</v>
      </c>
      <c r="H18" s="3" t="s">
        <v>1261</v>
      </c>
      <c r="I18" s="3" t="s">
        <v>1462</v>
      </c>
      <c r="J18" s="3" t="s">
        <v>29</v>
      </c>
      <c r="K18" s="5" t="s">
        <v>1564</v>
      </c>
      <c r="L18" s="5" t="s">
        <v>1565</v>
      </c>
      <c r="M18" s="3" t="s">
        <v>1275</v>
      </c>
      <c r="N18" s="3" t="s">
        <v>2280</v>
      </c>
    </row>
    <row r="19" spans="1:14" ht="84">
      <c r="A19" s="3" t="s">
        <v>1705</v>
      </c>
      <c r="B19" s="3" t="s">
        <v>1611</v>
      </c>
      <c r="C19" s="3" t="s">
        <v>714</v>
      </c>
      <c r="D19" s="3" t="s">
        <v>735</v>
      </c>
      <c r="E19" s="3" t="s">
        <v>1706</v>
      </c>
      <c r="F19" s="15">
        <v>23.448865000000001</v>
      </c>
      <c r="G19" s="15">
        <v>120.13533</v>
      </c>
      <c r="H19" s="3" t="s">
        <v>1261</v>
      </c>
      <c r="I19" s="3" t="s">
        <v>1615</v>
      </c>
      <c r="J19" s="3" t="s">
        <v>29</v>
      </c>
      <c r="K19" s="5" t="s">
        <v>1709</v>
      </c>
      <c r="L19" s="5" t="s">
        <v>1710</v>
      </c>
      <c r="M19" s="3" t="s">
        <v>1711</v>
      </c>
      <c r="N19" s="3" t="s">
        <v>2280</v>
      </c>
    </row>
    <row r="20" spans="1:14" ht="56">
      <c r="A20" s="3" t="s">
        <v>1648</v>
      </c>
      <c r="B20" s="3" t="s">
        <v>1611</v>
      </c>
      <c r="C20" s="3" t="s">
        <v>241</v>
      </c>
      <c r="D20" s="3" t="s">
        <v>1649</v>
      </c>
      <c r="E20" s="3" t="s">
        <v>1650</v>
      </c>
      <c r="F20" s="15">
        <v>25.131022000000002</v>
      </c>
      <c r="G20" s="15">
        <v>121.74133999999999</v>
      </c>
      <c r="H20" s="3" t="s">
        <v>1261</v>
      </c>
      <c r="I20" s="3" t="s">
        <v>1615</v>
      </c>
      <c r="J20" s="3" t="s">
        <v>29</v>
      </c>
      <c r="K20" s="5" t="s">
        <v>1653</v>
      </c>
      <c r="L20" s="5" t="s">
        <v>1654</v>
      </c>
      <c r="M20" s="3" t="s">
        <v>1275</v>
      </c>
      <c r="N20" s="3" t="s">
        <v>2280</v>
      </c>
    </row>
    <row r="21" spans="1:14" ht="56">
      <c r="A21" s="3" t="s">
        <v>1743</v>
      </c>
      <c r="B21" s="3" t="s">
        <v>1611</v>
      </c>
      <c r="C21" s="3" t="s">
        <v>958</v>
      </c>
      <c r="D21" s="3" t="s">
        <v>994</v>
      </c>
      <c r="E21" s="3" t="s">
        <v>1744</v>
      </c>
      <c r="F21" s="15">
        <v>24.584472000000002</v>
      </c>
      <c r="G21" s="15">
        <v>121.86452</v>
      </c>
      <c r="H21" s="3" t="s">
        <v>1261</v>
      </c>
      <c r="I21" s="3" t="s">
        <v>1615</v>
      </c>
      <c r="J21" s="3" t="s">
        <v>29</v>
      </c>
      <c r="K21" s="5" t="s">
        <v>1747</v>
      </c>
      <c r="L21" s="5" t="s">
        <v>1748</v>
      </c>
      <c r="M21" s="3" t="s">
        <v>1275</v>
      </c>
      <c r="N21" s="3" t="s">
        <v>2280</v>
      </c>
    </row>
    <row r="22" spans="1:14" ht="70">
      <c r="A22" s="3" t="s">
        <v>1737</v>
      </c>
      <c r="B22" s="3" t="s">
        <v>1611</v>
      </c>
      <c r="C22" s="3" t="s">
        <v>914</v>
      </c>
      <c r="D22" s="3" t="s">
        <v>938</v>
      </c>
      <c r="E22" s="3" t="s">
        <v>1738</v>
      </c>
      <c r="F22" s="15">
        <v>22.468088999999999</v>
      </c>
      <c r="G22" s="15">
        <v>120.44332</v>
      </c>
      <c r="H22" s="3" t="s">
        <v>1261</v>
      </c>
      <c r="I22" s="3" t="s">
        <v>1615</v>
      </c>
      <c r="J22" s="3" t="s">
        <v>29</v>
      </c>
      <c r="K22" s="5" t="s">
        <v>1741</v>
      </c>
      <c r="L22" s="5" t="s">
        <v>1742</v>
      </c>
      <c r="M22" s="3" t="s">
        <v>1275</v>
      </c>
      <c r="N22" s="3" t="s">
        <v>2280</v>
      </c>
    </row>
    <row r="23" spans="1:14" ht="84">
      <c r="A23" s="3" t="s">
        <v>1698</v>
      </c>
      <c r="B23" s="3" t="s">
        <v>1611</v>
      </c>
      <c r="C23" s="3" t="s">
        <v>559</v>
      </c>
      <c r="D23" s="3" t="s">
        <v>1699</v>
      </c>
      <c r="E23" s="3" t="s">
        <v>1700</v>
      </c>
      <c r="F23" s="15">
        <v>23.969635</v>
      </c>
      <c r="G23" s="15">
        <v>120.32644000000001</v>
      </c>
      <c r="H23" s="3" t="s">
        <v>1261</v>
      </c>
      <c r="I23" s="3" t="s">
        <v>1615</v>
      </c>
      <c r="J23" s="3" t="s">
        <v>29</v>
      </c>
      <c r="K23" s="5" t="s">
        <v>1703</v>
      </c>
      <c r="L23" s="5" t="s">
        <v>1704</v>
      </c>
      <c r="M23" s="3" t="s">
        <v>1275</v>
      </c>
      <c r="N23" s="3" t="s">
        <v>2280</v>
      </c>
    </row>
    <row r="24" spans="1:14" ht="56">
      <c r="A24" s="3" t="s">
        <v>1634</v>
      </c>
      <c r="B24" s="3" t="s">
        <v>1611</v>
      </c>
      <c r="C24" s="3" t="s">
        <v>151</v>
      </c>
      <c r="D24" s="3" t="s">
        <v>209</v>
      </c>
      <c r="E24" s="3" t="s">
        <v>1635</v>
      </c>
      <c r="F24" s="15">
        <v>25.160844999999998</v>
      </c>
      <c r="G24" s="15">
        <v>121.43003</v>
      </c>
      <c r="H24" s="3" t="s">
        <v>1261</v>
      </c>
      <c r="I24" s="3" t="s">
        <v>1615</v>
      </c>
      <c r="J24" s="3" t="s">
        <v>29</v>
      </c>
      <c r="K24" s="5" t="s">
        <v>1638</v>
      </c>
      <c r="L24" s="5" t="s">
        <v>1639</v>
      </c>
      <c r="M24" s="3" t="s">
        <v>1640</v>
      </c>
      <c r="N24" s="3" t="s">
        <v>2280</v>
      </c>
    </row>
    <row r="25" spans="1:14" ht="70">
      <c r="A25" s="3" t="s">
        <v>1622</v>
      </c>
      <c r="B25" s="3" t="s">
        <v>1611</v>
      </c>
      <c r="C25" s="3" t="s">
        <v>151</v>
      </c>
      <c r="D25" s="3" t="s">
        <v>1290</v>
      </c>
      <c r="E25" s="3" t="s">
        <v>1623</v>
      </c>
      <c r="F25" s="15">
        <v>25.183008999999998</v>
      </c>
      <c r="G25" s="15">
        <v>121.4121</v>
      </c>
      <c r="H25" s="3" t="s">
        <v>1261</v>
      </c>
      <c r="I25" s="3" t="s">
        <v>1615</v>
      </c>
      <c r="J25" s="3" t="s">
        <v>29</v>
      </c>
      <c r="K25" s="5" t="s">
        <v>1626</v>
      </c>
      <c r="L25" s="5" t="s">
        <v>1627</v>
      </c>
      <c r="M25" s="3" t="s">
        <v>1275</v>
      </c>
      <c r="N25" s="3" t="s">
        <v>2280</v>
      </c>
    </row>
    <row r="26" spans="1:14" ht="70">
      <c r="A26" s="3" t="s">
        <v>1680</v>
      </c>
      <c r="B26" s="3" t="s">
        <v>1611</v>
      </c>
      <c r="C26" s="3" t="s">
        <v>355</v>
      </c>
      <c r="D26" s="3" t="s">
        <v>366</v>
      </c>
      <c r="E26" s="3" t="s">
        <v>1681</v>
      </c>
      <c r="F26" s="15">
        <v>24.846239000000001</v>
      </c>
      <c r="G26" s="15">
        <v>120.92589</v>
      </c>
      <c r="H26" s="3" t="s">
        <v>1261</v>
      </c>
      <c r="I26" s="3" t="s">
        <v>1615</v>
      </c>
      <c r="J26" s="3" t="s">
        <v>29</v>
      </c>
      <c r="K26" s="5" t="s">
        <v>1684</v>
      </c>
      <c r="L26" s="5" t="s">
        <v>1685</v>
      </c>
      <c r="M26" s="3" t="s">
        <v>1275</v>
      </c>
      <c r="N26" s="3" t="s">
        <v>2280</v>
      </c>
    </row>
    <row r="27" spans="1:14" ht="56">
      <c r="A27" s="3" t="s">
        <v>1673</v>
      </c>
      <c r="B27" s="3" t="s">
        <v>1611</v>
      </c>
      <c r="C27" s="3" t="s">
        <v>281</v>
      </c>
      <c r="D27" s="3" t="s">
        <v>1674</v>
      </c>
      <c r="E27" s="3" t="s">
        <v>1675</v>
      </c>
      <c r="F27" s="15">
        <v>24.987943000000001</v>
      </c>
      <c r="G27" s="15">
        <v>121.01492</v>
      </c>
      <c r="H27" s="3" t="s">
        <v>1261</v>
      </c>
      <c r="I27" s="3" t="s">
        <v>1615</v>
      </c>
      <c r="J27" s="3" t="s">
        <v>29</v>
      </c>
      <c r="K27" s="5" t="s">
        <v>1678</v>
      </c>
      <c r="L27" s="5" t="s">
        <v>1679</v>
      </c>
      <c r="M27" s="3" t="s">
        <v>1275</v>
      </c>
      <c r="N27" s="3" t="s">
        <v>2280</v>
      </c>
    </row>
    <row r="28" spans="1:14" ht="56">
      <c r="A28" s="3" t="s">
        <v>1667</v>
      </c>
      <c r="B28" s="3" t="s">
        <v>1611</v>
      </c>
      <c r="C28" s="3" t="s">
        <v>281</v>
      </c>
      <c r="D28" s="3" t="s">
        <v>293</v>
      </c>
      <c r="E28" s="3" t="s">
        <v>1668</v>
      </c>
      <c r="F28" s="15">
        <v>25.116855000000001</v>
      </c>
      <c r="G28" s="15">
        <v>121.24415</v>
      </c>
      <c r="H28" s="3" t="s">
        <v>1261</v>
      </c>
      <c r="I28" s="3" t="s">
        <v>1615</v>
      </c>
      <c r="J28" s="3" t="s">
        <v>29</v>
      </c>
      <c r="K28" s="5" t="s">
        <v>1671</v>
      </c>
      <c r="L28" s="5" t="s">
        <v>1672</v>
      </c>
      <c r="M28" s="3" t="s">
        <v>1275</v>
      </c>
      <c r="N28" s="3" t="s">
        <v>2280</v>
      </c>
    </row>
    <row r="29" spans="1:14" ht="70">
      <c r="A29" s="3" t="s">
        <v>1760</v>
      </c>
      <c r="B29" s="3" t="s">
        <v>1611</v>
      </c>
      <c r="C29" s="3" t="s">
        <v>1087</v>
      </c>
      <c r="D29" s="3" t="s">
        <v>1088</v>
      </c>
      <c r="E29" s="3" t="s">
        <v>1089</v>
      </c>
      <c r="F29" s="15">
        <v>23.567592000000001</v>
      </c>
      <c r="G29" s="15">
        <v>119.56206</v>
      </c>
      <c r="H29" s="3" t="s">
        <v>1261</v>
      </c>
      <c r="I29" s="3" t="s">
        <v>1615</v>
      </c>
      <c r="J29" s="3" t="s">
        <v>29</v>
      </c>
      <c r="K29" s="5" t="s">
        <v>1091</v>
      </c>
      <c r="L29" s="5" t="s">
        <v>1763</v>
      </c>
      <c r="M29" s="3" t="s">
        <v>1764</v>
      </c>
      <c r="N29" s="3" t="s">
        <v>2280</v>
      </c>
    </row>
    <row r="30" spans="1:14" ht="70">
      <c r="A30" s="3" t="s">
        <v>1692</v>
      </c>
      <c r="B30" s="3" t="s">
        <v>1611</v>
      </c>
      <c r="C30" s="3" t="s">
        <v>480</v>
      </c>
      <c r="D30" s="3" t="s">
        <v>535</v>
      </c>
      <c r="E30" s="3" t="s">
        <v>1693</v>
      </c>
      <c r="F30" s="15">
        <v>24.293410000000002</v>
      </c>
      <c r="G30" s="15">
        <v>120.52122</v>
      </c>
      <c r="H30" s="3" t="s">
        <v>1261</v>
      </c>
      <c r="I30" s="3" t="s">
        <v>1615</v>
      </c>
      <c r="J30" s="3" t="s">
        <v>29</v>
      </c>
      <c r="K30" s="5" t="s">
        <v>1696</v>
      </c>
      <c r="L30" s="5" t="s">
        <v>1697</v>
      </c>
      <c r="M30" s="3" t="s">
        <v>1275</v>
      </c>
      <c r="N30" s="3" t="s">
        <v>2280</v>
      </c>
    </row>
    <row r="31" spans="1:14" ht="56">
      <c r="A31" s="3" t="s">
        <v>1604</v>
      </c>
      <c r="B31" s="3" t="s">
        <v>1611</v>
      </c>
      <c r="C31" s="3" t="s">
        <v>24</v>
      </c>
      <c r="D31" s="3" t="s">
        <v>1253</v>
      </c>
      <c r="E31" s="3" t="s">
        <v>1606</v>
      </c>
      <c r="F31" s="15">
        <v>25.056615000000001</v>
      </c>
      <c r="G31" s="15">
        <v>121.50714000000001</v>
      </c>
      <c r="H31" s="3" t="s">
        <v>1261</v>
      </c>
      <c r="I31" s="3" t="s">
        <v>1615</v>
      </c>
      <c r="J31" s="3" t="s">
        <v>29</v>
      </c>
      <c r="K31" s="5" t="s">
        <v>1613</v>
      </c>
      <c r="L31" s="5" t="s">
        <v>1614</v>
      </c>
      <c r="M31" s="3" t="s">
        <v>1275</v>
      </c>
      <c r="N31" s="3" t="s">
        <v>2280</v>
      </c>
    </row>
    <row r="32" spans="1:14" ht="56">
      <c r="A32" s="3" t="s">
        <v>1724</v>
      </c>
      <c r="B32" s="3" t="s">
        <v>1611</v>
      </c>
      <c r="C32" s="3" t="s">
        <v>819</v>
      </c>
      <c r="D32" s="3" t="s">
        <v>1725</v>
      </c>
      <c r="E32" s="3" t="s">
        <v>1726</v>
      </c>
      <c r="F32" s="15">
        <v>22.624860000000002</v>
      </c>
      <c r="G32" s="15">
        <v>120.28912</v>
      </c>
      <c r="H32" s="3" t="s">
        <v>1261</v>
      </c>
      <c r="I32" s="3" t="s">
        <v>1615</v>
      </c>
      <c r="J32" s="3" t="s">
        <v>29</v>
      </c>
      <c r="K32" s="5" t="s">
        <v>1729</v>
      </c>
      <c r="L32" s="5" t="s">
        <v>1730</v>
      </c>
      <c r="M32" s="3" t="s">
        <v>1275</v>
      </c>
      <c r="N32" s="3" t="s">
        <v>2280</v>
      </c>
    </row>
    <row r="33" spans="1:14" ht="56">
      <c r="A33" s="3" t="s">
        <v>1731</v>
      </c>
      <c r="B33" s="3" t="s">
        <v>1611</v>
      </c>
      <c r="C33" s="3" t="s">
        <v>819</v>
      </c>
      <c r="D33" s="3" t="s">
        <v>825</v>
      </c>
      <c r="E33" s="3" t="s">
        <v>1732</v>
      </c>
      <c r="F33" s="15">
        <v>22.599017</v>
      </c>
      <c r="G33" s="15">
        <v>120.28843000000001</v>
      </c>
      <c r="H33" s="3" t="s">
        <v>1261</v>
      </c>
      <c r="I33" s="3" t="s">
        <v>1615</v>
      </c>
      <c r="J33" s="3" t="s">
        <v>29</v>
      </c>
      <c r="K33" s="5" t="s">
        <v>1735</v>
      </c>
      <c r="L33" s="5" t="s">
        <v>1736</v>
      </c>
      <c r="M33" s="3" t="s">
        <v>1275</v>
      </c>
      <c r="N33" s="3" t="s">
        <v>2280</v>
      </c>
    </row>
    <row r="34" spans="1:14" ht="56">
      <c r="A34" s="3" t="s">
        <v>1895</v>
      </c>
      <c r="B34" s="3" t="s">
        <v>1773</v>
      </c>
      <c r="C34" s="3" t="s">
        <v>914</v>
      </c>
      <c r="D34" s="3" t="s">
        <v>1896</v>
      </c>
      <c r="E34" s="3" t="s">
        <v>1897</v>
      </c>
      <c r="F34" s="15">
        <v>22.701433000000002</v>
      </c>
      <c r="G34" s="15">
        <v>120.64645</v>
      </c>
      <c r="H34" s="3" t="s">
        <v>1261</v>
      </c>
      <c r="I34" s="3" t="s">
        <v>1815</v>
      </c>
      <c r="J34" s="3" t="s">
        <v>29</v>
      </c>
      <c r="K34" s="5" t="s">
        <v>1900</v>
      </c>
      <c r="L34" s="5" t="s">
        <v>1901</v>
      </c>
      <c r="M34" s="3" t="s">
        <v>1275</v>
      </c>
      <c r="N34" s="3" t="s">
        <v>2280</v>
      </c>
    </row>
    <row r="35" spans="1:14" ht="70">
      <c r="A35" s="3" t="s">
        <v>1912</v>
      </c>
      <c r="B35" s="3" t="s">
        <v>1773</v>
      </c>
      <c r="C35" s="3" t="s">
        <v>1087</v>
      </c>
      <c r="D35" s="3" t="s">
        <v>1913</v>
      </c>
      <c r="E35" s="3" t="s">
        <v>1914</v>
      </c>
      <c r="F35" s="15">
        <v>23.605174000000002</v>
      </c>
      <c r="G35" s="15">
        <v>119.51961</v>
      </c>
      <c r="H35" s="3" t="s">
        <v>1261</v>
      </c>
      <c r="I35" s="3" t="s">
        <v>1815</v>
      </c>
      <c r="J35" s="3" t="s">
        <v>29</v>
      </c>
      <c r="K35" s="5" t="s">
        <v>1917</v>
      </c>
      <c r="L35" s="5" t="s">
        <v>1918</v>
      </c>
      <c r="M35" s="3" t="s">
        <v>1275</v>
      </c>
      <c r="N35" s="3" t="s">
        <v>2280</v>
      </c>
    </row>
    <row r="36" spans="1:14" ht="84">
      <c r="A36" s="3" t="s">
        <v>1919</v>
      </c>
      <c r="B36" s="3" t="s">
        <v>1773</v>
      </c>
      <c r="C36" s="3" t="s">
        <v>1087</v>
      </c>
      <c r="D36" s="3" t="s">
        <v>1088</v>
      </c>
      <c r="E36" s="3" t="s">
        <v>1920</v>
      </c>
      <c r="F36" s="15">
        <v>23.563853999999999</v>
      </c>
      <c r="G36" s="15">
        <v>119.56094</v>
      </c>
      <c r="H36" s="3" t="s">
        <v>1261</v>
      </c>
      <c r="I36" s="3" t="s">
        <v>1815</v>
      </c>
      <c r="J36" s="3" t="s">
        <v>29</v>
      </c>
      <c r="K36" s="5" t="s">
        <v>1923</v>
      </c>
      <c r="L36" s="5" t="s">
        <v>1924</v>
      </c>
      <c r="M36" s="3" t="s">
        <v>1275</v>
      </c>
      <c r="N36" s="3" t="s">
        <v>2280</v>
      </c>
    </row>
    <row r="37" spans="1:14" ht="98">
      <c r="A37" s="3" t="s">
        <v>1882</v>
      </c>
      <c r="B37" s="3" t="s">
        <v>1773</v>
      </c>
      <c r="C37" s="3" t="s">
        <v>819</v>
      </c>
      <c r="D37" s="3" t="s">
        <v>848</v>
      </c>
      <c r="E37" s="3" t="s">
        <v>1883</v>
      </c>
      <c r="F37" s="15">
        <v>22.692489999999999</v>
      </c>
      <c r="G37" s="15">
        <v>120.289</v>
      </c>
      <c r="H37" s="3" t="s">
        <v>1261</v>
      </c>
      <c r="I37" s="3" t="s">
        <v>1815</v>
      </c>
      <c r="J37" s="3" t="s">
        <v>29</v>
      </c>
      <c r="K37" s="5" t="s">
        <v>1886</v>
      </c>
      <c r="L37" s="5" t="s">
        <v>1887</v>
      </c>
      <c r="M37" s="3" t="s">
        <v>1275</v>
      </c>
      <c r="N37" s="3" t="s">
        <v>2280</v>
      </c>
    </row>
    <row r="38" spans="1:14" ht="70">
      <c r="A38" s="3" t="s">
        <v>2014</v>
      </c>
      <c r="B38" s="3" t="s">
        <v>1939</v>
      </c>
      <c r="C38" s="3" t="s">
        <v>603</v>
      </c>
      <c r="D38" s="3" t="s">
        <v>2015</v>
      </c>
      <c r="E38" s="3" t="s">
        <v>2016</v>
      </c>
      <c r="F38" s="15">
        <v>23.852933</v>
      </c>
      <c r="G38" s="15">
        <v>120.90173</v>
      </c>
      <c r="H38" s="3" t="s">
        <v>1261</v>
      </c>
      <c r="I38" s="3" t="s">
        <v>1944</v>
      </c>
      <c r="J38" s="3" t="s">
        <v>29</v>
      </c>
      <c r="K38" s="5" t="s">
        <v>2019</v>
      </c>
      <c r="L38" s="5" t="s">
        <v>2020</v>
      </c>
      <c r="M38" s="3" t="s">
        <v>1275</v>
      </c>
      <c r="N38" s="3" t="s">
        <v>2280</v>
      </c>
    </row>
    <row r="39" spans="1:14" ht="70">
      <c r="A39" s="3" t="s">
        <v>2021</v>
      </c>
      <c r="B39" s="3" t="s">
        <v>1939</v>
      </c>
      <c r="C39" s="3" t="s">
        <v>603</v>
      </c>
      <c r="D39" s="3" t="s">
        <v>2015</v>
      </c>
      <c r="E39" s="3" t="s">
        <v>2022</v>
      </c>
      <c r="F39" s="15">
        <v>23.862238999999999</v>
      </c>
      <c r="G39" s="15">
        <v>120.90869000000001</v>
      </c>
      <c r="H39" s="3" t="s">
        <v>1261</v>
      </c>
      <c r="I39" s="3" t="s">
        <v>1944</v>
      </c>
      <c r="J39" s="3" t="s">
        <v>29</v>
      </c>
      <c r="K39" s="5" t="s">
        <v>2025</v>
      </c>
      <c r="L39" s="5" t="s">
        <v>2026</v>
      </c>
      <c r="M39" s="3" t="s">
        <v>1275</v>
      </c>
      <c r="N39" s="3" t="s">
        <v>2280</v>
      </c>
    </row>
    <row r="40" spans="1:14" ht="70">
      <c r="A40" s="3" t="s">
        <v>2064</v>
      </c>
      <c r="B40" s="3" t="s">
        <v>1939</v>
      </c>
      <c r="C40" s="3" t="s">
        <v>958</v>
      </c>
      <c r="D40" s="3" t="s">
        <v>2065</v>
      </c>
      <c r="E40" s="3" t="s">
        <v>986</v>
      </c>
      <c r="F40" s="15">
        <v>24.672993000000002</v>
      </c>
      <c r="G40" s="15">
        <v>121.81581</v>
      </c>
      <c r="H40" s="3" t="s">
        <v>1261</v>
      </c>
      <c r="I40" s="3" t="s">
        <v>1944</v>
      </c>
      <c r="J40" s="3" t="s">
        <v>29</v>
      </c>
      <c r="K40" s="5" t="s">
        <v>2068</v>
      </c>
      <c r="L40" s="5" t="s">
        <v>2069</v>
      </c>
      <c r="M40" s="3" t="s">
        <v>1764</v>
      </c>
      <c r="N40" s="3" t="s">
        <v>2280</v>
      </c>
    </row>
    <row r="41" spans="1:14" ht="70">
      <c r="A41" s="3" t="s">
        <v>2007</v>
      </c>
      <c r="B41" s="3" t="s">
        <v>1939</v>
      </c>
      <c r="C41" s="3" t="s">
        <v>559</v>
      </c>
      <c r="D41" s="3" t="s">
        <v>2008</v>
      </c>
      <c r="E41" s="3" t="s">
        <v>2009</v>
      </c>
      <c r="F41" s="15">
        <v>23.814388000000001</v>
      </c>
      <c r="G41" s="15">
        <v>120.61744</v>
      </c>
      <c r="H41" s="3" t="s">
        <v>1261</v>
      </c>
      <c r="I41" s="3" t="s">
        <v>1944</v>
      </c>
      <c r="J41" s="3" t="s">
        <v>29</v>
      </c>
      <c r="K41" s="5" t="s">
        <v>2012</v>
      </c>
      <c r="L41" s="5" t="s">
        <v>2013</v>
      </c>
      <c r="M41" s="3" t="s">
        <v>1275</v>
      </c>
      <c r="N41" s="3" t="s">
        <v>2280</v>
      </c>
    </row>
    <row r="42" spans="1:14" ht="56">
      <c r="A42" s="3" t="s">
        <v>1977</v>
      </c>
      <c r="B42" s="3" t="s">
        <v>1939</v>
      </c>
      <c r="C42" s="3" t="s">
        <v>355</v>
      </c>
      <c r="D42" s="3" t="s">
        <v>356</v>
      </c>
      <c r="E42" s="3" t="s">
        <v>1978</v>
      </c>
      <c r="F42" s="15">
        <v>24.792534</v>
      </c>
      <c r="G42" s="15">
        <v>120.98459</v>
      </c>
      <c r="H42" s="3" t="s">
        <v>1261</v>
      </c>
      <c r="I42" s="3" t="s">
        <v>1944</v>
      </c>
      <c r="J42" s="3" t="s">
        <v>29</v>
      </c>
      <c r="K42" s="5" t="s">
        <v>1981</v>
      </c>
      <c r="L42" s="5" t="s">
        <v>1982</v>
      </c>
      <c r="M42" s="3" t="s">
        <v>1983</v>
      </c>
      <c r="N42" s="3" t="s">
        <v>2280</v>
      </c>
    </row>
    <row r="43" spans="1:14" ht="70">
      <c r="A43" s="3" t="s">
        <v>1958</v>
      </c>
      <c r="B43" s="3" t="s">
        <v>1939</v>
      </c>
      <c r="C43" s="3" t="s">
        <v>281</v>
      </c>
      <c r="D43" s="3" t="s">
        <v>1674</v>
      </c>
      <c r="E43" s="3" t="s">
        <v>1959</v>
      </c>
      <c r="F43" s="15">
        <v>24.969405999999999</v>
      </c>
      <c r="G43" s="15">
        <v>121.01237999999999</v>
      </c>
      <c r="H43" s="3" t="s">
        <v>1261</v>
      </c>
      <c r="I43" s="3" t="s">
        <v>1944</v>
      </c>
      <c r="J43" s="3" t="s">
        <v>29</v>
      </c>
      <c r="K43" s="5" t="s">
        <v>1962</v>
      </c>
      <c r="L43" s="5" t="s">
        <v>1963</v>
      </c>
      <c r="M43" s="3" t="s">
        <v>1275</v>
      </c>
      <c r="N43" s="3" t="s">
        <v>2280</v>
      </c>
    </row>
    <row r="44" spans="1:14" ht="56">
      <c r="A44" s="3" t="s">
        <v>1996</v>
      </c>
      <c r="B44" s="3" t="s">
        <v>1939</v>
      </c>
      <c r="C44" s="3" t="s">
        <v>480</v>
      </c>
      <c r="D44" s="3" t="s">
        <v>523</v>
      </c>
      <c r="E44" s="3" t="s">
        <v>528</v>
      </c>
      <c r="F44" s="15">
        <v>24.148399999999999</v>
      </c>
      <c r="G44" s="15">
        <v>120.66477</v>
      </c>
      <c r="H44" s="3" t="s">
        <v>1261</v>
      </c>
      <c r="I44" s="3" t="s">
        <v>1944</v>
      </c>
      <c r="J44" s="3" t="s">
        <v>29</v>
      </c>
      <c r="K44" s="5" t="s">
        <v>532</v>
      </c>
      <c r="L44" s="5" t="s">
        <v>1999</v>
      </c>
      <c r="M44" s="3" t="s">
        <v>1764</v>
      </c>
      <c r="N44" s="3" t="s">
        <v>2280</v>
      </c>
    </row>
    <row r="45" spans="1:14" ht="56">
      <c r="A45" s="3" t="s">
        <v>1990</v>
      </c>
      <c r="B45" s="3" t="s">
        <v>1939</v>
      </c>
      <c r="C45" s="3" t="s">
        <v>480</v>
      </c>
      <c r="D45" s="3" t="s">
        <v>535</v>
      </c>
      <c r="E45" s="3" t="s">
        <v>1991</v>
      </c>
      <c r="F45" s="15">
        <v>24.311951000000001</v>
      </c>
      <c r="G45" s="15">
        <v>120.54980999999999</v>
      </c>
      <c r="H45" s="3" t="s">
        <v>1261</v>
      </c>
      <c r="I45" s="3" t="s">
        <v>1944</v>
      </c>
      <c r="J45" s="3" t="s">
        <v>29</v>
      </c>
      <c r="K45" s="5" t="s">
        <v>1994</v>
      </c>
      <c r="L45" s="5" t="s">
        <v>1995</v>
      </c>
      <c r="M45" s="3" t="s">
        <v>1275</v>
      </c>
      <c r="N45" s="3" t="s">
        <v>2280</v>
      </c>
    </row>
    <row r="46" spans="1:14" ht="70">
      <c r="A46" s="3" t="s">
        <v>1932</v>
      </c>
      <c r="B46" s="3" t="s">
        <v>1939</v>
      </c>
      <c r="C46" s="3" t="s">
        <v>24</v>
      </c>
      <c r="D46" s="3" t="s">
        <v>58</v>
      </c>
      <c r="E46" s="3" t="s">
        <v>1934</v>
      </c>
      <c r="F46" s="15">
        <v>25.125630000000001</v>
      </c>
      <c r="G46" s="15">
        <v>121.4671</v>
      </c>
      <c r="H46" s="3" t="s">
        <v>1261</v>
      </c>
      <c r="I46" s="3" t="s">
        <v>1944</v>
      </c>
      <c r="J46" s="3" t="s">
        <v>29</v>
      </c>
      <c r="K46" s="5" t="s">
        <v>1942</v>
      </c>
      <c r="L46" s="5" t="s">
        <v>1943</v>
      </c>
      <c r="M46" s="3" t="s">
        <v>1275</v>
      </c>
      <c r="N46" s="3" t="s">
        <v>2280</v>
      </c>
    </row>
    <row r="47" spans="1:14" ht="70">
      <c r="A47" s="3" t="s">
        <v>2034</v>
      </c>
      <c r="B47" s="3" t="s">
        <v>1939</v>
      </c>
      <c r="C47" s="3" t="s">
        <v>750</v>
      </c>
      <c r="D47" s="3" t="s">
        <v>2035</v>
      </c>
      <c r="E47" s="3" t="s">
        <v>2036</v>
      </c>
      <c r="F47" s="15">
        <v>23.378122999999999</v>
      </c>
      <c r="G47" s="15">
        <v>120.40994000000001</v>
      </c>
      <c r="H47" s="3" t="s">
        <v>1261</v>
      </c>
      <c r="I47" s="3" t="s">
        <v>1944</v>
      </c>
      <c r="J47" s="3" t="s">
        <v>29</v>
      </c>
      <c r="K47" s="5" t="s">
        <v>2039</v>
      </c>
      <c r="L47" s="5" t="s">
        <v>2040</v>
      </c>
      <c r="M47" s="3" t="s">
        <v>1275</v>
      </c>
      <c r="N47" s="3" t="s">
        <v>2280</v>
      </c>
    </row>
    <row r="48" spans="1:14" ht="70">
      <c r="A48" s="3" t="s">
        <v>2083</v>
      </c>
      <c r="B48" s="3" t="s">
        <v>1939</v>
      </c>
      <c r="C48" s="3" t="s">
        <v>1048</v>
      </c>
      <c r="D48" s="3" t="s">
        <v>1067</v>
      </c>
      <c r="E48" s="3" t="s">
        <v>1068</v>
      </c>
      <c r="F48" s="15">
        <v>23.04</v>
      </c>
      <c r="G48" s="15">
        <v>121.17388</v>
      </c>
      <c r="H48" s="3" t="s">
        <v>1261</v>
      </c>
      <c r="I48" s="3" t="s">
        <v>1944</v>
      </c>
      <c r="J48" s="3" t="s">
        <v>29</v>
      </c>
      <c r="K48" s="5" t="s">
        <v>1069</v>
      </c>
      <c r="L48" s="5" t="s">
        <v>1070</v>
      </c>
      <c r="M48" s="3" t="s">
        <v>1764</v>
      </c>
      <c r="N48" s="3" t="s">
        <v>2280</v>
      </c>
    </row>
    <row r="49" spans="1:14" ht="70">
      <c r="A49" s="3" t="s">
        <v>2070</v>
      </c>
      <c r="B49" s="3" t="s">
        <v>1939</v>
      </c>
      <c r="C49" s="3" t="s">
        <v>1008</v>
      </c>
      <c r="D49" s="3" t="s">
        <v>1028</v>
      </c>
      <c r="E49" s="3" t="s">
        <v>2071</v>
      </c>
      <c r="F49" s="15">
        <v>24.031426</v>
      </c>
      <c r="G49" s="15">
        <v>121.62717000000001</v>
      </c>
      <c r="H49" s="3" t="s">
        <v>1261</v>
      </c>
      <c r="I49" s="3" t="s">
        <v>1944</v>
      </c>
      <c r="J49" s="3" t="s">
        <v>29</v>
      </c>
      <c r="K49" s="5" t="s">
        <v>2074</v>
      </c>
      <c r="L49" s="5" t="s">
        <v>1031</v>
      </c>
      <c r="M49" s="3" t="s">
        <v>2075</v>
      </c>
      <c r="N49" s="3" t="s">
        <v>2280</v>
      </c>
    </row>
    <row r="50" spans="1:14" ht="70">
      <c r="A50" s="3" t="s">
        <v>2027</v>
      </c>
      <c r="B50" s="3" t="s">
        <v>1939</v>
      </c>
      <c r="C50" s="3" t="s">
        <v>643</v>
      </c>
      <c r="D50" s="3" t="s">
        <v>676</v>
      </c>
      <c r="E50" s="3" t="s">
        <v>2028</v>
      </c>
      <c r="F50" s="15">
        <v>23.659291</v>
      </c>
      <c r="G50" s="15">
        <v>120.54098</v>
      </c>
      <c r="H50" s="3" t="s">
        <v>1261</v>
      </c>
      <c r="I50" s="3" t="s">
        <v>1944</v>
      </c>
      <c r="J50" s="3" t="s">
        <v>29</v>
      </c>
      <c r="K50" s="5" t="s">
        <v>2031</v>
      </c>
      <c r="L50" s="5" t="s">
        <v>2032</v>
      </c>
      <c r="M50" s="3" t="s">
        <v>2033</v>
      </c>
      <c r="N50" s="3" t="s">
        <v>2280</v>
      </c>
    </row>
    <row r="51" spans="1:14" ht="56">
      <c r="A51" s="3" t="s">
        <v>2047</v>
      </c>
      <c r="B51" s="3" t="s">
        <v>1939</v>
      </c>
      <c r="C51" s="3" t="s">
        <v>819</v>
      </c>
      <c r="D51" s="3" t="s">
        <v>866</v>
      </c>
      <c r="E51" s="3" t="s">
        <v>2048</v>
      </c>
      <c r="F51" s="15">
        <v>22.652683</v>
      </c>
      <c r="G51" s="15">
        <v>120.30316000000001</v>
      </c>
      <c r="H51" s="3" t="s">
        <v>1261</v>
      </c>
      <c r="I51" s="3" t="s">
        <v>1944</v>
      </c>
      <c r="J51" s="3" t="s">
        <v>29</v>
      </c>
      <c r="K51" s="5" t="s">
        <v>2051</v>
      </c>
      <c r="L51" s="5" t="s">
        <v>2052</v>
      </c>
      <c r="M51" s="3" t="s">
        <v>1275</v>
      </c>
      <c r="N51" s="3" t="s">
        <v>2280</v>
      </c>
    </row>
    <row r="52" spans="1:14" ht="70">
      <c r="A52" s="3" t="s">
        <v>1391</v>
      </c>
      <c r="B52" s="3" t="s">
        <v>1267</v>
      </c>
      <c r="C52" s="3" t="s">
        <v>685</v>
      </c>
      <c r="D52" s="3" t="s">
        <v>356</v>
      </c>
      <c r="E52" s="3" t="s">
        <v>1392</v>
      </c>
      <c r="F52" s="15">
        <v>23.479481</v>
      </c>
      <c r="G52" s="15">
        <v>120.44969</v>
      </c>
      <c r="H52" s="3" t="s">
        <v>1261</v>
      </c>
      <c r="I52" s="3" t="s">
        <v>1273</v>
      </c>
      <c r="J52" s="3" t="s">
        <v>66</v>
      </c>
      <c r="K52" s="5" t="s">
        <v>1395</v>
      </c>
      <c r="L52" s="5" t="s">
        <v>1396</v>
      </c>
      <c r="M52" s="3" t="s">
        <v>1275</v>
      </c>
      <c r="N52" s="3" t="s">
        <v>2280</v>
      </c>
    </row>
    <row r="53" spans="1:14" ht="56">
      <c r="A53" s="3" t="s">
        <v>1310</v>
      </c>
      <c r="B53" s="3" t="s">
        <v>1267</v>
      </c>
      <c r="C53" s="3" t="s">
        <v>151</v>
      </c>
      <c r="D53" s="3" t="s">
        <v>1311</v>
      </c>
      <c r="E53" s="3" t="s">
        <v>1312</v>
      </c>
      <c r="F53" s="15">
        <v>25.001691000000001</v>
      </c>
      <c r="G53" s="15">
        <v>121.61472999999999</v>
      </c>
      <c r="H53" s="3" t="s">
        <v>1261</v>
      </c>
      <c r="I53" s="3" t="s">
        <v>1273</v>
      </c>
      <c r="J53" s="3" t="s">
        <v>66</v>
      </c>
      <c r="K53" s="5" t="s">
        <v>1315</v>
      </c>
      <c r="L53" s="5" t="s">
        <v>1316</v>
      </c>
      <c r="M53" s="3" t="s">
        <v>1275</v>
      </c>
      <c r="N53" s="3" t="s">
        <v>2280</v>
      </c>
    </row>
    <row r="54" spans="1:14" ht="84">
      <c r="A54" s="3" t="s">
        <v>1302</v>
      </c>
      <c r="B54" s="3" t="s">
        <v>1267</v>
      </c>
      <c r="C54" s="3" t="s">
        <v>151</v>
      </c>
      <c r="D54" s="3" t="s">
        <v>1303</v>
      </c>
      <c r="E54" s="3" t="s">
        <v>1304</v>
      </c>
      <c r="F54" s="15">
        <v>25.221824000000002</v>
      </c>
      <c r="G54" s="15">
        <v>121.63826</v>
      </c>
      <c r="H54" s="3" t="s">
        <v>1261</v>
      </c>
      <c r="I54" s="3" t="s">
        <v>1273</v>
      </c>
      <c r="J54" s="3" t="s">
        <v>66</v>
      </c>
      <c r="K54" s="5" t="s">
        <v>1308</v>
      </c>
      <c r="L54" s="5" t="s">
        <v>1309</v>
      </c>
      <c r="M54" s="3" t="s">
        <v>1275</v>
      </c>
      <c r="N54" s="3" t="s">
        <v>2280</v>
      </c>
    </row>
    <row r="55" spans="1:14" ht="56">
      <c r="A55" s="3" t="s">
        <v>1349</v>
      </c>
      <c r="B55" s="3" t="s">
        <v>1267</v>
      </c>
      <c r="C55" s="3" t="s">
        <v>400</v>
      </c>
      <c r="D55" s="3" t="s">
        <v>1350</v>
      </c>
      <c r="E55" s="3" t="s">
        <v>1351</v>
      </c>
      <c r="F55" s="15">
        <v>24.827883</v>
      </c>
      <c r="G55" s="15">
        <v>121.07114</v>
      </c>
      <c r="H55" s="3" t="s">
        <v>1261</v>
      </c>
      <c r="I55" s="3" t="s">
        <v>1273</v>
      </c>
      <c r="J55" s="3" t="s">
        <v>66</v>
      </c>
      <c r="K55" s="5" t="s">
        <v>1354</v>
      </c>
      <c r="L55" s="5" t="s">
        <v>1355</v>
      </c>
      <c r="M55" s="3" t="s">
        <v>1275</v>
      </c>
      <c r="N55" s="3" t="s">
        <v>2280</v>
      </c>
    </row>
    <row r="56" spans="1:14" ht="56">
      <c r="A56" s="3" t="s">
        <v>1343</v>
      </c>
      <c r="B56" s="3" t="s">
        <v>1267</v>
      </c>
      <c r="C56" s="3" t="s">
        <v>400</v>
      </c>
      <c r="D56" s="3" t="s">
        <v>431</v>
      </c>
      <c r="E56" s="3" t="s">
        <v>1344</v>
      </c>
      <c r="F56" s="15">
        <v>24.876871999999999</v>
      </c>
      <c r="G56" s="15">
        <v>121.05513999999999</v>
      </c>
      <c r="H56" s="3" t="s">
        <v>1261</v>
      </c>
      <c r="I56" s="3" t="s">
        <v>1273</v>
      </c>
      <c r="J56" s="3" t="s">
        <v>66</v>
      </c>
      <c r="K56" s="5" t="s">
        <v>1347</v>
      </c>
      <c r="L56" s="5" t="s">
        <v>1348</v>
      </c>
      <c r="M56" s="3" t="s">
        <v>1275</v>
      </c>
      <c r="N56" s="3" t="s">
        <v>2280</v>
      </c>
    </row>
    <row r="57" spans="1:14" ht="56">
      <c r="A57" s="3" t="s">
        <v>1324</v>
      </c>
      <c r="B57" s="3" t="s">
        <v>1267</v>
      </c>
      <c r="C57" s="3" t="s">
        <v>281</v>
      </c>
      <c r="D57" s="3" t="s">
        <v>331</v>
      </c>
      <c r="E57" s="3" t="s">
        <v>1325</v>
      </c>
      <c r="F57" s="15">
        <v>24.843865000000001</v>
      </c>
      <c r="G57" s="15">
        <v>121.24799</v>
      </c>
      <c r="H57" s="3" t="s">
        <v>1261</v>
      </c>
      <c r="I57" s="3" t="s">
        <v>1273</v>
      </c>
      <c r="J57" s="3" t="s">
        <v>66</v>
      </c>
      <c r="K57" s="5" t="s">
        <v>1328</v>
      </c>
      <c r="L57" s="5" t="s">
        <v>1329</v>
      </c>
      <c r="M57" s="3" t="s">
        <v>1275</v>
      </c>
      <c r="N57" s="3" t="s">
        <v>2280</v>
      </c>
    </row>
    <row r="58" spans="1:14" ht="56">
      <c r="A58" s="3" t="s">
        <v>1330</v>
      </c>
      <c r="B58" s="3" t="s">
        <v>1267</v>
      </c>
      <c r="C58" s="3" t="s">
        <v>281</v>
      </c>
      <c r="D58" s="3" t="s">
        <v>350</v>
      </c>
      <c r="E58" s="3" t="s">
        <v>1331</v>
      </c>
      <c r="F58" s="15">
        <v>24.936328</v>
      </c>
      <c r="G58" s="15">
        <v>121.08243</v>
      </c>
      <c r="H58" s="3" t="s">
        <v>1261</v>
      </c>
      <c r="I58" s="3" t="s">
        <v>1273</v>
      </c>
      <c r="J58" s="3" t="s">
        <v>66</v>
      </c>
      <c r="K58" s="5" t="s">
        <v>1334</v>
      </c>
      <c r="L58" s="5" t="s">
        <v>1335</v>
      </c>
      <c r="M58" s="3" t="s">
        <v>1275</v>
      </c>
      <c r="N58" s="3" t="s">
        <v>2280</v>
      </c>
    </row>
    <row r="59" spans="1:14" ht="70">
      <c r="A59" s="3" t="s">
        <v>1403</v>
      </c>
      <c r="B59" s="3" t="s">
        <v>1267</v>
      </c>
      <c r="C59" s="3" t="s">
        <v>750</v>
      </c>
      <c r="D59" s="3" t="s">
        <v>751</v>
      </c>
      <c r="E59" s="3" t="s">
        <v>1404</v>
      </c>
      <c r="F59" s="15">
        <v>22.997478000000001</v>
      </c>
      <c r="G59" s="15">
        <v>120.20254</v>
      </c>
      <c r="H59" s="3" t="s">
        <v>1261</v>
      </c>
      <c r="I59" s="3" t="s">
        <v>1273</v>
      </c>
      <c r="J59" s="3" t="s">
        <v>66</v>
      </c>
      <c r="K59" s="5" t="s">
        <v>1407</v>
      </c>
      <c r="L59" s="5" t="s">
        <v>1408</v>
      </c>
      <c r="M59" s="3" t="s">
        <v>1275</v>
      </c>
      <c r="N59" s="3" t="s">
        <v>2280</v>
      </c>
    </row>
    <row r="60" spans="1:14" ht="56">
      <c r="A60" s="3" t="s">
        <v>1372</v>
      </c>
      <c r="B60" s="3" t="s">
        <v>1267</v>
      </c>
      <c r="C60" s="3" t="s">
        <v>436</v>
      </c>
      <c r="D60" s="3" t="s">
        <v>1373</v>
      </c>
      <c r="E60" s="3" t="s">
        <v>1374</v>
      </c>
      <c r="F60" s="15">
        <v>24.457698000000001</v>
      </c>
      <c r="G60" s="15">
        <v>120.87562</v>
      </c>
      <c r="H60" s="3" t="s">
        <v>1261</v>
      </c>
      <c r="I60" s="3" t="s">
        <v>1273</v>
      </c>
      <c r="J60" s="3" t="s">
        <v>66</v>
      </c>
      <c r="K60" s="5" t="s">
        <v>1377</v>
      </c>
      <c r="L60" s="5" t="s">
        <v>1378</v>
      </c>
      <c r="M60" s="3" t="s">
        <v>1275</v>
      </c>
      <c r="N60" s="3" t="s">
        <v>2280</v>
      </c>
    </row>
    <row r="61" spans="1:14" ht="56">
      <c r="A61" s="3" t="s">
        <v>1385</v>
      </c>
      <c r="B61" s="3" t="s">
        <v>1267</v>
      </c>
      <c r="C61" s="3" t="s">
        <v>643</v>
      </c>
      <c r="D61" s="3" t="s">
        <v>644</v>
      </c>
      <c r="E61" s="3" t="s">
        <v>1386</v>
      </c>
      <c r="F61" s="15">
        <v>23.708506</v>
      </c>
      <c r="G61" s="15">
        <v>120.54183</v>
      </c>
      <c r="H61" s="3" t="s">
        <v>1261</v>
      </c>
      <c r="I61" s="3" t="s">
        <v>1273</v>
      </c>
      <c r="J61" s="3" t="s">
        <v>66</v>
      </c>
      <c r="K61" s="5" t="s">
        <v>1389</v>
      </c>
      <c r="L61" s="5" t="s">
        <v>1390</v>
      </c>
      <c r="M61" s="3" t="s">
        <v>1275</v>
      </c>
      <c r="N61" s="3" t="s">
        <v>2280</v>
      </c>
    </row>
    <row r="62" spans="1:14" ht="70">
      <c r="A62" s="3" t="s">
        <v>1566</v>
      </c>
      <c r="B62" s="3" t="s">
        <v>1441</v>
      </c>
      <c r="C62" s="3" t="s">
        <v>714</v>
      </c>
      <c r="D62" s="3" t="s">
        <v>1567</v>
      </c>
      <c r="E62" s="3" t="s">
        <v>1568</v>
      </c>
      <c r="F62" s="15">
        <v>23.504190000000001</v>
      </c>
      <c r="G62" s="15">
        <v>120.69592</v>
      </c>
      <c r="H62" s="3" t="s">
        <v>1261</v>
      </c>
      <c r="I62" s="3" t="s">
        <v>1462</v>
      </c>
      <c r="J62" s="3" t="s">
        <v>66</v>
      </c>
      <c r="K62" s="5" t="s">
        <v>1571</v>
      </c>
      <c r="L62" s="5" t="s">
        <v>1572</v>
      </c>
      <c r="M62" s="3" t="s">
        <v>1275</v>
      </c>
      <c r="N62" s="3" t="s">
        <v>2280</v>
      </c>
    </row>
    <row r="63" spans="1:14" ht="70">
      <c r="A63" s="3" t="s">
        <v>1516</v>
      </c>
      <c r="B63" s="3" t="s">
        <v>1441</v>
      </c>
      <c r="C63" s="3" t="s">
        <v>559</v>
      </c>
      <c r="D63" s="3" t="s">
        <v>1517</v>
      </c>
      <c r="E63" s="3" t="s">
        <v>1518</v>
      </c>
      <c r="F63" s="15">
        <v>23.896964000000001</v>
      </c>
      <c r="G63" s="15">
        <v>120.58521</v>
      </c>
      <c r="H63" s="3" t="s">
        <v>1261</v>
      </c>
      <c r="I63" s="3" t="s">
        <v>1462</v>
      </c>
      <c r="J63" s="3" t="s">
        <v>66</v>
      </c>
      <c r="K63" s="5" t="s">
        <v>1521</v>
      </c>
      <c r="L63" s="5" t="s">
        <v>1522</v>
      </c>
      <c r="M63" s="3" t="s">
        <v>1275</v>
      </c>
      <c r="N63" s="3" t="s">
        <v>2280</v>
      </c>
    </row>
    <row r="64" spans="1:14" ht="70">
      <c r="A64" s="3" t="s">
        <v>1455</v>
      </c>
      <c r="B64" s="3" t="s">
        <v>1441</v>
      </c>
      <c r="C64" s="3" t="s">
        <v>151</v>
      </c>
      <c r="D64" s="3" t="s">
        <v>1449</v>
      </c>
      <c r="E64" s="3" t="s">
        <v>1456</v>
      </c>
      <c r="F64" s="15">
        <v>25.026689000000001</v>
      </c>
      <c r="G64" s="15">
        <v>121.73819</v>
      </c>
      <c r="H64" s="3" t="s">
        <v>1261</v>
      </c>
      <c r="I64" s="3" t="s">
        <v>1462</v>
      </c>
      <c r="J64" s="3" t="s">
        <v>66</v>
      </c>
      <c r="K64" s="5" t="s">
        <v>1460</v>
      </c>
      <c r="L64" s="5" t="s">
        <v>1461</v>
      </c>
      <c r="M64" s="3" t="s">
        <v>1275</v>
      </c>
      <c r="N64" s="3" t="s">
        <v>2280</v>
      </c>
    </row>
    <row r="65" spans="1:14" ht="70">
      <c r="A65" s="3" t="s">
        <v>1463</v>
      </c>
      <c r="B65" s="3" t="s">
        <v>1441</v>
      </c>
      <c r="C65" s="3" t="s">
        <v>151</v>
      </c>
      <c r="D65" s="3" t="s">
        <v>1464</v>
      </c>
      <c r="E65" s="3" t="s">
        <v>1465</v>
      </c>
      <c r="F65" s="15">
        <v>24.864934999999999</v>
      </c>
      <c r="G65" s="15">
        <v>121.55198</v>
      </c>
      <c r="H65" s="3" t="s">
        <v>1261</v>
      </c>
      <c r="I65" s="3" t="s">
        <v>1462</v>
      </c>
      <c r="J65" s="3" t="s">
        <v>66</v>
      </c>
      <c r="K65" s="5" t="s">
        <v>1468</v>
      </c>
      <c r="L65" s="5" t="s">
        <v>1469</v>
      </c>
      <c r="M65" s="3" t="s">
        <v>1275</v>
      </c>
      <c r="N65" s="3" t="s">
        <v>2280</v>
      </c>
    </row>
    <row r="66" spans="1:14" ht="84">
      <c r="A66" s="3" t="s">
        <v>1598</v>
      </c>
      <c r="B66" s="3" t="s">
        <v>1441</v>
      </c>
      <c r="C66" s="3" t="s">
        <v>151</v>
      </c>
      <c r="D66" s="3" t="s">
        <v>1283</v>
      </c>
      <c r="E66" s="3" t="s">
        <v>1599</v>
      </c>
      <c r="F66" s="15">
        <v>25.107534000000001</v>
      </c>
      <c r="G66" s="15">
        <v>121.85789</v>
      </c>
      <c r="H66" s="3" t="s">
        <v>1261</v>
      </c>
      <c r="I66" s="3" t="s">
        <v>1462</v>
      </c>
      <c r="J66" s="3" t="s">
        <v>66</v>
      </c>
      <c r="K66" s="5" t="s">
        <v>1602</v>
      </c>
      <c r="L66" s="5" t="s">
        <v>1603</v>
      </c>
      <c r="M66" s="3" t="s">
        <v>1275</v>
      </c>
      <c r="N66" s="3" t="s">
        <v>2280</v>
      </c>
    </row>
    <row r="67" spans="1:14" ht="70">
      <c r="A67" s="3" t="s">
        <v>1496</v>
      </c>
      <c r="B67" s="3" t="s">
        <v>1441</v>
      </c>
      <c r="C67" s="3" t="s">
        <v>480</v>
      </c>
      <c r="D67" s="3" t="s">
        <v>1497</v>
      </c>
      <c r="E67" s="3" t="s">
        <v>1498</v>
      </c>
      <c r="F67" s="15">
        <v>24.276022999999999</v>
      </c>
      <c r="G67" s="15">
        <v>120.77879</v>
      </c>
      <c r="H67" s="3" t="s">
        <v>1261</v>
      </c>
      <c r="I67" s="3" t="s">
        <v>1462</v>
      </c>
      <c r="J67" s="3" t="s">
        <v>66</v>
      </c>
      <c r="K67" s="5" t="s">
        <v>1501</v>
      </c>
      <c r="L67" s="5" t="s">
        <v>1502</v>
      </c>
      <c r="M67" s="3" t="s">
        <v>1275</v>
      </c>
      <c r="N67" s="3" t="s">
        <v>2280</v>
      </c>
    </row>
    <row r="68" spans="1:14" ht="70">
      <c r="A68" s="3" t="s">
        <v>1712</v>
      </c>
      <c r="B68" s="3" t="s">
        <v>1611</v>
      </c>
      <c r="C68" s="3" t="s">
        <v>714</v>
      </c>
      <c r="D68" s="3" t="s">
        <v>745</v>
      </c>
      <c r="E68" s="3" t="s">
        <v>1713</v>
      </c>
      <c r="F68" s="15">
        <v>23.379479</v>
      </c>
      <c r="G68" s="15">
        <v>120.15555999999999</v>
      </c>
      <c r="H68" s="3" t="s">
        <v>1261</v>
      </c>
      <c r="I68" s="3" t="s">
        <v>1615</v>
      </c>
      <c r="J68" s="3" t="s">
        <v>66</v>
      </c>
      <c r="K68" s="5" t="s">
        <v>1716</v>
      </c>
      <c r="L68" s="5" t="s">
        <v>1717</v>
      </c>
      <c r="M68" s="3" t="s">
        <v>1275</v>
      </c>
      <c r="N68" s="3" t="s">
        <v>2280</v>
      </c>
    </row>
    <row r="69" spans="1:14" ht="84">
      <c r="A69" s="3" t="s">
        <v>1661</v>
      </c>
      <c r="B69" s="3" t="s">
        <v>1611</v>
      </c>
      <c r="C69" s="3" t="s">
        <v>241</v>
      </c>
      <c r="D69" s="3" t="s">
        <v>97</v>
      </c>
      <c r="E69" s="3" t="s">
        <v>1662</v>
      </c>
      <c r="F69" s="15">
        <v>25.163322000000001</v>
      </c>
      <c r="G69" s="15">
        <v>121.72709999999999</v>
      </c>
      <c r="H69" s="3" t="s">
        <v>1261</v>
      </c>
      <c r="I69" s="3" t="s">
        <v>1615</v>
      </c>
      <c r="J69" s="3" t="s">
        <v>66</v>
      </c>
      <c r="K69" s="5" t="s">
        <v>1665</v>
      </c>
      <c r="L69" s="5" t="s">
        <v>1666</v>
      </c>
      <c r="M69" s="3" t="s">
        <v>1275</v>
      </c>
      <c r="N69" s="3" t="s">
        <v>2280</v>
      </c>
    </row>
    <row r="70" spans="1:14" ht="56">
      <c r="A70" s="3" t="s">
        <v>1655</v>
      </c>
      <c r="B70" s="3" t="s">
        <v>1611</v>
      </c>
      <c r="C70" s="3" t="s">
        <v>241</v>
      </c>
      <c r="D70" s="3" t="s">
        <v>44</v>
      </c>
      <c r="E70" s="3" t="s">
        <v>1656</v>
      </c>
      <c r="F70" s="15">
        <v>25.147141000000001</v>
      </c>
      <c r="G70" s="15">
        <v>121.78628999999999</v>
      </c>
      <c r="H70" s="3" t="s">
        <v>1261</v>
      </c>
      <c r="I70" s="3" t="s">
        <v>1615</v>
      </c>
      <c r="J70" s="3" t="s">
        <v>66</v>
      </c>
      <c r="K70" s="5" t="s">
        <v>1659</v>
      </c>
      <c r="L70" s="5" t="s">
        <v>1660</v>
      </c>
      <c r="M70" s="3" t="s">
        <v>1275</v>
      </c>
      <c r="N70" s="3" t="s">
        <v>2280</v>
      </c>
    </row>
    <row r="71" spans="1:14" ht="56">
      <c r="A71" s="3" t="s">
        <v>1641</v>
      </c>
      <c r="B71" s="3" t="s">
        <v>1611</v>
      </c>
      <c r="C71" s="3" t="s">
        <v>151</v>
      </c>
      <c r="D71" s="3" t="s">
        <v>1642</v>
      </c>
      <c r="E71" s="3" t="s">
        <v>1643</v>
      </c>
      <c r="F71" s="15">
        <v>25.292634</v>
      </c>
      <c r="G71" s="15">
        <v>121.53530000000001</v>
      </c>
      <c r="H71" s="3" t="s">
        <v>1261</v>
      </c>
      <c r="I71" s="3" t="s">
        <v>1615</v>
      </c>
      <c r="J71" s="3" t="s">
        <v>66</v>
      </c>
      <c r="K71" s="5" t="s">
        <v>1646</v>
      </c>
      <c r="L71" s="5" t="s">
        <v>1647</v>
      </c>
      <c r="M71" s="3" t="s">
        <v>1275</v>
      </c>
      <c r="N71" s="3" t="s">
        <v>2280</v>
      </c>
    </row>
    <row r="72" spans="1:14" ht="70">
      <c r="A72" s="3" t="s">
        <v>1628</v>
      </c>
      <c r="B72" s="3" t="s">
        <v>1611</v>
      </c>
      <c r="C72" s="3" t="s">
        <v>151</v>
      </c>
      <c r="D72" s="3" t="s">
        <v>1290</v>
      </c>
      <c r="E72" s="3" t="s">
        <v>1629</v>
      </c>
      <c r="F72" s="15">
        <v>25.168908999999999</v>
      </c>
      <c r="G72" s="15">
        <v>121.44145</v>
      </c>
      <c r="H72" s="3" t="s">
        <v>1261</v>
      </c>
      <c r="I72" s="3" t="s">
        <v>1615</v>
      </c>
      <c r="J72" s="3" t="s">
        <v>66</v>
      </c>
      <c r="K72" s="5" t="s">
        <v>1632</v>
      </c>
      <c r="L72" s="5" t="s">
        <v>1633</v>
      </c>
      <c r="M72" s="3" t="s">
        <v>1275</v>
      </c>
      <c r="N72" s="3" t="s">
        <v>2280</v>
      </c>
    </row>
    <row r="73" spans="1:14" ht="56">
      <c r="A73" s="3" t="s">
        <v>1616</v>
      </c>
      <c r="B73" s="3" t="s">
        <v>1611</v>
      </c>
      <c r="C73" s="3" t="s">
        <v>24</v>
      </c>
      <c r="D73" s="3" t="s">
        <v>58</v>
      </c>
      <c r="E73" s="3" t="s">
        <v>1617</v>
      </c>
      <c r="F73" s="15">
        <v>25.120615000000001</v>
      </c>
      <c r="G73" s="15">
        <v>121.46059</v>
      </c>
      <c r="H73" s="3" t="s">
        <v>1261</v>
      </c>
      <c r="I73" s="3" t="s">
        <v>1615</v>
      </c>
      <c r="J73" s="3" t="s">
        <v>66</v>
      </c>
      <c r="K73" s="5" t="s">
        <v>1620</v>
      </c>
      <c r="L73" s="5" t="s">
        <v>1621</v>
      </c>
      <c r="M73" s="3" t="s">
        <v>1275</v>
      </c>
      <c r="N73" s="3" t="s">
        <v>2280</v>
      </c>
    </row>
    <row r="74" spans="1:14" ht="70">
      <c r="A74" s="3" t="s">
        <v>1718</v>
      </c>
      <c r="B74" s="3" t="s">
        <v>1611</v>
      </c>
      <c r="C74" s="3" t="s">
        <v>750</v>
      </c>
      <c r="D74" s="3" t="s">
        <v>765</v>
      </c>
      <c r="E74" s="3" t="s">
        <v>1719</v>
      </c>
      <c r="F74" s="15">
        <v>22.991040999999999</v>
      </c>
      <c r="G74" s="15">
        <v>120.14729</v>
      </c>
      <c r="H74" s="3" t="s">
        <v>1261</v>
      </c>
      <c r="I74" s="3" t="s">
        <v>1615</v>
      </c>
      <c r="J74" s="3" t="s">
        <v>66</v>
      </c>
      <c r="K74" s="5" t="s">
        <v>1722</v>
      </c>
      <c r="L74" s="5" t="s">
        <v>1723</v>
      </c>
      <c r="M74" s="3" t="s">
        <v>1275</v>
      </c>
      <c r="N74" s="3" t="s">
        <v>2280</v>
      </c>
    </row>
    <row r="75" spans="1:14" ht="56">
      <c r="A75" s="3" t="s">
        <v>1754</v>
      </c>
      <c r="B75" s="3" t="s">
        <v>1611</v>
      </c>
      <c r="C75" s="3" t="s">
        <v>1048</v>
      </c>
      <c r="D75" s="3" t="s">
        <v>1049</v>
      </c>
      <c r="E75" s="3" t="s">
        <v>1755</v>
      </c>
      <c r="F75" s="15">
        <v>22.791674</v>
      </c>
      <c r="G75" s="15">
        <v>121.19204999999999</v>
      </c>
      <c r="H75" s="3" t="s">
        <v>1261</v>
      </c>
      <c r="I75" s="3" t="s">
        <v>1615</v>
      </c>
      <c r="J75" s="3" t="s">
        <v>66</v>
      </c>
      <c r="K75" s="5" t="s">
        <v>1758</v>
      </c>
      <c r="L75" s="5" t="s">
        <v>1759</v>
      </c>
      <c r="M75" s="3" t="s">
        <v>1275</v>
      </c>
      <c r="N75" s="3" t="s">
        <v>2280</v>
      </c>
    </row>
    <row r="76" spans="1:14" ht="70">
      <c r="A76" s="3" t="s">
        <v>1749</v>
      </c>
      <c r="B76" s="3" t="s">
        <v>1611</v>
      </c>
      <c r="C76" s="3" t="s">
        <v>1008</v>
      </c>
      <c r="D76" s="3" t="s">
        <v>1009</v>
      </c>
      <c r="E76" s="3" t="s">
        <v>1750</v>
      </c>
      <c r="F76" s="15">
        <v>23.966387999999998</v>
      </c>
      <c r="G76" s="15">
        <v>121.60916</v>
      </c>
      <c r="H76" s="3" t="s">
        <v>1261</v>
      </c>
      <c r="I76" s="3" t="s">
        <v>1615</v>
      </c>
      <c r="J76" s="3" t="s">
        <v>66</v>
      </c>
      <c r="K76" s="5" t="s">
        <v>1753</v>
      </c>
      <c r="L76" s="5" t="s">
        <v>1013</v>
      </c>
      <c r="M76" s="3" t="s">
        <v>1275</v>
      </c>
      <c r="N76" s="3" t="s">
        <v>2280</v>
      </c>
    </row>
    <row r="77" spans="1:14" ht="56">
      <c r="A77" s="3" t="s">
        <v>1686</v>
      </c>
      <c r="B77" s="3" t="s">
        <v>1611</v>
      </c>
      <c r="C77" s="3" t="s">
        <v>436</v>
      </c>
      <c r="D77" s="3" t="s">
        <v>447</v>
      </c>
      <c r="E77" s="3" t="s">
        <v>1687</v>
      </c>
      <c r="F77" s="15">
        <v>24.699777999999998</v>
      </c>
      <c r="G77" s="15">
        <v>120.85831</v>
      </c>
      <c r="H77" s="3" t="s">
        <v>1261</v>
      </c>
      <c r="I77" s="3" t="s">
        <v>1615</v>
      </c>
      <c r="J77" s="3" t="s">
        <v>66</v>
      </c>
      <c r="K77" s="5" t="s">
        <v>1690</v>
      </c>
      <c r="L77" s="5" t="s">
        <v>1691</v>
      </c>
      <c r="M77" s="3" t="s">
        <v>1275</v>
      </c>
      <c r="N77" s="3" t="s">
        <v>2280</v>
      </c>
    </row>
    <row r="78" spans="1:14" ht="56">
      <c r="A78" s="3" t="s">
        <v>1809</v>
      </c>
      <c r="B78" s="3" t="s">
        <v>1773</v>
      </c>
      <c r="C78" s="3" t="s">
        <v>281</v>
      </c>
      <c r="D78" s="3" t="s">
        <v>1674</v>
      </c>
      <c r="E78" s="3" t="s">
        <v>1810</v>
      </c>
      <c r="F78" s="15">
        <v>24.976194</v>
      </c>
      <c r="G78" s="15">
        <v>121.10444</v>
      </c>
      <c r="H78" s="3" t="s">
        <v>1261</v>
      </c>
      <c r="I78" s="3" t="s">
        <v>1815</v>
      </c>
      <c r="J78" s="3" t="s">
        <v>66</v>
      </c>
      <c r="K78" s="5" t="s">
        <v>1813</v>
      </c>
      <c r="L78" s="5" t="s">
        <v>1814</v>
      </c>
      <c r="M78" s="3" t="s">
        <v>1275</v>
      </c>
      <c r="N78" s="3" t="s">
        <v>2280</v>
      </c>
    </row>
    <row r="79" spans="1:14" ht="70">
      <c r="A79" s="3" t="s">
        <v>2057</v>
      </c>
      <c r="B79" s="3" t="s">
        <v>1939</v>
      </c>
      <c r="C79" s="3" t="s">
        <v>914</v>
      </c>
      <c r="D79" s="3" t="s">
        <v>2058</v>
      </c>
      <c r="E79" s="3" t="s">
        <v>2059</v>
      </c>
      <c r="F79" s="15">
        <v>22.43207</v>
      </c>
      <c r="G79" s="15">
        <v>120.49007</v>
      </c>
      <c r="H79" s="3" t="s">
        <v>1261</v>
      </c>
      <c r="I79" s="3" t="s">
        <v>1944</v>
      </c>
      <c r="J79" s="3" t="s">
        <v>66</v>
      </c>
      <c r="K79" s="5" t="s">
        <v>2062</v>
      </c>
      <c r="L79" s="5" t="s">
        <v>2063</v>
      </c>
      <c r="M79" s="3" t="s">
        <v>1275</v>
      </c>
      <c r="N79" s="3" t="s">
        <v>2280</v>
      </c>
    </row>
    <row r="80" spans="1:14" ht="84">
      <c r="A80" s="3" t="s">
        <v>1945</v>
      </c>
      <c r="B80" s="3" t="s">
        <v>1939</v>
      </c>
      <c r="C80" s="3" t="s">
        <v>151</v>
      </c>
      <c r="D80" s="3" t="s">
        <v>1290</v>
      </c>
      <c r="E80" s="3" t="s">
        <v>1946</v>
      </c>
      <c r="F80" s="15">
        <v>25.156302</v>
      </c>
      <c r="G80" s="15">
        <v>121.45654999999999</v>
      </c>
      <c r="H80" s="3" t="s">
        <v>1261</v>
      </c>
      <c r="I80" s="3" t="s">
        <v>1944</v>
      </c>
      <c r="J80" s="3" t="s">
        <v>66</v>
      </c>
      <c r="K80" s="5" t="s">
        <v>1949</v>
      </c>
      <c r="L80" s="5" t="s">
        <v>1950</v>
      </c>
      <c r="M80" s="3" t="s">
        <v>1275</v>
      </c>
      <c r="N80" s="3" t="s">
        <v>2280</v>
      </c>
    </row>
    <row r="81" spans="1:14" ht="84">
      <c r="A81" s="3" t="s">
        <v>1951</v>
      </c>
      <c r="B81" s="3" t="s">
        <v>1939</v>
      </c>
      <c r="C81" s="3" t="s">
        <v>151</v>
      </c>
      <c r="D81" s="3" t="s">
        <v>1952</v>
      </c>
      <c r="E81" s="3" t="s">
        <v>1953</v>
      </c>
      <c r="F81" s="15">
        <v>25.128150000000002</v>
      </c>
      <c r="G81" s="15">
        <v>121.41998</v>
      </c>
      <c r="H81" s="3" t="s">
        <v>1261</v>
      </c>
      <c r="I81" s="3" t="s">
        <v>1944</v>
      </c>
      <c r="J81" s="3" t="s">
        <v>66</v>
      </c>
      <c r="K81" s="5" t="s">
        <v>1956</v>
      </c>
      <c r="L81" s="5" t="s">
        <v>1957</v>
      </c>
      <c r="M81" s="3" t="s">
        <v>1275</v>
      </c>
      <c r="N81" s="3" t="s">
        <v>2280</v>
      </c>
    </row>
    <row r="82" spans="1:14" ht="56">
      <c r="A82" s="3" t="s">
        <v>1971</v>
      </c>
      <c r="B82" s="3" t="s">
        <v>1939</v>
      </c>
      <c r="C82" s="3" t="s">
        <v>355</v>
      </c>
      <c r="D82" s="3" t="s">
        <v>356</v>
      </c>
      <c r="E82" s="3" t="s">
        <v>1972</v>
      </c>
      <c r="F82" s="15">
        <v>24.774933999999998</v>
      </c>
      <c r="G82" s="15">
        <v>120.9709</v>
      </c>
      <c r="H82" s="3" t="s">
        <v>1261</v>
      </c>
      <c r="I82" s="3" t="s">
        <v>1944</v>
      </c>
      <c r="J82" s="3" t="s">
        <v>66</v>
      </c>
      <c r="K82" s="5" t="s">
        <v>1975</v>
      </c>
      <c r="L82" s="5" t="s">
        <v>1976</v>
      </c>
      <c r="M82" s="3" t="s">
        <v>1275</v>
      </c>
      <c r="N82" s="3" t="s">
        <v>2280</v>
      </c>
    </row>
    <row r="83" spans="1:14" ht="56">
      <c r="A83" s="3" t="s">
        <v>1964</v>
      </c>
      <c r="B83" s="3" t="s">
        <v>1939</v>
      </c>
      <c r="C83" s="3" t="s">
        <v>400</v>
      </c>
      <c r="D83" s="3" t="s">
        <v>1965</v>
      </c>
      <c r="E83" s="3" t="s">
        <v>1966</v>
      </c>
      <c r="F83" s="15">
        <v>24.655282</v>
      </c>
      <c r="G83" s="15">
        <v>121.02327</v>
      </c>
      <c r="H83" s="3" t="s">
        <v>1261</v>
      </c>
      <c r="I83" s="3" t="s">
        <v>1944</v>
      </c>
      <c r="J83" s="3" t="s">
        <v>66</v>
      </c>
      <c r="K83" s="5" t="s">
        <v>1969</v>
      </c>
      <c r="L83" s="5" t="s">
        <v>1970</v>
      </c>
      <c r="M83" s="3" t="s">
        <v>1275</v>
      </c>
      <c r="N83" s="3" t="s">
        <v>2280</v>
      </c>
    </row>
    <row r="84" spans="1:14" ht="56">
      <c r="A84" s="3" t="s">
        <v>2000</v>
      </c>
      <c r="B84" s="3" t="s">
        <v>1939</v>
      </c>
      <c r="C84" s="3" t="s">
        <v>480</v>
      </c>
      <c r="D84" s="3" t="s">
        <v>2001</v>
      </c>
      <c r="E84" s="3" t="s">
        <v>2002</v>
      </c>
      <c r="F84" s="15">
        <v>24.205635000000001</v>
      </c>
      <c r="G84" s="15">
        <v>121.00572</v>
      </c>
      <c r="H84" s="3" t="s">
        <v>1261</v>
      </c>
      <c r="I84" s="3" t="s">
        <v>1944</v>
      </c>
      <c r="J84" s="3" t="s">
        <v>66</v>
      </c>
      <c r="K84" s="5" t="s">
        <v>2005</v>
      </c>
      <c r="L84" s="5" t="s">
        <v>2006</v>
      </c>
      <c r="M84" s="3" t="s">
        <v>1275</v>
      </c>
      <c r="N84" s="3" t="s">
        <v>2280</v>
      </c>
    </row>
    <row r="85" spans="1:14" ht="70">
      <c r="A85" s="3" t="s">
        <v>2041</v>
      </c>
      <c r="B85" s="3" t="s">
        <v>1939</v>
      </c>
      <c r="C85" s="3" t="s">
        <v>750</v>
      </c>
      <c r="D85" s="3" t="s">
        <v>1869</v>
      </c>
      <c r="E85" s="3" t="s">
        <v>2042</v>
      </c>
      <c r="F85" s="15">
        <v>23.002870000000001</v>
      </c>
      <c r="G85" s="15">
        <v>120.13625999999999</v>
      </c>
      <c r="H85" s="3" t="s">
        <v>1261</v>
      </c>
      <c r="I85" s="3" t="s">
        <v>1944</v>
      </c>
      <c r="J85" s="3" t="s">
        <v>66</v>
      </c>
      <c r="K85" s="5" t="s">
        <v>2045</v>
      </c>
      <c r="L85" s="5" t="s">
        <v>2046</v>
      </c>
      <c r="M85" s="3" t="s">
        <v>1275</v>
      </c>
      <c r="N85" s="3" t="s">
        <v>2280</v>
      </c>
    </row>
    <row r="86" spans="1:14" ht="56">
      <c r="A86" s="3" t="s">
        <v>2076</v>
      </c>
      <c r="B86" s="3" t="s">
        <v>1939</v>
      </c>
      <c r="C86" s="3" t="s">
        <v>1048</v>
      </c>
      <c r="D86" s="3" t="s">
        <v>2077</v>
      </c>
      <c r="E86" s="3" t="s">
        <v>2078</v>
      </c>
      <c r="F86" s="15">
        <v>23.330549999999999</v>
      </c>
      <c r="G86" s="15">
        <v>121.45135999999999</v>
      </c>
      <c r="H86" s="3" t="s">
        <v>1261</v>
      </c>
      <c r="I86" s="3" t="s">
        <v>1944</v>
      </c>
      <c r="J86" s="3" t="s">
        <v>66</v>
      </c>
      <c r="K86" s="5" t="s">
        <v>2081</v>
      </c>
      <c r="L86" s="5" t="s">
        <v>2082</v>
      </c>
      <c r="M86" s="3" t="s">
        <v>1275</v>
      </c>
      <c r="N86" s="3" t="s">
        <v>2280</v>
      </c>
    </row>
    <row r="87" spans="1:14" ht="84">
      <c r="A87" s="3" t="s">
        <v>1984</v>
      </c>
      <c r="B87" s="3" t="s">
        <v>1939</v>
      </c>
      <c r="C87" s="3" t="s">
        <v>436</v>
      </c>
      <c r="D87" s="3" t="s">
        <v>447</v>
      </c>
      <c r="E87" s="3" t="s">
        <v>1985</v>
      </c>
      <c r="F87" s="15">
        <v>24.666495999999999</v>
      </c>
      <c r="G87" s="15">
        <v>120.84343</v>
      </c>
      <c r="H87" s="3" t="s">
        <v>1261</v>
      </c>
      <c r="I87" s="3" t="s">
        <v>1944</v>
      </c>
      <c r="J87" s="3" t="s">
        <v>66</v>
      </c>
      <c r="K87" s="5" t="s">
        <v>1988</v>
      </c>
      <c r="L87" s="5" t="s">
        <v>1989</v>
      </c>
      <c r="M87" s="3" t="s">
        <v>1275</v>
      </c>
      <c r="N87" s="3" t="s">
        <v>2280</v>
      </c>
    </row>
    <row r="88" spans="1:14" ht="56">
      <c r="A88" s="3" t="s">
        <v>2086</v>
      </c>
      <c r="B88" s="3" t="s">
        <v>1939</v>
      </c>
      <c r="C88" s="3" t="s">
        <v>1120</v>
      </c>
      <c r="D88" s="3" t="s">
        <v>1127</v>
      </c>
      <c r="E88" s="3" t="s">
        <v>2087</v>
      </c>
      <c r="F88" s="15">
        <v>24.463408000000001</v>
      </c>
      <c r="G88" s="15">
        <v>118.30054</v>
      </c>
      <c r="H88" s="3" t="s">
        <v>1261</v>
      </c>
      <c r="I88" s="3" t="s">
        <v>1944</v>
      </c>
      <c r="J88" s="3" t="s">
        <v>66</v>
      </c>
      <c r="K88" s="5" t="s">
        <v>2090</v>
      </c>
      <c r="L88" s="5" t="s">
        <v>2091</v>
      </c>
      <c r="M88" s="3" t="s">
        <v>1275</v>
      </c>
      <c r="N88" s="3" t="s">
        <v>2280</v>
      </c>
    </row>
    <row r="89" spans="1:14" ht="70">
      <c r="A89" s="3" t="s">
        <v>2053</v>
      </c>
      <c r="B89" s="3" t="s">
        <v>1939</v>
      </c>
      <c r="C89" s="3" t="s">
        <v>819</v>
      </c>
      <c r="D89" s="3" t="s">
        <v>848</v>
      </c>
      <c r="E89" s="3" t="s">
        <v>871</v>
      </c>
      <c r="F89" s="15">
        <v>22.680554000000001</v>
      </c>
      <c r="G89" s="15">
        <v>120.29821</v>
      </c>
      <c r="H89" s="3" t="s">
        <v>1261</v>
      </c>
      <c r="I89" s="3" t="s">
        <v>1944</v>
      </c>
      <c r="J89" s="3" t="s">
        <v>66</v>
      </c>
      <c r="K89" s="5" t="s">
        <v>872</v>
      </c>
      <c r="L89" s="5" t="s">
        <v>2056</v>
      </c>
      <c r="M89" s="3" t="s">
        <v>1764</v>
      </c>
      <c r="N89" s="3" t="s">
        <v>2280</v>
      </c>
    </row>
  </sheetData>
  <mergeCells count="1">
    <mergeCell ref="A1:M1"/>
  </mergeCells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"/>
  <sheetViews>
    <sheetView workbookViewId="0"/>
  </sheetViews>
  <sheetFormatPr defaultRowHeight="14"/>
  <cols>
    <col min="1" max="1" width="20" customWidth="1"/>
    <col min="2" max="2" width="105" customWidth="1"/>
    <col min="3" max="6" width="4" customWidth="1"/>
  </cols>
  <sheetData>
    <row r="1" spans="1:6" ht="19">
      <c r="A1" s="45" t="s">
        <v>2281</v>
      </c>
      <c r="B1" s="45"/>
      <c r="C1" s="45"/>
      <c r="D1" s="45"/>
      <c r="E1" s="45"/>
      <c r="F1" s="45"/>
    </row>
    <row r="2" spans="1:6">
      <c r="A2" s="34" t="s">
        <v>1189</v>
      </c>
      <c r="B2" s="34" t="s">
        <v>2282</v>
      </c>
      <c r="C2" s="34"/>
      <c r="D2" s="34"/>
      <c r="E2" s="34"/>
      <c r="F2" s="34"/>
    </row>
    <row r="3" spans="1:6">
      <c r="A3" s="3" t="s">
        <v>2283</v>
      </c>
      <c r="B3" s="3" t="s">
        <v>2284</v>
      </c>
      <c r="C3" s="3"/>
      <c r="D3" s="3"/>
      <c r="E3" s="3"/>
      <c r="F3" s="3"/>
    </row>
    <row r="4" spans="1:6">
      <c r="A4" s="3" t="s">
        <v>2285</v>
      </c>
      <c r="B4" s="3" t="s">
        <v>2286</v>
      </c>
      <c r="C4" s="3"/>
      <c r="D4" s="3"/>
      <c r="E4" s="3"/>
      <c r="F4" s="3"/>
    </row>
    <row r="5" spans="1:6">
      <c r="A5" s="3" t="s">
        <v>2287</v>
      </c>
      <c r="B5" s="3" t="s">
        <v>2288</v>
      </c>
      <c r="C5" s="3"/>
      <c r="D5" s="3"/>
      <c r="E5" s="3"/>
      <c r="F5" s="3"/>
    </row>
    <row r="6" spans="1:6">
      <c r="A6" s="3" t="s">
        <v>2289</v>
      </c>
      <c r="B6" s="3" t="s">
        <v>2290</v>
      </c>
      <c r="C6" s="3"/>
      <c r="D6" s="3"/>
      <c r="E6" s="3"/>
      <c r="F6" s="3"/>
    </row>
    <row r="7" spans="1:6">
      <c r="A7" s="3" t="s">
        <v>2291</v>
      </c>
      <c r="B7" s="3" t="s">
        <v>2292</v>
      </c>
      <c r="C7" s="3"/>
      <c r="D7" s="3"/>
      <c r="E7" s="3"/>
      <c r="F7" s="3"/>
    </row>
    <row r="8" spans="1:6">
      <c r="A8" s="3" t="s">
        <v>2293</v>
      </c>
      <c r="B8" s="3" t="s">
        <v>2294</v>
      </c>
      <c r="C8" s="3"/>
      <c r="D8" s="3"/>
      <c r="E8" s="3"/>
      <c r="F8" s="3"/>
    </row>
    <row r="9" spans="1:6">
      <c r="A9" s="3" t="s">
        <v>2261</v>
      </c>
      <c r="B9" s="3" t="s">
        <v>2295</v>
      </c>
      <c r="C9" s="3"/>
      <c r="D9" s="3"/>
      <c r="E9" s="3"/>
      <c r="F9" s="3"/>
    </row>
    <row r="10" spans="1:6">
      <c r="A10" s="3" t="s">
        <v>2296</v>
      </c>
      <c r="B10" s="3" t="s">
        <v>2297</v>
      </c>
      <c r="C10" s="3"/>
      <c r="D10" s="3"/>
      <c r="E10" s="3"/>
      <c r="F10" s="3"/>
    </row>
    <row r="11" spans="1:6">
      <c r="A11" s="3" t="s">
        <v>2298</v>
      </c>
      <c r="B11" s="3" t="s">
        <v>2299</v>
      </c>
      <c r="C11" s="3"/>
      <c r="D11" s="3"/>
      <c r="E11" s="3"/>
      <c r="F11" s="3"/>
    </row>
    <row r="12" spans="1:6">
      <c r="A12" s="3" t="s">
        <v>2300</v>
      </c>
      <c r="B12" s="3" t="s">
        <v>2301</v>
      </c>
      <c r="C12" s="3"/>
      <c r="D12" s="3"/>
      <c r="E12" s="3"/>
      <c r="F12" s="3"/>
    </row>
    <row r="13" spans="1:6">
      <c r="A13" s="3" t="s">
        <v>2302</v>
      </c>
      <c r="B13" s="3" t="s">
        <v>2303</v>
      </c>
      <c r="C13" s="3"/>
      <c r="D13" s="3"/>
      <c r="E13" s="3"/>
      <c r="F13" s="3"/>
    </row>
    <row r="14" spans="1:6">
      <c r="A14" s="3" t="s">
        <v>2304</v>
      </c>
      <c r="B14" s="3" t="s">
        <v>2305</v>
      </c>
      <c r="C14" s="3"/>
      <c r="D14" s="3"/>
      <c r="E14" s="3"/>
      <c r="F14" s="3"/>
    </row>
    <row r="15" spans="1:6" ht="28">
      <c r="A15" s="3" t="s">
        <v>2268</v>
      </c>
      <c r="B15" s="3" t="s">
        <v>2306</v>
      </c>
    </row>
  </sheetData>
  <mergeCells count="1">
    <mergeCell ref="A1:F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知名公園清單</vt:lpstr>
      <vt:lpstr>縣市摘要</vt:lpstr>
      <vt:lpstr>篩選原則</vt:lpstr>
      <vt:lpstr>Google Maps複核清單</vt:lpstr>
      <vt:lpstr>新增六章節總表</vt:lpstr>
      <vt:lpstr>01老街歷史街區</vt:lpstr>
      <vt:lpstr>02鐵道舊鐵路</vt:lpstr>
      <vt:lpstr>03水岸港口漁港</vt:lpstr>
      <vt:lpstr>04文化聚落產業</vt:lpstr>
      <vt:lpstr>05城市綠道水圳</vt:lpstr>
      <vt:lpstr>06公共藝術建築</vt:lpstr>
      <vt:lpstr>六章節摘要</vt:lpstr>
      <vt:lpstr>六章節Google複核</vt:lpstr>
      <vt:lpstr>六章節使用說明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陳俊聖 廣三 HeroMI</dc:creator>
  <cp:lastModifiedBy>俊聖 廣三 HeroMI 陳</cp:lastModifiedBy>
  <dcterms:modified xsi:type="dcterms:W3CDTF">2026-07-13T10:13:04Z</dcterms:modified>
</cp:coreProperties>
</file>