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2d2020c564c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db39531427c9472f"/>
    <x:sheet xmlns:r="http://schemas.openxmlformats.org/officeDocument/2006/relationships" name="機會_跑者訓練" sheetId="2" r:id="R87512b6c3b4f49cc"/>
    <x:sheet xmlns:r="http://schemas.openxmlformats.org/officeDocument/2006/relationships" name="命運_跑者照護" sheetId="3" r:id="R48f5d98b2eb94ce1"/>
    <x:sheet xmlns:r="http://schemas.openxmlformats.org/officeDocument/2006/relationships" name="資料來源" sheetId="4" r:id="R1f9dcd7c24fb4e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14213D"/>
      <x:name val="Carlito"/>
    </x:font>
    <x:font>
      <x:sz val="10"/>
      <x:color rgb="FF172033"/>
      <x:name val="Carlito"/>
    </x:font>
    <x:font>
      <x:b/>
      <x:sz val="11"/>
      <x:color rgb="FF7F1D1D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sz val="8"/>
      <x:color rgb="FF1D4ED8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1F5F9"/>
      </x:patternFill>
    </x:fill>
    <x:fill>
      <x:patternFill patternType="solid">
        <x:fgColor rgb="FF1D4ED8"/>
      </x:patternFill>
    </x:fill>
    <x:fill>
      <x:patternFill patternType="solid">
        <x:fgColor rgb="FF166534"/>
      </x:patternFill>
    </x:fill>
    <x:fill>
      <x:patternFill patternType="solid">
        <x:fgColor rgb="FFF0FDF4"/>
      </x:patternFill>
    </x:fill>
    <x:fill>
      <x:patternFill patternType="solid">
        <x:fgColor rgb="FFB91C1C"/>
      </x:patternFill>
    </x:fill>
    <x:fill>
      <x:patternFill patternType="solid">
        <x:fgColor rgb="FFFEE2E2"/>
      </x:patternFill>
    </x:fill>
    <x:fill>
      <x:patternFill patternType="solid">
        <x:fgColor rgb="FFB7791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FEDD5"/>
      </x:patternFill>
    </x:fill>
  </x:fills>
  <x:borders count="1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left style="thin">
        <x:color rgb="FFB91C1C"/>
      </x:left>
      <x:top style="thin">
        <x:color rgb="FFB91C1C"/>
      </x:top>
    </x:border>
    <x:border>
      <x:top style="thin">
        <x:color rgb="FFB91C1C"/>
      </x:top>
    </x:border>
    <x:border>
      <x:right style="thin">
        <x:color rgb="FFB91C1C"/>
      </x:right>
      <x:top style="thin">
        <x:color rgb="FFB91C1C"/>
      </x:top>
    </x:border>
    <x:border>
      <x:left style="thin">
        <x:color rgb="FFB91C1C"/>
      </x:left>
    </x:border>
    <x:border>
      <x:right style="thin">
        <x:color rgb="FFB91C1C"/>
      </x:right>
    </x:border>
    <x:border>
      <x:left style="thin">
        <x:color rgb="FFB91C1C"/>
      </x:left>
      <x:bottom style="thin">
        <x:color rgb="FFB91C1C"/>
      </x:bottom>
    </x:border>
    <x:border>
      <x:bottom style="thin">
        <x:color rgb="FFB91C1C"/>
      </x:bottom>
    </x:border>
    <x:border>
      <x:right style="thin">
        <x:color rgb="FFB91C1C"/>
      </x:right>
      <x:bottom style="thin">
        <x:color rgb="FFB91C1C"/>
      </x:bottom>
    </x:border>
  </x:borders>
  <x:cellStyleXfs count="1">
    <x:xf numFmtId="0" fontId="0" fillId="0" borderId="0"/>
  </x:cellStyleXfs>
  <x:cellXfs count="1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7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8" xfId="0" applyNumberFormat="1" applyFont="1" applyFill="1" applyBorder="1"/>
    <x:xf numFmtId="0" fontId="5" fillId="6" borderId="6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9" xfId="0" applyNumberFormat="1" applyFont="1" applyFill="1" applyBorder="1"/>
    <x:xf numFmtId="0" fontId="6" fillId="8" borderId="10" xfId="0" applyNumberFormat="1" applyFont="1" applyFill="1" applyBorder="1"/>
    <x:xf numFmtId="0" fontId="6" fillId="8" borderId="11" xfId="0" applyNumberFormat="1" applyFont="1" applyFill="1" applyBorder="1"/>
    <x:xf numFmtId="0" fontId="6" fillId="8" borderId="12" xfId="0" applyNumberFormat="1" applyFont="1" applyFill="1" applyBorder="1"/>
    <x:xf numFmtId="0" fontId="6" fillId="8" borderId="13" xfId="0" applyNumberFormat="1" applyFont="1" applyFill="1" applyBorder="1"/>
    <x:xf numFmtId="0" fontId="6" fillId="8" borderId="14" xfId="0" applyNumberFormat="1" applyFont="1" applyFill="1" applyBorder="1"/>
    <x:xf numFmtId="0" fontId="6" fillId="8" borderId="15" xfId="0" applyNumberFormat="1" applyFont="1" applyFill="1" applyBorder="1"/>
    <x:xf numFmtId="0" fontId="6" fillId="8" borderId="16" xfId="0" applyNumberFormat="1" applyFont="1" applyFill="1" applyBorder="1"/>
    <x:xf numFmtId="0" fontId="6" fillId="8" borderId="9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wrapText="1"/>
    </x:xf>
    <x:xf numFmtId="0" fontId="6" fillId="8" borderId="11" xfId="0" applyNumberFormat="1" applyFont="1" applyFill="1" applyBorder="1" applyAlignment="1">
      <x:alignment wrapText="1"/>
    </x:xf>
    <x:xf numFmtId="0" fontId="6" fillId="8" borderId="12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6" fillId="8" borderId="13" xfId="0" applyNumberFormat="1" applyFont="1" applyFill="1" applyBorder="1" applyAlignment="1">
      <x:alignment wrapText="1"/>
    </x:xf>
    <x:xf numFmtId="0" fontId="6" fillId="8" borderId="14" xfId="0" applyNumberFormat="1" applyFont="1" applyFill="1" applyBorder="1" applyAlignment="1">
      <x:alignment wrapText="1"/>
    </x:xf>
    <x:xf numFmtId="0" fontId="6" fillId="8" borderId="15" xfId="0" applyNumberFormat="1" applyFont="1" applyFill="1" applyBorder="1" applyAlignment="1">
      <x:alignment wrapText="1"/>
    </x:xf>
    <x:xf numFmtId="0" fontId="6" fillId="8" borderId="16" xfId="0" applyNumberFormat="1" applyFont="1" applyFill="1" applyBorder="1" applyAlignment="1">
      <x:alignment wrapText="1"/>
    </x:xf>
    <x:xf numFmtId="0" fontId="6" fillId="8" borderId="9" xfId="0" applyNumberFormat="1" applyFont="1" applyFill="1" applyBorder="1" applyAlignment="1">
      <x:alignment vertical="top" wrapText="1"/>
    </x:xf>
    <x:xf numFmtId="0" fontId="6" fillId="8" borderId="10" xfId="0" applyNumberFormat="1" applyFont="1" applyFill="1" applyBorder="1" applyAlignment="1">
      <x:alignment vertical="top" wrapText="1"/>
    </x:xf>
    <x:xf numFmtId="0" fontId="6" fillId="8" borderId="11" xfId="0" applyNumberFormat="1" applyFont="1" applyFill="1" applyBorder="1" applyAlignment="1">
      <x:alignment vertical="top" wrapText="1"/>
    </x:xf>
    <x:xf numFmtId="0" fontId="6" fillId="8" borderId="12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13" xfId="0" applyNumberFormat="1" applyFont="1" applyFill="1" applyBorder="1" applyAlignment="1">
      <x:alignment vertical="top" wrapText="1"/>
    </x:xf>
    <x:xf numFmtId="0" fontId="6" fillId="8" borderId="14" xfId="0" applyNumberFormat="1" applyFont="1" applyFill="1" applyBorder="1" applyAlignment="1">
      <x:alignment vertical="top" wrapText="1"/>
    </x:xf>
    <x:xf numFmtId="0" fontId="6" fillId="8" borderId="15" xfId="0" applyNumberFormat="1" applyFont="1" applyFill="1" applyBorder="1" applyAlignment="1">
      <x:alignment vertical="top" wrapText="1"/>
    </x:xf>
    <x:xf numFmtId="0" fontId="6" fillId="8" borderId="1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1" borderId="3" xfId="0" applyNumberFormat="1" applyFont="1" applyFill="1" applyBorder="1" applyAlignment="1">
      <x:alignment wrapText="1"/>
    </x:xf>
    <x:xf numFmtId="0" fontId="0" fillId="12" borderId="3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7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8" xfId="0" applyNumberFormat="1" applyFont="1" applyFill="1" applyBorder="1"/>
    <x:xf numFmtId="0" fontId="8" fillId="0" borderId="6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horizontal="center" vertical="top" wrapText="1"/>
    </x:xf>
    <x:xf numFmtId="0" fontId="8" fillId="0" borderId="7" xfId="0" applyNumberFormat="1" applyFont="1" applyFill="1" applyBorder="1" applyAlignment="1">
      <x:alignment horizontal="center" vertical="top" wrapText="1"/>
    </x:xf>
    <x:xf numFmtId="0" fontId="8" fillId="0" borderId="3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8" fillId="0" borderId="5" xfId="0" applyNumberFormat="1" applyFont="1" applyFill="1" applyBorder="1" applyAlignment="1">
      <x:alignment horizontal="center" vertical="top" wrapText="1"/>
    </x:xf>
    <x:xf numFmtId="0" fontId="8" fillId="0" borderId="8" xfId="0" applyNumberFormat="1" applyFont="1" applyFill="1" applyBorder="1" applyAlignment="1">
      <x:alignment horizontal="center" vertical="top" wrapText="1"/>
    </x:xf>
    <x:xf numFmtId="0" fontId="8" fillId="0" borderId="2" xfId="0" applyNumberFormat="1" applyFont="1" applyFill="1" applyBorder="1" applyAlignment="1">
      <x:alignment horizontal="center" vertical="top" wrapText="1"/>
    </x:xf>
    <x:xf numFmtId="0" fontId="8" fillId="0" borderId="4" xfId="0" applyNumberFormat="1" applyFont="1" applyFill="1" applyBorder="1" applyAlignment="1">
      <x:alignment horizontal="center" vertical="top" wrapText="1"/>
    </x:xf>
    <x:xf numFmtId="0" fontId="8" fillId="0" borderId="6" xfId="0" applyNumberFormat="1" applyFont="1" applyFill="1" applyBorder="1" applyAlignment="1">
      <x:alignment horizontal="center"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200" fontId="8" fillId="0" borderId="7" xfId="0" applyNumberFormat="1" applyFont="1" applyFill="1" applyBorder="1" applyAlignment="1">
      <x:alignment horizontal="center" vertical="top" wrapText="1"/>
    </x:xf>
    <x:xf numFmtId="200" fontId="8" fillId="0" borderId="0" xfId="0" applyNumberFormat="1" applyFont="1" applyFill="1" applyBorder="1" applyAlignment="1">
      <x:alignment horizontal="center" vertical="top" wrapText="1"/>
    </x:xf>
    <x:xf numFmtId="200" fontId="8" fillId="0" borderId="8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0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B7791F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B7791F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2dc78958740fa" /><Relationship Type="http://schemas.openxmlformats.org/officeDocument/2006/relationships/theme" Target="/xl/theme/theme1.xml" Id="Rc717d90d57144b2c" /><Relationship Type="http://schemas.openxmlformats.org/officeDocument/2006/relationships/sharedStrings" Target="/xl/sharedStrings.xml" Id="R37a33eda0b584032" /><Relationship Type="http://schemas.openxmlformats.org/officeDocument/2006/relationships/worksheet" Target="/xl/worksheets/sheet1.xml" Id="Rdb39531427c9472f" /><Relationship Type="http://schemas.openxmlformats.org/officeDocument/2006/relationships/worksheet" Target="/xl/worksheets/sheet2.xml" Id="R87512b6c3b4f49cc" /><Relationship Type="http://schemas.openxmlformats.org/officeDocument/2006/relationships/worksheet" Target="/xl/worksheets/sheet3.xml" Id="R48f5d98b2eb94ce1" /><Relationship Type="http://schemas.openxmlformats.org/officeDocument/2006/relationships/worksheet" Target="/xl/worksheets/sheet4.xml" Id="R1f9dcd7c24fb4e3f" /></Relationships>
</file>

<file path=xl/tables/table1.xml><?xml version="1.0" encoding="utf-8"?>
<x:table xmlns:x="http://schemas.openxmlformats.org/spreadsheetml/2006/main" id="1" name="ChanceCards" displayName="ChanceCards" ref="A4:S204" headerRowCount="1" totalsRowCount="0" totalsRowShown="0">
  <x:tableColumns count="19">
    <x:tableColumn id="1" name="ID"/>
    <x:tableColumn id="2" name="觸發類型"/>
    <x:tableColumn id="3" name="主題目標"/>
    <x:tableColumn id="4" name="主分類"/>
    <x:tableColumn id="5" name="子主題"/>
    <x:tableColumn id="6" name="卡片標題"/>
    <x:tableColumn id="7" name="卡片正文（≤500字）"/>
    <x:tableColumn id="8" name="玩家行動"/>
    <x:tableColumn id="9" name="適用時機"/>
    <x:tableColumn id="10" name="重要程度"/>
    <x:tableColumn id="11" name="處置層級"/>
    <x:tableColumn id="12" name="建議遊戲效果"/>
    <x:tableColumn id="13" name="風險提醒"/>
    <x:tableColumn id="14" name="正文字數"/>
    <x:tableColumn id="15" name="來源代碼"/>
    <x:tableColumn id="16" name="來源機構"/>
    <x:tableColumn id="17" name="來源文件"/>
    <x:tableColumn id="18" name="來源網址"/>
    <x:tableColumn id="19" name="審校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teCards" displayName="FateCards" ref="A4:S204" headerRowCount="1" totalsRowCount="0" totalsRowShown="0">
  <x:tableColumns count="19">
    <x:tableColumn id="1" name="ID"/>
    <x:tableColumn id="2" name="觸發類型"/>
    <x:tableColumn id="3" name="主題目標"/>
    <x:tableColumn id="4" name="主分類"/>
    <x:tableColumn id="5" name="子主題"/>
    <x:tableColumn id="6" name="卡片標題"/>
    <x:tableColumn id="7" name="卡片正文（≤500字）"/>
    <x:tableColumn id="8" name="玩家行動"/>
    <x:tableColumn id="9" name="適用時機"/>
    <x:tableColumn id="10" name="重要程度"/>
    <x:tableColumn id="11" name="處置層級"/>
    <x:tableColumn id="12" name="建議遊戲效果"/>
    <x:tableColumn id="13" name="風險提醒"/>
    <x:tableColumn id="14" name="正文字數"/>
    <x:tableColumn id="15" name="來源代碼"/>
    <x:tableColumn id="16" name="來源機構"/>
    <x:tableColumn id="17" name="來源文件"/>
    <x:tableColumn id="18" name="來源網址"/>
    <x:tableColumn id="19" name="審校日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4:F84" headerRowCount="1" totalsRowCount="0" totalsRowShown="0">
  <x:tableColumns count="6">
    <x:tableColumn id="1" name="來源代碼"/>
    <x:tableColumn id="2" name="機構"/>
    <x:tableColumn id="3" name="文件／研究"/>
    <x:tableColumn id="4" name="對應主題"/>
    <x:tableColumn id="5" name="URL"/>
    <x:tableColumn id="6" name="審校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abe5771c7546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791a49bf5b4a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bd63f653e344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DOR「環台跑者」大富翁｜機會與命運資訊庫</x:v>
      </x:c>
    </x:row>
    <x:row r="2" ht="28" customHeight="1">
      <x:c r="A2" s="7" t="str">
        <x:v>400 篇原創繁體中文卡片資訊；機會＝跑者訓練，命運＝跑者照護。審校日期：2026-07-27</x:v>
      </x:c>
    </x:row>
    <x:row r="4">
      <x:c r="A4" s="10" t="str">
        <x:v>資料品質儀表板</x:v>
      </x:c>
      <x:c r="B4" s="10" t="str">
        <x:v>結果</x:v>
      </x:c>
      <x:c r="D4" s="31" t="str">
        <x:v>使用方式</x:v>
      </x:c>
    </x:row>
    <x:row r="5" ht="24" customHeight="1">
      <x:c r="A5" s="17" t="str">
        <x:v>機會篇數</x:v>
      </x:c>
      <x:c r="B5" s="26" t="n">
        <x:f>COUNTA('機會_跑者訓練'!A5:A204)</x:f>
        <x:v>200</x:v>
      </x:c>
      <x:c r="D5" s="51" t="str">
        <x:v>1. 兩個資料表各 200 篇，可用篩選器依主分類、重要程度與處置層級挑卡。
2. 「卡片正文」已包含原則與玩家行動，可直接貼入卡牌；正文欄皆少於 500 字。
3. 「建議遊戲效果」是平衡起點，可依你的健康值、訓練值與 PB 點數規則調整。
4. 每篇都標示來源代碼、機構、文件與 URL；詳細書目在「資料來源」。
5. 若後續要印卡，可只匯出 ID、卡片標題、卡片正文與建議遊戲效果。</x:v>
      </x:c>
      <x:c r="E5" s="52"/>
      <x:c r="F5" s="52"/>
      <x:c r="G5" s="52"/>
      <x:c r="H5" s="53"/>
    </x:row>
    <x:row r="6" ht="24" customHeight="1">
      <x:c r="A6" s="19" t="str">
        <x:v>命運篇數</x:v>
      </x:c>
      <x:c r="B6" s="27" t="n">
        <x:f>COUNTA('命運_跑者照護'!A5:A204)</x:f>
        <x:v>200</x:v>
      </x:c>
      <x:c r="D6" s="54"/>
      <x:c r="E6" s="55"/>
      <x:c r="F6" s="55"/>
      <x:c r="G6" s="55"/>
      <x:c r="H6" s="56"/>
    </x:row>
    <x:row r="7" ht="24" customHeight="1">
      <x:c r="A7" s="19" t="str">
        <x:v>總篇數</x:v>
      </x:c>
      <x:c r="B7" s="27" t="n">
        <x:f>B5+B6</x:f>
        <x:v>400</x:v>
      </x:c>
      <x:c r="D7" s="54"/>
      <x:c r="E7" s="55"/>
      <x:c r="F7" s="55"/>
      <x:c r="G7" s="55"/>
      <x:c r="H7" s="56"/>
    </x:row>
    <x:row r="8" ht="24" customHeight="1">
      <x:c r="A8" s="19" t="str">
        <x:v>機會最長正文</x:v>
      </x:c>
      <x:c r="B8" s="27" t="n">
        <x:f>MAX('機會_跑者訓練'!N5:N204)</x:f>
        <x:v>79</x:v>
      </x:c>
      <x:c r="D8" s="54"/>
      <x:c r="E8" s="55"/>
      <x:c r="F8" s="55"/>
      <x:c r="G8" s="55"/>
      <x:c r="H8" s="56"/>
    </x:row>
    <x:row r="9" ht="24" customHeight="1">
      <x:c r="A9" s="19" t="str">
        <x:v>命運最長正文</x:v>
      </x:c>
      <x:c r="B9" s="27" t="n">
        <x:f>MAX('命運_跑者照護'!N5:N204)</x:f>
        <x:v>94</x:v>
      </x:c>
      <x:c r="D9" s="57"/>
      <x:c r="E9" s="58"/>
      <x:c r="F9" s="58"/>
      <x:c r="G9" s="58"/>
      <x:c r="H9" s="59"/>
    </x:row>
    <x:row r="10" ht="24" customHeight="1">
      <x:c r="A10" s="19" t="str">
        <x:v>超過 500 字</x:v>
      </x:c>
      <x:c r="B10" s="27" t="n">
        <x:f>COUNTIF('機會_跑者訓練'!N5:N204,"&gt;500")+COUNTIF('命運_跑者照護'!N5:N204,"&gt;500")</x:f>
        <x:v>0</x:v>
      </x:c>
    </x:row>
    <x:row r="11" ht="24" customHeight="1">
      <x:c r="A11" s="19" t="str">
        <x:v>唯一標題數</x:v>
      </x:c>
      <x:c r="B11" s="27" t="n">
        <x:f>COUNTA('機會_跑者訓練'!F5:F204)+COUNTA('命運_跑者照護'!F5:F204)</x:f>
        <x:v>400</x:v>
      </x:c>
    </x:row>
    <x:row r="12" ht="24" customHeight="1">
      <x:c r="A12" s="21" t="str">
        <x:v>引用來源數</x:v>
      </x:c>
      <x:c r="B12" s="28" t="n">
        <x:f>COUNTA('資料來源'!A5:A84)</x:f>
        <x:v>80</x:v>
      </x:c>
    </x:row>
    <x:row r="14">
      <x:c r="A14" s="62" t="str">
        <x:v>重要醫療與安全聲明</x:v>
      </x:c>
    </x:row>
    <x:row r="15">
      <x:c r="A15" s="82" t="str">
        <x:v>本資料庫用於遊戲設計與一般運動健康教育，不替代個別診斷、治療、復健或用藥建議。
跑步中若出現胸痛、呼吸困難、昏厥、意識混亂、疑似中風、抽搐、無法承重、明顯變形、嚴重出血或可樂色尿，請立即停止並啟動緊急救護；在臺灣撥打 119。
有慢性病、懷孕、正在用藥、曾有熱中暑／骨壓力傷害／心血管症狀者，開始或恢復高強度訓練前應先諮詢合格醫療專業。</x:v>
      </x:c>
      <x:c r="B15" s="83"/>
      <x:c r="C15" s="83"/>
      <x:c r="D15" s="83"/>
      <x:c r="E15" s="83"/>
      <x:c r="F15" s="83"/>
      <x:c r="G15" s="83"/>
      <x:c r="H15" s="84"/>
    </x:row>
    <x:row r="16">
      <x:c r="A16" s="85"/>
      <x:c r="B16" s="86"/>
      <x:c r="C16" s="86"/>
      <x:c r="D16" s="86"/>
      <x:c r="E16" s="86"/>
      <x:c r="F16" s="86"/>
      <x:c r="G16" s="86"/>
      <x:c r="H16" s="87"/>
    </x:row>
    <x:row r="17">
      <x:c r="A17" s="85"/>
      <x:c r="B17" s="86"/>
      <x:c r="C17" s="86"/>
      <x:c r="D17" s="86"/>
      <x:c r="E17" s="86"/>
      <x:c r="F17" s="86"/>
      <x:c r="G17" s="86"/>
      <x:c r="H17" s="87"/>
    </x:row>
    <x:row r="18">
      <x:c r="A18" s="85"/>
      <x:c r="B18" s="86"/>
      <x:c r="C18" s="86"/>
      <x:c r="D18" s="86"/>
      <x:c r="E18" s="86"/>
      <x:c r="F18" s="86"/>
      <x:c r="G18" s="86"/>
      <x:c r="H18" s="87"/>
    </x:row>
    <x:row r="19">
      <x:c r="A19" s="85"/>
      <x:c r="B19" s="86"/>
      <x:c r="C19" s="86"/>
      <x:c r="D19" s="86"/>
      <x:c r="E19" s="86"/>
      <x:c r="F19" s="86"/>
      <x:c r="G19" s="86"/>
      <x:c r="H19" s="87"/>
    </x:row>
    <x:row r="20">
      <x:c r="A20" s="88"/>
      <x:c r="B20" s="89"/>
      <x:c r="C20" s="89"/>
      <x:c r="D20" s="89"/>
      <x:c r="E20" s="89"/>
      <x:c r="F20" s="89"/>
      <x:c r="G20" s="89"/>
      <x:c r="H20" s="90"/>
    </x:row>
    <x:row r="22">
      <x:c r="A22" s="93" t="str">
        <x:v>處置層級說明</x:v>
      </x:c>
    </x:row>
    <x:row r="23" ht="28" customHeight="1">
      <x:c r="A23" s="106" t="str">
        <x:v>一般</x:v>
      </x:c>
      <x:c r="B23" s="98" t="str">
        <x:v>日常教育與自我管理</x:v>
      </x:c>
      <x:c r="C23" s="98" t="str">
        <x:v>可依個人狀況實行</x:v>
      </x:c>
      <x:c r="D23" s="99" t="str">
        <x:v>綠</x:v>
      </x:c>
    </x:row>
    <x:row r="24" ht="28" customHeight="1">
      <x:c r="A24" s="107" t="str">
        <x:v>留意</x:v>
      </x:c>
      <x:c r="B24" s="101" t="str">
        <x:v>需降低負荷或觀察</x:v>
      </x:c>
      <x:c r="C24" s="101" t="str">
        <x:v>症狀持續／惡化應評估</x:v>
      </x:c>
      <x:c r="D24" s="102" t="str">
        <x:v>黃</x:v>
      </x:c>
    </x:row>
    <x:row r="25" ht="28" customHeight="1">
      <x:c r="A25" s="108" t="str">
        <x:v>停止運動</x:v>
      </x:c>
      <x:c r="B25" s="101" t="str">
        <x:v>不應再用跑步測試</x:v>
      </x:c>
      <x:c r="C25" s="101" t="str">
        <x:v>保護、休息並安排評估</x:v>
      </x:c>
      <x:c r="D25" s="102" t="str">
        <x:v>橘</x:v>
      </x:c>
    </x:row>
    <x:row r="26" ht="28" customHeight="1">
      <x:c r="A26" s="109" t="str">
        <x:v>緊急</x:v>
      </x:c>
      <x:c r="B26" s="104" t="str">
        <x:v>可能危及生命或肢體</x:v>
      </x:c>
      <x:c r="C26" s="104" t="str">
        <x:v>立即求助；臺灣 119</x:v>
      </x:c>
      <x:c r="D26" s="105" t="str">
        <x:v>紅</x:v>
      </x:c>
    </x:row>
  </x:sheetData>
  <x:mergeCells>
    <x:mergeCell ref="A1:H1"/>
    <x:mergeCell ref="A2:H2"/>
    <x:mergeCell ref="D4:H4"/>
    <x:mergeCell ref="D5:H9"/>
    <x:mergeCell ref="A14:H14"/>
    <x:mergeCell ref="A15:H20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9" hidden="0" customWidth="1"/>
    <x:col min="3" max="3" width="22" hidden="0" customWidth="1"/>
    <x:col min="4" max="4" width="13" hidden="0" customWidth="1"/>
    <x:col min="5" max="5" width="20" hidden="0" customWidth="1"/>
    <x:col min="6" max="6" width="22" hidden="0" customWidth="1"/>
    <x:col min="7" max="7" width="55" hidden="0" customWidth="1"/>
    <x:col min="8" max="8" width="38" hidden="0" customWidth="1"/>
    <x:col min="9" max="9" width="16" hidden="0" customWidth="1"/>
    <x:col min="10" max="10" width="10" hidden="0" customWidth="1"/>
    <x:col min="11" max="11" width="12" hidden="0" customWidth="1"/>
    <x:col min="12" max="12" width="22" hidden="0" customWidth="1"/>
    <x:col min="13" max="13" width="36" hidden="0" customWidth="1"/>
    <x:col min="14" max="14" width="10" hidden="0" customWidth="1"/>
    <x:col min="15" max="15" width="11" hidden="0" customWidth="1"/>
    <x:col min="16" max="16" width="24" hidden="0" customWidth="1"/>
    <x:col min="17" max="17" width="34" hidden="0" customWidth="1"/>
    <x:col min="18" max="18" width="48" hidden="0" customWidth="1"/>
    <x:col min="19" max="19" width="12" hidden="0" customWidth="1"/>
  </x:cols>
  <x:sheetData>
    <x:row r="1" ht="34" customHeight="1">
      <x:c r="A1" s="4" t="str">
        <x:v>機會｜跑者訓練 200 篇</x:v>
      </x:c>
    </x:row>
    <x:row r="2" ht="28" customHeight="1">
      <x:c r="A2" s="7" t="str">
        <x:v>目標：提升成績、穩定訓練並突破 PB。每篇正文均含原則與可執行行動。</x:v>
      </x:c>
    </x:row>
    <x:row r="4" ht="32" customHeight="1">
      <x:c r="A4" s="113" t="str">
        <x:v>ID</x:v>
      </x:c>
      <x:c r="B4" s="113" t="str">
        <x:v>觸發類型</x:v>
      </x:c>
      <x:c r="C4" s="113" t="str">
        <x:v>主題目標</x:v>
      </x:c>
      <x:c r="D4" s="113" t="str">
        <x:v>主分類</x:v>
      </x:c>
      <x:c r="E4" s="113" t="str">
        <x:v>子主題</x:v>
      </x:c>
      <x:c r="F4" s="113" t="str">
        <x:v>卡片標題</x:v>
      </x:c>
      <x:c r="G4" s="113" t="str">
        <x:v>卡片正文（≤500字）</x:v>
      </x:c>
      <x:c r="H4" s="113" t="str">
        <x:v>玩家行動</x:v>
      </x:c>
      <x:c r="I4" s="113" t="str">
        <x:v>適用時機</x:v>
      </x:c>
      <x:c r="J4" s="113" t="str">
        <x:v>重要程度</x:v>
      </x:c>
      <x:c r="K4" s="113" t="str">
        <x:v>處置層級</x:v>
      </x:c>
      <x:c r="L4" s="113" t="str">
        <x:v>建議遊戲效果</x:v>
      </x:c>
      <x:c r="M4" s="113" t="str">
        <x:v>風險提醒</x:v>
      </x:c>
      <x:c r="N4" s="113" t="str">
        <x:v>正文字數</x:v>
      </x:c>
      <x:c r="O4" s="113" t="str">
        <x:v>來源代碼</x:v>
      </x:c>
      <x:c r="P4" s="113" t="str">
        <x:v>來源機構</x:v>
      </x:c>
      <x:c r="Q4" s="113" t="str">
        <x:v>來源文件</x:v>
      </x:c>
      <x:c r="R4" s="113" t="str">
        <x:v>來源網址</x:v>
      </x:c>
      <x:c r="S4" s="113" t="str">
        <x:v>審校日期</x:v>
      </x:c>
    </x:row>
    <x:row r="5" ht="58" customHeight="1">
      <x:c r="A5" s="141" t="str">
        <x:v>CH-001</x:v>
      </x:c>
      <x:c r="B5" s="142" t="str">
        <x:v>機會</x:v>
      </x:c>
      <x:c r="C5" s="133" t="str">
        <x:v>跑者訓練：提升成績與突破 PB</x:v>
      </x:c>
      <x:c r="D5" s="133" t="str">
        <x:v>目標與基準</x:v>
      </x:c>
      <x:c r="E5" s="133" t="str">
        <x:v>設定可執行的 PB 路線</x:v>
      </x:c>
      <x:c r="F5" s="133" t="str">
        <x:v>先鎖定測驗距離</x:v>
      </x:c>
      <x:c r="G5" s="133" t="str">
        <x:v>PB 必須對應明確距離；5K 的速度需求和全馬的耐久需求不同。
行動：先選本季唯一主攻距離，再安排輔助賽。</x:v>
      </x:c>
      <x:c r="H5" s="133" t="str">
        <x:v>先選本季唯一主攻距離，再安排輔助賽。</x:v>
      </x:c>
      <x:c r="I5" s="133" t="str">
        <x:v>賽季開始前</x:v>
      </x:c>
      <x:c r="J5" s="142" t="str">
        <x:v>高</x:v>
      </x:c>
      <x:c r="K5" s="142" t="str">
        <x:v>一般</x:v>
      </x:c>
      <x:c r="L5" s="133" t="str">
        <x:v>訓練值 +2；PB 點數 +1</x:v>
      </x:c>
      <x:c r="M5" s="133" t="str">
        <x:v>依個人經驗、健康狀況與環境調整；不適時停止。</x:v>
      </x:c>
      <x:c r="N5" s="153" t="n">
        <x:f>LEN(G5)</x:f>
        <x:v>53</x:v>
      </x:c>
      <x:c r="O5" s="142" t="str">
        <x:v>S019</x:v>
      </x:c>
      <x:c r="P5" s="133" t="str">
        <x:v>Sports Medicine／PubMed</x:v>
      </x:c>
      <x:c r="Q5" s="133" t="str">
        <x:v>Session RPE systematic review</x:v>
      </x:c>
      <x:c r="R5" s="150" t="str">
        <x:v>https://pubmed.ncbi.nlm.nih.gov/36361320/</x:v>
      </x:c>
      <x:c r="S5" s="147" t="str">
        <x:v>2026-07-27</x:v>
      </x:c>
    </x:row>
    <x:row r="6" ht="58" customHeight="1">
      <x:c r="A6" s="143" t="str">
        <x:v>CH-002</x:v>
      </x:c>
      <x:c r="B6" s="144" t="str">
        <x:v>機會</x:v>
      </x:c>
      <x:c r="C6" s="136" t="str">
        <x:v>跑者訓練：提升成績與突破 PB</x:v>
      </x:c>
      <x:c r="D6" s="136" t="str">
        <x:v>目標與基準</x:v>
      </x:c>
      <x:c r="E6" s="136" t="str">
        <x:v>設定可執行的 PB 路線</x:v>
      </x:c>
      <x:c r="F6" s="136" t="str">
        <x:v>用近期成績定配速</x:v>
      </x:c>
      <x:c r="G6" s="136" t="str">
        <x:v>訓練配速應從目前能力出發，而不是從夢想完賽時間倒推。
行動：以近 4–8 週的測驗或比賽結果設定區間，疲勞或炎熱時再下修。</x:v>
      </x:c>
      <x:c r="H6" s="136" t="str">
        <x:v>以近 4–8 週的測驗或比賽結果設定區間，疲勞或炎熱時再下修。</x:v>
      </x:c>
      <x:c r="I6" s="136" t="str">
        <x:v>訂計畫時</x:v>
      </x:c>
      <x:c r="J6" s="144" t="str">
        <x:v>高</x:v>
      </x:c>
      <x:c r="K6" s="144" t="str">
        <x:v>一般</x:v>
      </x:c>
      <x:c r="L6" s="136" t="str">
        <x:v>訓練值 +2；PB 點數 +1</x:v>
      </x:c>
      <x:c r="M6" s="136" t="str">
        <x:v>依個人經驗、健康狀況與環境調整；不適時停止。</x:v>
      </x:c>
      <x:c r="N6" s="154" t="n">
        <x:f>LEN(G6)</x:f>
        <x:v>61</x:v>
      </x:c>
      <x:c r="O6" s="144" t="str">
        <x:v>S019</x:v>
      </x:c>
      <x:c r="P6" s="136" t="str">
        <x:v>Sports Medicine／PubMed</x:v>
      </x:c>
      <x:c r="Q6" s="136" t="str">
        <x:v>Session RPE systematic review</x:v>
      </x:c>
      <x:c r="R6" s="151" t="str">
        <x:v>https://pubmed.ncbi.nlm.nih.gov/36361320/</x:v>
      </x:c>
      <x:c r="S6" s="148" t="str">
        <x:v>2026-07-27</x:v>
      </x:c>
    </x:row>
    <x:row r="7" ht="58" customHeight="1">
      <x:c r="A7" s="143" t="str">
        <x:v>CH-003</x:v>
      </x:c>
      <x:c r="B7" s="144" t="str">
        <x:v>機會</x:v>
      </x:c>
      <x:c r="C7" s="136" t="str">
        <x:v>跑者訓練：提升成績與突破 PB</x:v>
      </x:c>
      <x:c r="D7" s="136" t="str">
        <x:v>目標與基準</x:v>
      </x:c>
      <x:c r="E7" s="136" t="str">
        <x:v>設定可執行的 PB 路線</x:v>
      </x:c>
      <x:c r="F7" s="136" t="str">
        <x:v>建立可重複的基準測驗</x:v>
      </x:c>
      <x:c r="G7" s="136" t="str">
        <x:v>固定路線、時間與熱身，才看得出體能變化，而不是環境差異。
行動：每 4–8 週用同一種測驗比較配速、心率與主觀感受。</x:v>
      </x:c>
      <x:c r="H7" s="136" t="str">
        <x:v>每 4–8 週用同一種測驗比較配速、心率與主觀感受。</x:v>
      </x:c>
      <x:c r="I7" s="136" t="str">
        <x:v>訓練週期交界</x:v>
      </x:c>
      <x:c r="J7" s="144" t="str">
        <x:v>中</x:v>
      </x:c>
      <x:c r="K7" s="144" t="str">
        <x:v>一般</x:v>
      </x:c>
      <x:c r="L7" s="136" t="str">
        <x:v>訓練值 +1</x:v>
      </x:c>
      <x:c r="M7" s="136" t="str">
        <x:v>依個人經驗、健康狀況與環境調整；不適時停止。</x:v>
      </x:c>
      <x:c r="N7" s="154" t="n">
        <x:f>LEN(G7)</x:f>
        <x:v>58</x:v>
      </x:c>
      <x:c r="O7" s="144" t="str">
        <x:v>S019</x:v>
      </x:c>
      <x:c r="P7" s="136" t="str">
        <x:v>Sports Medicine／PubMed</x:v>
      </x:c>
      <x:c r="Q7" s="136" t="str">
        <x:v>Session RPE systematic review</x:v>
      </x:c>
      <x:c r="R7" s="151" t="str">
        <x:v>https://pubmed.ncbi.nlm.nih.gov/36361320/</x:v>
      </x:c>
      <x:c r="S7" s="148" t="str">
        <x:v>2026-07-27</x:v>
      </x:c>
    </x:row>
    <x:row r="8" ht="58" customHeight="1">
      <x:c r="A8" s="143" t="str">
        <x:v>CH-004</x:v>
      </x:c>
      <x:c r="B8" s="144" t="str">
        <x:v>機會</x:v>
      </x:c>
      <x:c r="C8" s="136" t="str">
        <x:v>跑者訓練：提升成績與突破 PB</x:v>
      </x:c>
      <x:c r="D8" s="136" t="str">
        <x:v>目標與基準</x:v>
      </x:c>
      <x:c r="E8" s="136" t="str">
        <x:v>設定可執行的 PB 路線</x:v>
      </x:c>
      <x:c r="F8" s="136" t="str">
        <x:v>把大目標拆成過程目標</x:v>
      </x:c>
      <x:c r="G8" s="136" t="str">
        <x:v>每天可控制的是睡眠、完成度與配速紀律，不是終點秒數。
行動：每週設定 2–3 個可勾選行動，例如完成長跑、兩次肌力與準時就寢。</x:v>
      </x:c>
      <x:c r="H8" s="136" t="str">
        <x:v>每週設定 2–3 個可勾選行動，例如完成長跑、兩次肌力與準時就寢。</x:v>
      </x:c>
      <x:c r="I8" s="136" t="str">
        <x:v>每週規劃</x:v>
      </x:c>
      <x:c r="J8" s="144" t="str">
        <x:v>中</x:v>
      </x:c>
      <x:c r="K8" s="144" t="str">
        <x:v>一般</x:v>
      </x:c>
      <x:c r="L8" s="136" t="str">
        <x:v>訓練值 +1</x:v>
      </x:c>
      <x:c r="M8" s="136" t="str">
        <x:v>依個人經驗、健康狀況與環境調整；不適時停止。</x:v>
      </x:c>
      <x:c r="N8" s="154" t="n">
        <x:f>LEN(G8)</x:f>
        <x:v>63</x:v>
      </x:c>
      <x:c r="O8" s="144" t="str">
        <x:v>S020</x:v>
      </x:c>
      <x:c r="P8" s="136" t="str">
        <x:v>Sports Medicine／PubMed</x:v>
      </x:c>
      <x:c r="Q8" s="136" t="str">
        <x:v>Psychological determinants of endurance performance</x:v>
      </x:c>
      <x:c r="R8" s="151" t="str">
        <x:v>https://pubmed.ncbi.nlm.nih.gov/25771784/</x:v>
      </x:c>
      <x:c r="S8" s="148" t="str">
        <x:v>2026-07-27</x:v>
      </x:c>
    </x:row>
    <x:row r="9" ht="58" customHeight="1">
      <x:c r="A9" s="143" t="str">
        <x:v>CH-005</x:v>
      </x:c>
      <x:c r="B9" s="144" t="str">
        <x:v>機會</x:v>
      </x:c>
      <x:c r="C9" s="136" t="str">
        <x:v>跑者訓練：提升成績與突破 PB</x:v>
      </x:c>
      <x:c r="D9" s="136" t="str">
        <x:v>目標與基準</x:v>
      </x:c>
      <x:c r="E9" s="136" t="str">
        <x:v>設定可執行的 PB 路線</x:v>
      </x:c>
      <x:c r="F9" s="136" t="str">
        <x:v>一次只追一個主峰值</x:v>
      </x:c>
      <x:c r="G9" s="136" t="str">
        <x:v>同時追 5K 速度與全馬高里程，容易讓訓練訊號互相牽制。
行動：主項占計畫核心，其他能力以最低有效量維持。</x:v>
      </x:c>
      <x:c r="H9" s="136" t="str">
        <x:v>主項占計畫核心，其他能力以最低有效量維持。</x:v>
      </x:c>
      <x:c r="I9" s="136" t="str">
        <x:v>賽季規劃</x:v>
      </x:c>
      <x:c r="J9" s="144" t="str">
        <x:v>中</x:v>
      </x:c>
      <x:c r="K9" s="144" t="str">
        <x:v>一般</x:v>
      </x:c>
      <x:c r="L9" s="136" t="str">
        <x:v>訓練值 +1</x:v>
      </x:c>
      <x:c r="M9" s="136" t="str">
        <x:v>依個人經驗、健康狀況與環境調整；不適時停止。</x:v>
      </x:c>
      <x:c r="N9" s="154" t="n">
        <x:f>LEN(G9)</x:f>
        <x:v>53</x:v>
      </x:c>
      <x:c r="O9" s="144" t="str">
        <x:v>S005</x:v>
      </x:c>
      <x:c r="P9" s="136" t="str">
        <x:v>Sports Medicine／PubMed</x:v>
      </x:c>
      <x:c r="Q9" s="136" t="str">
        <x:v>Polarized training systematic review and meta-analysis</x:v>
      </x:c>
      <x:c r="R9" s="151" t="str">
        <x:v>https://pubmed.ncbi.nlm.nih.gov/29863593/</x:v>
      </x:c>
      <x:c r="S9" s="148" t="str">
        <x:v>2026-07-27</x:v>
      </x:c>
    </x:row>
    <x:row r="10" ht="58" customHeight="1">
      <x:c r="A10" s="143" t="str">
        <x:v>CH-006</x:v>
      </x:c>
      <x:c r="B10" s="144" t="str">
        <x:v>機會</x:v>
      </x:c>
      <x:c r="C10" s="136" t="str">
        <x:v>跑者訓練：提升成績與突破 PB</x:v>
      </x:c>
      <x:c r="D10" s="136" t="str">
        <x:v>目標與基準</x:v>
      </x:c>
      <x:c r="E10" s="136" t="str">
        <x:v>設定可執行的 PB 路線</x:v>
      </x:c>
      <x:c r="F10" s="136" t="str">
        <x:v>目標要能依現況改版</x:v>
      </x:c>
      <x:c r="G10" s="136" t="str">
        <x:v>疾病、工作壓力與天候會改變可承受負荷；調整不是失敗。
行動：每兩週檢查完成率、睡眠與疼痛，再決定維持、增加或降載。</x:v>
      </x:c>
      <x:c r="H10" s="136" t="str">
        <x:v>每兩週檢查完成率、睡眠與疼痛，再決定維持、增加或降載。</x:v>
      </x:c>
      <x:c r="I10" s="136" t="str">
        <x:v>雙週回顧</x:v>
      </x:c>
      <x:c r="J10" s="144" t="str">
        <x:v>中</x:v>
      </x:c>
      <x:c r="K10" s="144" t="str">
        <x:v>一般</x:v>
      </x:c>
      <x:c r="L10" s="136" t="str">
        <x:v>訓練值 +1</x:v>
      </x:c>
      <x:c r="M10" s="136" t="str">
        <x:v>依個人經驗、健康狀況與環境調整；不適時停止。</x:v>
      </x:c>
      <x:c r="N10" s="154" t="n">
        <x:f>LEN(G10)</x:f>
        <x:v>57</x:v>
      </x:c>
      <x:c r="O10" s="144" t="str">
        <x:v>S003</x:v>
      </x:c>
      <x:c r="P10" s="136" t="str">
        <x:v>國際奧會（IOC）／BJSM</x:v>
      </x:c>
      <x:c r="Q10" s="136" t="str">
        <x:v>How much is too much? Part 1: load and injury risk</x:v>
      </x:c>
      <x:c r="R10" s="151" t="str">
        <x:v>https://bjsm.bmj.com/content/50/17/1030</x:v>
      </x:c>
      <x:c r="S10" s="148" t="str">
        <x:v>2026-07-27</x:v>
      </x:c>
    </x:row>
    <x:row r="11" ht="58" customHeight="1">
      <x:c r="A11" s="143" t="str">
        <x:v>CH-007</x:v>
      </x:c>
      <x:c r="B11" s="144" t="str">
        <x:v>機會</x:v>
      </x:c>
      <x:c r="C11" s="136" t="str">
        <x:v>跑者訓練：提升成績與突破 PB</x:v>
      </x:c>
      <x:c r="D11" s="136" t="str">
        <x:v>目標與基準</x:v>
      </x:c>
      <x:c r="E11" s="136" t="str">
        <x:v>設定可執行的 PB 路線</x:v>
      </x:c>
      <x:c r="F11" s="136" t="str">
        <x:v>預留賽季緩衝週</x:v>
      </x:c>
      <x:c r="G11" s="136" t="str">
        <x:v>連續進步需要吸收訓練，也需要容納旅行、生病或臨時工作。
行動：在 12–16 週計畫中預留 1–2 週可調整空間。</x:v>
      </x:c>
      <x:c r="H11" s="136" t="str">
        <x:v>在 12–16 週計畫中預留 1–2 週可調整空間。</x:v>
      </x:c>
      <x:c r="I11" s="136" t="str">
        <x:v>排課表時</x:v>
      </x:c>
      <x:c r="J11" s="144" t="str">
        <x:v>中</x:v>
      </x:c>
      <x:c r="K11" s="144" t="str">
        <x:v>一般</x:v>
      </x:c>
      <x:c r="L11" s="136" t="str">
        <x:v>訓練值 +1</x:v>
      </x:c>
      <x:c r="M11" s="136" t="str">
        <x:v>依個人經驗、健康狀況與環境調整；不適時停止。</x:v>
      </x:c>
      <x:c r="N11" s="154" t="n">
        <x:f>LEN(G11)</x:f>
        <x:v>57</x:v>
      </x:c>
      <x:c r="O11" s="144" t="str">
        <x:v>S074</x:v>
      </x:c>
      <x:c r="P11" s="136" t="str">
        <x:v>Scandinavian Journal of Medicine &amp; Science in Sports／PubMed</x:v>
      </x:c>
      <x:c r="Q11" s="136" t="str">
        <x:v>Training disruptions and marathon performance</x:v>
      </x:c>
      <x:c r="R11" s="151" t="str">
        <x:v>https://pubmed.ncbi.nlm.nih.gov/36704260/</x:v>
      </x:c>
      <x:c r="S11" s="148" t="str">
        <x:v>2026-07-27</x:v>
      </x:c>
    </x:row>
    <x:row r="12" ht="58" customHeight="1">
      <x:c r="A12" s="143" t="str">
        <x:v>CH-008</x:v>
      </x:c>
      <x:c r="B12" s="144" t="str">
        <x:v>機會</x:v>
      </x:c>
      <x:c r="C12" s="136" t="str">
        <x:v>跑者訓練：提升成績與突破 PB</x:v>
      </x:c>
      <x:c r="D12" s="136" t="str">
        <x:v>目標與基準</x:v>
      </x:c>
      <x:c r="E12" s="136" t="str">
        <x:v>設定可執行的 PB 路線</x:v>
      </x:c>
      <x:c r="F12" s="136" t="str">
        <x:v>保留可完成的餘裕</x:v>
      </x:c>
      <x:c r="G12" s="136" t="str">
        <x:v>每堂都跑到極限，會讓下一堂關鍵課失去品質。
行動：多數訓練以完成後仍能維持動作、隔天可恢復為標準。</x:v>
      </x:c>
      <x:c r="H12" s="136" t="str">
        <x:v>多數訓練以完成後仍能維持動作、隔天可恢復為標準。</x:v>
      </x:c>
      <x:c r="I12" s="136" t="str">
        <x:v>日常訓練</x:v>
      </x:c>
      <x:c r="J12" s="144" t="str">
        <x:v>中</x:v>
      </x:c>
      <x:c r="K12" s="144" t="str">
        <x:v>一般</x:v>
      </x:c>
      <x:c r="L12" s="136" t="str">
        <x:v>訓練值 +1</x:v>
      </x:c>
      <x:c r="M12" s="136" t="str">
        <x:v>依個人經驗、健康狀況與環境調整；不適時停止。</x:v>
      </x:c>
      <x:c r="N12" s="154" t="n">
        <x:f>LEN(G12)</x:f>
        <x:v>49</x:v>
      </x:c>
      <x:c r="O12" s="144" t="str">
        <x:v>S003</x:v>
      </x:c>
      <x:c r="P12" s="136" t="str">
        <x:v>國際奧會（IOC）／BJSM</x:v>
      </x:c>
      <x:c r="Q12" s="136" t="str">
        <x:v>How much is too much? Part 1: load and injury risk</x:v>
      </x:c>
      <x:c r="R12" s="151" t="str">
        <x:v>https://bjsm.bmj.com/content/50/17/1030</x:v>
      </x:c>
      <x:c r="S12" s="148" t="str">
        <x:v>2026-07-27</x:v>
      </x:c>
    </x:row>
    <x:row r="13" ht="58" customHeight="1">
      <x:c r="A13" s="143" t="str">
        <x:v>CH-009</x:v>
      </x:c>
      <x:c r="B13" s="144" t="str">
        <x:v>機會</x:v>
      </x:c>
      <x:c r="C13" s="136" t="str">
        <x:v>跑者訓練：提升成績與突破 PB</x:v>
      </x:c>
      <x:c r="D13" s="136" t="str">
        <x:v>目標與基準</x:v>
      </x:c>
      <x:c r="E13" s="136" t="str">
        <x:v>設定可執行的 PB 路線</x:v>
      </x:c>
      <x:c r="F13" s="136" t="str">
        <x:v>新手先追連續性</x:v>
      </x:c>
      <x:c r="G13" s="136" t="str">
        <x:v>規律跑幾個月，通常比偶爾一次超量課更能建立耐力。
行動：先固定每週跑步天數，再逐步延長時間或加入強度。</x:v>
      </x:c>
      <x:c r="H13" s="136" t="str">
        <x:v>先固定每週跑步天數，再逐步延長時間或加入強度。</x:v>
      </x:c>
      <x:c r="I13" s="136" t="str">
        <x:v>建立習慣期</x:v>
      </x:c>
      <x:c r="J13" s="144" t="str">
        <x:v>中</x:v>
      </x:c>
      <x:c r="K13" s="144" t="str">
        <x:v>一般</x:v>
      </x:c>
      <x:c r="L13" s="136" t="str">
        <x:v>訓練值 +1</x:v>
      </x:c>
      <x:c r="M13" s="136" t="str">
        <x:v>依個人經驗、健康狀況與環境調整；不適時停止。</x:v>
      </x:c>
      <x:c r="N13" s="154" t="n">
        <x:f>LEN(G13)</x:f>
        <x:v>51</x:v>
      </x:c>
      <x:c r="O13" s="144" t="str">
        <x:v>S022</x:v>
      </x:c>
      <x:c r="P13" s="136" t="str">
        <x:v>American Academy of Orthopaedic Surgeons（AAOS）</x:v>
      </x:c>
      <x:c r="Q13" s="136" t="str">
        <x:v>Tips for a Safe Running Program</x:v>
      </x:c>
      <x:c r="R13" s="151" t="str">
        <x:v>https://orthoinfo.aaos.org/en/staying-healthy/tips-for-a-safe-running-program/</x:v>
      </x:c>
      <x:c r="S13" s="148" t="str">
        <x:v>2026-07-27</x:v>
      </x:c>
    </x:row>
    <x:row r="14" ht="58" customHeight="1">
      <x:c r="A14" s="143" t="str">
        <x:v>CH-010</x:v>
      </x:c>
      <x:c r="B14" s="144" t="str">
        <x:v>機會</x:v>
      </x:c>
      <x:c r="C14" s="136" t="str">
        <x:v>跑者訓練：提升成績與突破 PB</x:v>
      </x:c>
      <x:c r="D14" s="136" t="str">
        <x:v>目標與基準</x:v>
      </x:c>
      <x:c r="E14" s="136" t="str">
        <x:v>設定可執行的 PB 路線</x:v>
      </x:c>
      <x:c r="F14" s="136" t="str">
        <x:v>記錄成功條件</x:v>
      </x:c>
      <x:c r="G14" s="136" t="str">
        <x:v>PB 不只來自里程，也與睡眠、天候、補給和配速選擇有關。
行動：賽後記下有效做法，做成下次可複製的清單。</x:v>
      </x:c>
      <x:c r="H14" s="136" t="str">
        <x:v>賽後記下有效做法，做成下次可複製的清單。</x:v>
      </x:c>
      <x:c r="I14" s="136" t="str">
        <x:v>測驗或比賽後</x:v>
      </x:c>
      <x:c r="J14" s="144" t="str">
        <x:v>中</x:v>
      </x:c>
      <x:c r="K14" s="144" t="str">
        <x:v>一般</x:v>
      </x:c>
      <x:c r="L14" s="136" t="str">
        <x:v>訓練值 +1</x:v>
      </x:c>
      <x:c r="M14" s="136" t="str">
        <x:v>依個人經驗、健康狀況與環境調整；不適時停止。</x:v>
      </x:c>
      <x:c r="N14" s="154" t="n">
        <x:f>LEN(G14)</x:f>
        <x:v>52</x:v>
      </x:c>
      <x:c r="O14" s="144" t="str">
        <x:v>S020</x:v>
      </x:c>
      <x:c r="P14" s="136" t="str">
        <x:v>Sports Medicine／PubMed</x:v>
      </x:c>
      <x:c r="Q14" s="136" t="str">
        <x:v>Psychological determinants of endurance performance</x:v>
      </x:c>
      <x:c r="R14" s="151" t="str">
        <x:v>https://pubmed.ncbi.nlm.nih.gov/25771784/</x:v>
      </x:c>
      <x:c r="S14" s="148" t="str">
        <x:v>2026-07-27</x:v>
      </x:c>
    </x:row>
    <x:row r="15" ht="58" customHeight="1">
      <x:c r="A15" s="143" t="str">
        <x:v>CH-011</x:v>
      </x:c>
      <x:c r="B15" s="144" t="str">
        <x:v>機會</x:v>
      </x:c>
      <x:c r="C15" s="136" t="str">
        <x:v>跑者訓練：提升成績與突破 PB</x:v>
      </x:c>
      <x:c r="D15" s="136" t="str">
        <x:v>負荷與週期</x:v>
      </x:c>
      <x:c r="E15" s="136" t="str">
        <x:v>穩定累積而不透支</x:v>
      </x:c>
      <x:c r="F15" s="136" t="str">
        <x:v>回收週讓訓練被吸收</x:v>
      </x:c>
      <x:c r="G15" s="136" t="str">
        <x:v>連續堆量後降低總量，可減少累積疲勞並保留適應。
行動：常見做法是 2–3 週漸進後安排 1 週較輕，但仍依個人反應調整。</x:v>
      </x:c>
      <x:c r="H15" s="136" t="str">
        <x:v>常見做法是 2–3 週漸進後安排 1 週較輕，但仍依個人反應調整。</x:v>
      </x:c>
      <x:c r="I15" s="136" t="str">
        <x:v>基礎期與專項期</x:v>
      </x:c>
      <x:c r="J15" s="144" t="str">
        <x:v>高</x:v>
      </x:c>
      <x:c r="K15" s="144" t="str">
        <x:v>一般</x:v>
      </x:c>
      <x:c r="L15" s="136" t="str">
        <x:v>訓練值 +2；PB 點數 +1</x:v>
      </x:c>
      <x:c r="M15" s="136" t="str">
        <x:v>依個人經驗、健康狀況與環境調整；不適時停止。</x:v>
      </x:c>
      <x:c r="N15" s="154" t="n">
        <x:f>LEN(G15)</x:f>
        <x:v>60</x:v>
      </x:c>
      <x:c r="O15" s="144" t="str">
        <x:v>S003</x:v>
      </x:c>
      <x:c r="P15" s="136" t="str">
        <x:v>國際奧會（IOC）／BJSM</x:v>
      </x:c>
      <x:c r="Q15" s="136" t="str">
        <x:v>How much is too much? Part 1: load and injury risk</x:v>
      </x:c>
      <x:c r="R15" s="151" t="str">
        <x:v>https://bjsm.bmj.com/content/50/17/1030</x:v>
      </x:c>
      <x:c r="S15" s="148" t="str">
        <x:v>2026-07-27</x:v>
      </x:c>
    </x:row>
    <x:row r="16" ht="58" customHeight="1">
      <x:c r="A16" s="143" t="str">
        <x:v>CH-012</x:v>
      </x:c>
      <x:c r="B16" s="144" t="str">
        <x:v>機會</x:v>
      </x:c>
      <x:c r="C16" s="136" t="str">
        <x:v>跑者訓練：提升成績與突破 PB</x:v>
      </x:c>
      <x:c r="D16" s="136" t="str">
        <x:v>負荷與週期</x:v>
      </x:c>
      <x:c r="E16" s="136" t="str">
        <x:v>穩定累積而不透支</x:v>
      </x:c>
      <x:c r="F16" s="136" t="str">
        <x:v>不要同週同時猛加量與強度</x:v>
      </x:c>
      <x:c r="G16" s="136" t="str">
        <x:v>距離、速度、爬升和頻率都是負荷；同時大增會放大風險。
行動：每次優先只調整一個主要變項，其他先維持。</x:v>
      </x:c>
      <x:c r="H16" s="136" t="str">
        <x:v>每次優先只調整一個主要變項，其他先維持。</x:v>
      </x:c>
      <x:c r="I16" s="136" t="str">
        <x:v>課表進階時</x:v>
      </x:c>
      <x:c r="J16" s="144" t="str">
        <x:v>高</x:v>
      </x:c>
      <x:c r="K16" s="144" t="str">
        <x:v>一般</x:v>
      </x:c>
      <x:c r="L16" s="136" t="str">
        <x:v>訓練值 +2；PB 點數 +1</x:v>
      </x:c>
      <x:c r="M16" s="136" t="str">
        <x:v>依個人經驗、健康狀況與環境調整；不適時停止。</x:v>
      </x:c>
      <x:c r="N16" s="154" t="n">
        <x:f>LEN(G16)</x:f>
        <x:v>50</x:v>
      </x:c>
      <x:c r="O16" s="144" t="str">
        <x:v>S003</x:v>
      </x:c>
      <x:c r="P16" s="136" t="str">
        <x:v>國際奧會（IOC）／BJSM</x:v>
      </x:c>
      <x:c r="Q16" s="136" t="str">
        <x:v>How much is too much? Part 1: load and injury risk</x:v>
      </x:c>
      <x:c r="R16" s="151" t="str">
        <x:v>https://bjsm.bmj.com/content/50/17/1030</x:v>
      </x:c>
      <x:c r="S16" s="148" t="str">
        <x:v>2026-07-27</x:v>
      </x:c>
    </x:row>
    <x:row r="17" ht="58" customHeight="1">
      <x:c r="A17" s="143" t="str">
        <x:v>CH-013</x:v>
      </x:c>
      <x:c r="B17" s="144" t="str">
        <x:v>機會</x:v>
      </x:c>
      <x:c r="C17" s="136" t="str">
        <x:v>跑者訓練：提升成績與突破 PB</x:v>
      </x:c>
      <x:c r="D17" s="136" t="str">
        <x:v>負荷與週期</x:v>
      </x:c>
      <x:c r="E17" s="136" t="str">
        <x:v>穩定累積而不透支</x:v>
      </x:c>
      <x:c r="F17" s="136" t="str">
        <x:v>十％不是安全保證</x:v>
      </x:c>
      <x:c r="G17" s="136" t="str">
        <x:v>固定百分比無法反映個人病史、單次長跑突增或地形差異。
行動：看 24–48 小時反應、單次最長距離與整週總量，再決定增幅。</x:v>
      </x:c>
      <x:c r="H17" s="136" t="str">
        <x:v>看 24–48 小時反應、單次最長距離與整週總量，再決定增幅。</x:v>
      </x:c>
      <x:c r="I17" s="136" t="str">
        <x:v>每週加量前</x:v>
      </x:c>
      <x:c r="J17" s="144" t="str">
        <x:v>高</x:v>
      </x:c>
      <x:c r="K17" s="144" t="str">
        <x:v>一般</x:v>
      </x:c>
      <x:c r="L17" s="136" t="str">
        <x:v>訓練值 +2；PB 點數 +1</x:v>
      </x:c>
      <x:c r="M17" s="136" t="str">
        <x:v>依個人經驗、健康狀況與環境調整；不適時停止。</x:v>
      </x:c>
      <x:c r="N17" s="154" t="n">
        <x:f>LEN(G17)</x:f>
        <x:v>61</x:v>
      </x:c>
      <x:c r="O17" s="144" t="str">
        <x:v>S052</x:v>
      </x:c>
      <x:c r="P17" s="136" t="str">
        <x:v>BJSM／PubMed</x:v>
      </x:c>
      <x:c r="Q17" s="136" t="str">
        <x:v>Identifying high-risk running sessions in 5200 runners</x:v>
      </x:c>
      <x:c r="R17" s="151" t="str">
        <x:v>https://pubmed.ncbi.nlm.nih.gov/40623829/</x:v>
      </x:c>
      <x:c r="S17" s="148" t="str">
        <x:v>2026-07-27</x:v>
      </x:c>
    </x:row>
    <x:row r="18" ht="58" customHeight="1">
      <x:c r="A18" s="143" t="str">
        <x:v>CH-014</x:v>
      </x:c>
      <x:c r="B18" s="144" t="str">
        <x:v>機會</x:v>
      </x:c>
      <x:c r="C18" s="136" t="str">
        <x:v>跑者訓練：提升成績與突破 PB</x:v>
      </x:c>
      <x:c r="D18" s="136" t="str">
        <x:v>負荷與週期</x:v>
      </x:c>
      <x:c r="E18" s="136" t="str">
        <x:v>穩定累積而不透支</x:v>
      </x:c>
      <x:c r="F18" s="136" t="str">
        <x:v>避免單次距離突然跳級</x:v>
      </x:c>
      <x:c r="G18" s="136" t="str">
        <x:v>即使週量看似合理，一次跑得遠超平常仍可能提高受傷風險。
行動：長跑先從近期可完成距離小幅延長，必要時用跑走法。</x:v>
      </x:c>
      <x:c r="H18" s="136" t="str">
        <x:v>長跑先從近期可完成距離小幅延長，必要時用跑走法。</x:v>
      </x:c>
      <x:c r="I18" s="136" t="str">
        <x:v>安排長跑時</x:v>
      </x:c>
      <x:c r="J18" s="144" t="str">
        <x:v>高</x:v>
      </x:c>
      <x:c r="K18" s="144" t="str">
        <x:v>一般</x:v>
      </x:c>
      <x:c r="L18" s="136" t="str">
        <x:v>訓練值 +2；PB 點數 +1</x:v>
      </x:c>
      <x:c r="M18" s="136" t="str">
        <x:v>依個人經驗、健康狀況與環境調整；不適時停止。</x:v>
      </x:c>
      <x:c r="N18" s="154" t="n">
        <x:f>LEN(G18)</x:f>
        <x:v>55</x:v>
      </x:c>
      <x:c r="O18" s="144" t="str">
        <x:v>S052</x:v>
      </x:c>
      <x:c r="P18" s="136" t="str">
        <x:v>BJSM／PubMed</x:v>
      </x:c>
      <x:c r="Q18" s="136" t="str">
        <x:v>Identifying high-risk running sessions in 5200 runners</x:v>
      </x:c>
      <x:c r="R18" s="151" t="str">
        <x:v>https://pubmed.ncbi.nlm.nih.gov/40623829/</x:v>
      </x:c>
      <x:c r="S18" s="148" t="str">
        <x:v>2026-07-27</x:v>
      </x:c>
    </x:row>
    <x:row r="19" ht="58" customHeight="1">
      <x:c r="A19" s="143" t="str">
        <x:v>CH-015</x:v>
      </x:c>
      <x:c r="B19" s="144" t="str">
        <x:v>機會</x:v>
      </x:c>
      <x:c r="C19" s="136" t="str">
        <x:v>跑者訓練：提升成績與突破 PB</x:v>
      </x:c>
      <x:c r="D19" s="136" t="str">
        <x:v>負荷與週期</x:v>
      </x:c>
      <x:c r="E19" s="136" t="str">
        <x:v>穩定累積而不透支</x:v>
      </x:c>
      <x:c r="F19" s="136" t="str">
        <x:v>賽後先降載</x:v>
      </x:c>
      <x:c r="G19" s="136" t="str">
        <x:v>全力比賽會帶來肌肉與神經疲勞，立刻補課通常得不償失。
行動：依距離與身體反應安排數天到數週的輕量活動，再逐步回到品質課。</x:v>
      </x:c>
      <x:c r="H19" s="136" t="str">
        <x:v>依距離與身體反應安排數天到數週的輕量活動，再逐步回到品質課。</x:v>
      </x:c>
      <x:c r="I19" s="136" t="str">
        <x:v>比賽後</x:v>
      </x:c>
      <x:c r="J19" s="144" t="str">
        <x:v>中</x:v>
      </x:c>
      <x:c r="K19" s="144" t="str">
        <x:v>一般</x:v>
      </x:c>
      <x:c r="L19" s="136" t="str">
        <x:v>訓練值 +1</x:v>
      </x:c>
      <x:c r="M19" s="136" t="str">
        <x:v>依個人經驗、健康狀況與環境調整；不適時停止。</x:v>
      </x:c>
      <x:c r="N19" s="154" t="n">
        <x:f>LEN(G19)</x:f>
        <x:v>60</x:v>
      </x:c>
      <x:c r="O19" s="144" t="str">
        <x:v>S003</x:v>
      </x:c>
      <x:c r="P19" s="136" t="str">
        <x:v>國際奧會（IOC）／BJSM</x:v>
      </x:c>
      <x:c r="Q19" s="136" t="str">
        <x:v>How much is too much? Part 1: load and injury risk</x:v>
      </x:c>
      <x:c r="R19" s="151" t="str">
        <x:v>https://bjsm.bmj.com/content/50/17/1030</x:v>
      </x:c>
      <x:c r="S19" s="148" t="str">
        <x:v>2026-07-27</x:v>
      </x:c>
    </x:row>
    <x:row r="20" ht="58" customHeight="1">
      <x:c r="A20" s="143" t="str">
        <x:v>CH-016</x:v>
      </x:c>
      <x:c r="B20" s="144" t="str">
        <x:v>機會</x:v>
      </x:c>
      <x:c r="C20" s="136" t="str">
        <x:v>跑者訓練：提升成績與突破 PB</x:v>
      </x:c>
      <x:c r="D20" s="136" t="str">
        <x:v>負荷與週期</x:v>
      </x:c>
      <x:c r="E20" s="136" t="str">
        <x:v>穩定累積而不透支</x:v>
      </x:c>
      <x:c r="F20" s="136" t="str">
        <x:v>基礎期先擴大容量</x:v>
      </x:c>
      <x:c r="G20" s="136" t="str">
        <x:v>在高強度課前建立規律低強度跑與一般肌力，較能承接專項刺激。
行動：先穩定跑量與頻率，再逐步加入閾值、間歇和比賽配速。</x:v>
      </x:c>
      <x:c r="H20" s="136" t="str">
        <x:v>先穩定跑量與頻率，再逐步加入閾值、間歇和比賽配速。</x:v>
      </x:c>
      <x:c r="I20" s="136" t="str">
        <x:v>賽季前段</x:v>
      </x:c>
      <x:c r="J20" s="144" t="str">
        <x:v>中</x:v>
      </x:c>
      <x:c r="K20" s="144" t="str">
        <x:v>一般</x:v>
      </x:c>
      <x:c r="L20" s="136" t="str">
        <x:v>訓練值 +1</x:v>
      </x:c>
      <x:c r="M20" s="136" t="str">
        <x:v>依個人經驗、健康狀況與環境調整；不適時停止。</x:v>
      </x:c>
      <x:c r="N20" s="154" t="n">
        <x:f>LEN(G20)</x:f>
        <x:v>58</x:v>
      </x:c>
      <x:c r="O20" s="144" t="str">
        <x:v>S005</x:v>
      </x:c>
      <x:c r="P20" s="136" t="str">
        <x:v>Sports Medicine／PubMed</x:v>
      </x:c>
      <x:c r="Q20" s="136" t="str">
        <x:v>Polarized training systematic review and meta-analysis</x:v>
      </x:c>
      <x:c r="R20" s="151" t="str">
        <x:v>https://pubmed.ncbi.nlm.nih.gov/29863593/</x:v>
      </x:c>
      <x:c r="S20" s="148" t="str">
        <x:v>2026-07-27</x:v>
      </x:c>
    </x:row>
    <x:row r="21" ht="58" customHeight="1">
      <x:c r="A21" s="143" t="str">
        <x:v>CH-017</x:v>
      </x:c>
      <x:c r="B21" s="144" t="str">
        <x:v>機會</x:v>
      </x:c>
      <x:c r="C21" s="136" t="str">
        <x:v>跑者訓練：提升成績與突破 PB</x:v>
      </x:c>
      <x:c r="D21" s="136" t="str">
        <x:v>負荷與週期</x:v>
      </x:c>
      <x:c r="E21" s="136" t="str">
        <x:v>穩定累積而不透支</x:v>
      </x:c>
      <x:c r="F21" s="136" t="str">
        <x:v>負荷密度也要算</x:v>
      </x:c>
      <x:c r="G21" s="136" t="str">
        <x:v>三堂中等課連在一起，可能比一堂高強度加兩天恢復更累。
行動：把困難日集中、輕鬆日真的放輕，避免每天都卡在中間強度。</x:v>
      </x:c>
      <x:c r="H21" s="136" t="str">
        <x:v>把困難日集中、輕鬆日真的放輕，避免每天都卡在中間強度。</x:v>
      </x:c>
      <x:c r="I21" s="136" t="str">
        <x:v>排一週課表時</x:v>
      </x:c>
      <x:c r="J21" s="144" t="str">
        <x:v>中</x:v>
      </x:c>
      <x:c r="K21" s="144" t="str">
        <x:v>一般</x:v>
      </x:c>
      <x:c r="L21" s="136" t="str">
        <x:v>訓練值 +1</x:v>
      </x:c>
      <x:c r="M21" s="136" t="str">
        <x:v>依個人經驗、健康狀況與環境調整；不適時停止。</x:v>
      </x:c>
      <x:c r="N21" s="154" t="n">
        <x:f>LEN(G21)</x:f>
        <x:v>57</x:v>
      </x:c>
      <x:c r="O21" s="144" t="str">
        <x:v>S006</x:v>
      </x:c>
      <x:c r="P21" s="136" t="str">
        <x:v>European Journal of Applied Physiology／PubMed</x:v>
      </x:c>
      <x:c r="Q21" s="136" t="str">
        <x:v>Training intensity distribution and performance prediction</x:v>
      </x:c>
      <x:c r="R21" s="151" t="str">
        <x:v>https://pubmed.ncbi.nlm.nih.gov/31045681/</x:v>
      </x:c>
      <x:c r="S21" s="148" t="str">
        <x:v>2026-07-27</x:v>
      </x:c>
    </x:row>
    <x:row r="22" ht="58" customHeight="1">
      <x:c r="A22" s="143" t="str">
        <x:v>CH-018</x:v>
      </x:c>
      <x:c r="B22" s="144" t="str">
        <x:v>機會</x:v>
      </x:c>
      <x:c r="C22" s="136" t="str">
        <x:v>跑者訓練：提升成績與突破 PB</x:v>
      </x:c>
      <x:c r="D22" s="136" t="str">
        <x:v>負荷與週期</x:v>
      </x:c>
      <x:c r="E22" s="136" t="str">
        <x:v>穩定累積而不透支</x:v>
      </x:c>
      <x:c r="F22" s="136" t="str">
        <x:v>先恢復再追加</x:v>
      </x:c>
      <x:c r="G22" s="136" t="str">
        <x:v>睡眠差、晨間疲勞高或動作失衡時硬加課，品質通常下降。
行動：將課表視為選單：必要時縮短、改輕鬆跑或休息。</x:v>
      </x:c>
      <x:c r="H22" s="136" t="str">
        <x:v>將課表視為選單：必要時縮短、改輕鬆跑或休息。</x:v>
      </x:c>
      <x:c r="I22" s="136" t="str">
        <x:v>開跑前自評</x:v>
      </x:c>
      <x:c r="J22" s="144" t="str">
        <x:v>中</x:v>
      </x:c>
      <x:c r="K22" s="144" t="str">
        <x:v>一般</x:v>
      </x:c>
      <x:c r="L22" s="136" t="str">
        <x:v>訓練值 +1</x:v>
      </x:c>
      <x:c r="M22" s="136" t="str">
        <x:v>依個人經驗、健康狀況與環境調整；不適時停止。</x:v>
      </x:c>
      <x:c r="N22" s="154" t="n">
        <x:f>LEN(G22)</x:f>
        <x:v>52</x:v>
      </x:c>
      <x:c r="O22" s="144" t="str">
        <x:v>S004</x:v>
      </x:c>
      <x:c r="P22" s="136" t="str">
        <x:v>國際奧會（IOC）／BJSM</x:v>
      </x:c>
      <x:c r="Q22" s="136" t="str">
        <x:v>How much is too much? Part 2: load and illness risk</x:v>
      </x:c>
      <x:c r="R22" s="151" t="str">
        <x:v>https://bjsm.bmj.com/content/50/17/1043</x:v>
      </x:c>
      <x:c r="S22" s="148" t="str">
        <x:v>2026-07-27</x:v>
      </x:c>
    </x:row>
    <x:row r="23" ht="58" customHeight="1">
      <x:c r="A23" s="143" t="str">
        <x:v>CH-019</x:v>
      </x:c>
      <x:c r="B23" s="144" t="str">
        <x:v>機會</x:v>
      </x:c>
      <x:c r="C23" s="136" t="str">
        <x:v>跑者訓練：提升成績與突破 PB</x:v>
      </x:c>
      <x:c r="D23" s="136" t="str">
        <x:v>負荷與週期</x:v>
      </x:c>
      <x:c r="E23" s="136" t="str">
        <x:v>穩定累積而不透支</x:v>
      </x:c>
      <x:c r="F23" s="136" t="str">
        <x:v>品質課之間留空間</x:v>
      </x:c>
      <x:c r="G23" s="136" t="str">
        <x:v>多數非菁英跑者需要 48 小時以上吸收高強度刺激。
行動：避免連兩天間歇、節奏或重肌力；用輕鬆跑或休息隔開。</x:v>
      </x:c>
      <x:c r="H23" s="136" t="str">
        <x:v>避免連兩天間歇、節奏或重肌力；用輕鬆跑或休息隔開。</x:v>
      </x:c>
      <x:c r="I23" s="136" t="str">
        <x:v>每週排課</x:v>
      </x:c>
      <x:c r="J23" s="144" t="str">
        <x:v>中</x:v>
      </x:c>
      <x:c r="K23" s="144" t="str">
        <x:v>一般</x:v>
      </x:c>
      <x:c r="L23" s="136" t="str">
        <x:v>訓練值 +1</x:v>
      </x:c>
      <x:c r="M23" s="136" t="str">
        <x:v>依個人經驗、健康狀況與環境調整；不適時停止。</x:v>
      </x:c>
      <x:c r="N23" s="154" t="n">
        <x:f>LEN(G23)</x:f>
        <x:v>54</x:v>
      </x:c>
      <x:c r="O23" s="144" t="str">
        <x:v>S003</x:v>
      </x:c>
      <x:c r="P23" s="136" t="str">
        <x:v>國際奧會（IOC）／BJSM</x:v>
      </x:c>
      <x:c r="Q23" s="136" t="str">
        <x:v>How much is too much? Part 1: load and injury risk</x:v>
      </x:c>
      <x:c r="R23" s="151" t="str">
        <x:v>https://bjsm.bmj.com/content/50/17/1030</x:v>
      </x:c>
      <x:c r="S23" s="148" t="str">
        <x:v>2026-07-27</x:v>
      </x:c>
    </x:row>
    <x:row r="24" ht="58" customHeight="1">
      <x:c r="A24" s="143" t="str">
        <x:v>CH-020</x:v>
      </x:c>
      <x:c r="B24" s="144" t="str">
        <x:v>機會</x:v>
      </x:c>
      <x:c r="C24" s="136" t="str">
        <x:v>跑者訓練：提升成績與突破 PB</x:v>
      </x:c>
      <x:c r="D24" s="136" t="str">
        <x:v>負荷與週期</x:v>
      </x:c>
      <x:c r="E24" s="136" t="str">
        <x:v>穩定累積而不透支</x:v>
      </x:c>
      <x:c r="F24" s="136" t="str">
        <x:v>用趨勢判斷，不看單日</x:v>
      </x:c>
      <x:c r="G24" s="136" t="str">
        <x:v>單次心率或疲勞會被睡眠、氣溫與壓力影響。
行動：連續 3–7 天都異常再調整負荷，急性疼痛或疾病警訊則立即處理。</x:v>
      </x:c>
      <x:c r="H24" s="136" t="str">
        <x:v>連續 3–7 天都異常再調整負荷，急性疼痛或疾病警訊則立即處理。</x:v>
      </x:c>
      <x:c r="I24" s="136" t="str">
        <x:v>訓練監測</x:v>
      </x:c>
      <x:c r="J24" s="144" t="str">
        <x:v>中</x:v>
      </x:c>
      <x:c r="K24" s="144" t="str">
        <x:v>一般</x:v>
      </x:c>
      <x:c r="L24" s="136" t="str">
        <x:v>訓練值 +1</x:v>
      </x:c>
      <x:c r="M24" s="136" t="str">
        <x:v>依個人經驗、健康狀況與環境調整；不適時停止。</x:v>
      </x:c>
      <x:c r="N24" s="154" t="n">
        <x:f>LEN(G24)</x:f>
        <x:v>56</x:v>
      </x:c>
      <x:c r="O24" s="144" t="str">
        <x:v>S019</x:v>
      </x:c>
      <x:c r="P24" s="136" t="str">
        <x:v>Sports Medicine／PubMed</x:v>
      </x:c>
      <x:c r="Q24" s="136" t="str">
        <x:v>Session RPE systematic review</x:v>
      </x:c>
      <x:c r="R24" s="151" t="str">
        <x:v>https://pubmed.ncbi.nlm.nih.gov/36361320/</x:v>
      </x:c>
      <x:c r="S24" s="148" t="str">
        <x:v>2026-07-27</x:v>
      </x:c>
    </x:row>
    <x:row r="25" ht="58" customHeight="1">
      <x:c r="A25" s="143" t="str">
        <x:v>CH-021</x:v>
      </x:c>
      <x:c r="B25" s="144" t="str">
        <x:v>機會</x:v>
      </x:c>
      <x:c r="C25" s="136" t="str">
        <x:v>跑者訓練：提升成績與突破 PB</x:v>
      </x:c>
      <x:c r="D25" s="136" t="str">
        <x:v>輕鬆跑</x:v>
      </x:c>
      <x:c r="E25" s="136" t="str">
        <x:v>把慢跑真的跑輕鬆</x:v>
      </x:c>
      <x:c r="F25" s="136" t="str">
        <x:v>用對話測試守住強度</x:v>
      </x:c>
      <x:c r="G25" s="136" t="str">
        <x:v>輕鬆跑時應能用完整句子交談；喘到只能說短詞，通常已太快。
行動：先放慢或加入短走路，直到呼吸重新可控。</x:v>
      </x:c>
      <x:c r="H25" s="136" t="str">
        <x:v>先放慢或加入短走路，直到呼吸重新可控。</x:v>
      </x:c>
      <x:c r="I25" s="136" t="str">
        <x:v>輕鬆跑</x:v>
      </x:c>
      <x:c r="J25" s="144" t="str">
        <x:v>中</x:v>
      </x:c>
      <x:c r="K25" s="144" t="str">
        <x:v>一般</x:v>
      </x:c>
      <x:c r="L25" s="136" t="str">
        <x:v>訓練值 +1</x:v>
      </x:c>
      <x:c r="M25" s="136" t="str">
        <x:v>依個人經驗、健康狀況與環境調整；不適時停止。</x:v>
      </x:c>
      <x:c r="N25" s="154" t="n">
        <x:f>LEN(G25)</x:f>
        <x:v>51</x:v>
      </x:c>
      <x:c r="O25" s="144" t="str">
        <x:v>S002</x:v>
      </x:c>
      <x:c r="P25" s="136" t="str">
        <x:v>世界衛生組織（WHO）</x:v>
      </x:c>
      <x:c r="Q25" s="136" t="str">
        <x:v>WHO Guidelines on Physical Activity and Sedentary Behaviour</x:v>
      </x:c>
      <x:c r="R25" s="151" t="str">
        <x:v>https://www.who.int/publications/i/item/9789240015128</x:v>
      </x:c>
      <x:c r="S25" s="148" t="str">
        <x:v>2026-07-27</x:v>
      </x:c>
    </x:row>
    <x:row r="26" ht="58" customHeight="1">
      <x:c r="A26" s="143" t="str">
        <x:v>CH-022</x:v>
      </x:c>
      <x:c r="B26" s="144" t="str">
        <x:v>機會</x:v>
      </x:c>
      <x:c r="C26" s="136" t="str">
        <x:v>跑者訓練：提升成績與突破 PB</x:v>
      </x:c>
      <x:c r="D26" s="136" t="str">
        <x:v>輕鬆跑</x:v>
      </x:c>
      <x:c r="E26" s="136" t="str">
        <x:v>把慢跑真的跑輕鬆</x:v>
      </x:c>
      <x:c r="F26" s="136" t="str">
        <x:v>RPE 2–4 是實用範圍</x:v>
      </x:c>
      <x:c r="G26" s="136" t="str">
        <x:v>主觀用力 0–10 分中，輕鬆跑多落在 2–4 分，但個人基準更重要。
行動：跑後記錄 RPE，對照配速與心率建立自己的區間。</x:v>
      </x:c>
      <x:c r="H26" s="136" t="str">
        <x:v>跑後記錄 RPE，對照配速與心率建立自己的區間。</x:v>
      </x:c>
      <x:c r="I26" s="136" t="str">
        <x:v>日常跑</x:v>
      </x:c>
      <x:c r="J26" s="144" t="str">
        <x:v>中</x:v>
      </x:c>
      <x:c r="K26" s="144" t="str">
        <x:v>一般</x:v>
      </x:c>
      <x:c r="L26" s="136" t="str">
        <x:v>訓練值 +1</x:v>
      </x:c>
      <x:c r="M26" s="136" t="str">
        <x:v>依個人經驗、健康狀況與環境調整；不適時停止。</x:v>
      </x:c>
      <x:c r="N26" s="154" t="n">
        <x:f>LEN(G26)</x:f>
        <x:v>63</x:v>
      </x:c>
      <x:c r="O26" s="144" t="str">
        <x:v>S019</x:v>
      </x:c>
      <x:c r="P26" s="136" t="str">
        <x:v>Sports Medicine／PubMed</x:v>
      </x:c>
      <x:c r="Q26" s="136" t="str">
        <x:v>Session RPE systematic review</x:v>
      </x:c>
      <x:c r="R26" s="151" t="str">
        <x:v>https://pubmed.ncbi.nlm.nih.gov/36361320/</x:v>
      </x:c>
      <x:c r="S26" s="148" t="str">
        <x:v>2026-07-27</x:v>
      </x:c>
    </x:row>
    <x:row r="27" ht="58" customHeight="1">
      <x:c r="A27" s="143" t="str">
        <x:v>CH-023</x:v>
      </x:c>
      <x:c r="B27" s="144" t="str">
        <x:v>機會</x:v>
      </x:c>
      <x:c r="C27" s="136" t="str">
        <x:v>跑者訓練：提升成績與突破 PB</x:v>
      </x:c>
      <x:c r="D27" s="136" t="str">
        <x:v>輕鬆跑</x:v>
      </x:c>
      <x:c r="E27" s="136" t="str">
        <x:v>把慢跑真的跑輕鬆</x:v>
      </x:c>
      <x:c r="F27" s="136" t="str">
        <x:v>恢復跑不是補考</x:v>
      </x:c>
      <x:c r="G27" s="136" t="str">
        <x:v>前一天品質課後的短慢跑，目的在促進活動與維持節奏，不是追回里程。
行動：時間縮短、地形放平，結束時感覺比出門前更好。</x:v>
      </x:c>
      <x:c r="H27" s="136" t="str">
        <x:v>時間縮短、地形放平，結束時感覺比出門前更好。</x:v>
      </x:c>
      <x:c r="I27" s="136" t="str">
        <x:v>高強度隔天</x:v>
      </x:c>
      <x:c r="J27" s="144" t="str">
        <x:v>中</x:v>
      </x:c>
      <x:c r="K27" s="144" t="str">
        <x:v>一般</x:v>
      </x:c>
      <x:c r="L27" s="136" t="str">
        <x:v>訓練值 +1</x:v>
      </x:c>
      <x:c r="M27" s="136" t="str">
        <x:v>依個人經驗、健康狀況與環境調整；不適時停止。</x:v>
      </x:c>
      <x:c r="N27" s="154" t="n">
        <x:f>LEN(G27)</x:f>
        <x:v>58</x:v>
      </x:c>
      <x:c r="O27" s="144" t="str">
        <x:v>S006</x:v>
      </x:c>
      <x:c r="P27" s="136" t="str">
        <x:v>European Journal of Applied Physiology／PubMed</x:v>
      </x:c>
      <x:c r="Q27" s="136" t="str">
        <x:v>Training intensity distribution and performance prediction</x:v>
      </x:c>
      <x:c r="R27" s="151" t="str">
        <x:v>https://pubmed.ncbi.nlm.nih.gov/31045681/</x:v>
      </x:c>
      <x:c r="S27" s="148" t="str">
        <x:v>2026-07-27</x:v>
      </x:c>
    </x:row>
    <x:row r="28" ht="58" customHeight="1">
      <x:c r="A28" s="143" t="str">
        <x:v>CH-024</x:v>
      </x:c>
      <x:c r="B28" s="144" t="str">
        <x:v>機會</x:v>
      </x:c>
      <x:c r="C28" s="136" t="str">
        <x:v>跑者訓練：提升成績與突破 PB</x:v>
      </x:c>
      <x:c r="D28" s="136" t="str">
        <x:v>輕鬆跑</x:v>
      </x:c>
      <x:c r="E28" s="136" t="str">
        <x:v>把慢跑真的跑輕鬆</x:v>
      </x:c>
      <x:c r="F28" s="136" t="str">
        <x:v>輕鬆跑過快會偷走品質</x:v>
      </x:c>
      <x:c r="G28" s="136" t="str">
        <x:v>每天都跑中等偏快，容易累積疲勞，關鍵課反而跑不好。
行動：把成就感留給品質日；輕鬆日只完成時間與動作。</x:v>
      </x:c>
      <x:c r="H28" s="136" t="str">
        <x:v>把成就感留給品質日；輕鬆日只完成時間與動作。</x:v>
      </x:c>
      <x:c r="I28" s="136" t="str">
        <x:v>整個訓練週</x:v>
      </x:c>
      <x:c r="J28" s="144" t="str">
        <x:v>高</x:v>
      </x:c>
      <x:c r="K28" s="144" t="str">
        <x:v>一般</x:v>
      </x:c>
      <x:c r="L28" s="136" t="str">
        <x:v>訓練值 +2；PB 點數 +1</x:v>
      </x:c>
      <x:c r="M28" s="136" t="str">
        <x:v>依個人經驗、健康狀況與環境調整；不適時停止。</x:v>
      </x:c>
      <x:c r="N28" s="154" t="n">
        <x:f>LEN(G28)</x:f>
        <x:v>51</x:v>
      </x:c>
      <x:c r="O28" s="144" t="str">
        <x:v>S005</x:v>
      </x:c>
      <x:c r="P28" s="136" t="str">
        <x:v>Sports Medicine／PubMed</x:v>
      </x:c>
      <x:c r="Q28" s="136" t="str">
        <x:v>Polarized training systematic review and meta-analysis</x:v>
      </x:c>
      <x:c r="R28" s="151" t="str">
        <x:v>https://pubmed.ncbi.nlm.nih.gov/29863593/</x:v>
      </x:c>
      <x:c r="S28" s="148" t="str">
        <x:v>2026-07-27</x:v>
      </x:c>
    </x:row>
    <x:row r="29" ht="58" customHeight="1">
      <x:c r="A29" s="143" t="str">
        <x:v>CH-025</x:v>
      </x:c>
      <x:c r="B29" s="144" t="str">
        <x:v>機會</x:v>
      </x:c>
      <x:c r="C29" s="136" t="str">
        <x:v>跑者訓練：提升成績與突破 PB</x:v>
      </x:c>
      <x:c r="D29" s="136" t="str">
        <x:v>輕鬆跑</x:v>
      </x:c>
      <x:c r="E29" s="136" t="str">
        <x:v>把慢跑真的跑輕鬆</x:v>
      </x:c>
      <x:c r="F29" s="136" t="str">
        <x:v>熱天用體感而非配速</x:v>
      </x:c>
      <x:c r="G29" s="136" t="str">
        <x:v>高溫與濕度會抬高心率，同樣配速可能變成高強度。
行動：以呼吸與 RPE 控制，必要時縮短或改到清晨、室內。</x:v>
      </x:c>
      <x:c r="H29" s="136" t="str">
        <x:v>以呼吸與 RPE 控制，必要時縮短或改到清晨、室內。</x:v>
      </x:c>
      <x:c r="I29" s="136" t="str">
        <x:v>炎熱天候</x:v>
      </x:c>
      <x:c r="J29" s="144" t="str">
        <x:v>中</x:v>
      </x:c>
      <x:c r="K29" s="144" t="str">
        <x:v>一般</x:v>
      </x:c>
      <x:c r="L29" s="136" t="str">
        <x:v>訓練值 +1</x:v>
      </x:c>
      <x:c r="M29" s="136" t="str">
        <x:v>依個人經驗、健康狀況與環境調整；不適時停止。</x:v>
      </x:c>
      <x:c r="N29" s="154" t="n">
        <x:f>LEN(G29)</x:f>
        <x:v>53</x:v>
      </x:c>
      <x:c r="O29" s="144" t="str">
        <x:v>S018</x:v>
      </x:c>
      <x:c r="P29" s="136" t="str">
        <x:v>國際奧會（IOC）／BJSM</x:v>
      </x:c>
      <x:c r="Q29" s="136" t="str">
        <x:v>Consensus on thermoregulatory and altitude challenges</x:v>
      </x:c>
      <x:c r="R29" s="151" t="str">
        <x:v>https://bjsm.bmj.com/content/57/1/8</x:v>
      </x:c>
      <x:c r="S29" s="148" t="str">
        <x:v>2026-07-27</x:v>
      </x:c>
    </x:row>
    <x:row r="30" ht="58" customHeight="1">
      <x:c r="A30" s="143" t="str">
        <x:v>CH-026</x:v>
      </x:c>
      <x:c r="B30" s="144" t="str">
        <x:v>機會</x:v>
      </x:c>
      <x:c r="C30" s="136" t="str">
        <x:v>跑者訓練：提升成績與突破 PB</x:v>
      </x:c>
      <x:c r="D30" s="136" t="str">
        <x:v>輕鬆跑</x:v>
      </x:c>
      <x:c r="E30" s="136" t="str">
        <x:v>把慢跑真的跑輕鬆</x:v>
      </x:c>
      <x:c r="F30" s="136" t="str">
        <x:v>上坡守強度，下坡別追回</x:v>
      </x:c>
      <x:c r="G30" s="136" t="str">
        <x:v>坡度會讓配速失真；上坡硬守秒數容易超標。
行動：上坡縮步、下坡放鬆，以整段平均體感維持輕鬆。</x:v>
      </x:c>
      <x:c r="H30" s="136" t="str">
        <x:v>上坡縮步、下坡放鬆，以整段平均體感維持輕鬆。</x:v>
      </x:c>
      <x:c r="I30" s="136" t="str">
        <x:v>起伏路線</x:v>
      </x:c>
      <x:c r="J30" s="144" t="str">
        <x:v>中</x:v>
      </x:c>
      <x:c r="K30" s="144" t="str">
        <x:v>一般</x:v>
      </x:c>
      <x:c r="L30" s="136" t="str">
        <x:v>訓練值 +1</x:v>
      </x:c>
      <x:c r="M30" s="136" t="str">
        <x:v>依個人經驗、健康狀況與環境調整；不適時停止。</x:v>
      </x:c>
      <x:c r="N30" s="154" t="n">
        <x:f>LEN(G30)</x:f>
        <x:v>46</x:v>
      </x:c>
      <x:c r="O30" s="144" t="str">
        <x:v>S019</x:v>
      </x:c>
      <x:c r="P30" s="136" t="str">
        <x:v>Sports Medicine／PubMed</x:v>
      </x:c>
      <x:c r="Q30" s="136" t="str">
        <x:v>Session RPE systematic review</x:v>
      </x:c>
      <x:c r="R30" s="151" t="str">
        <x:v>https://pubmed.ncbi.nlm.nih.gov/36361320/</x:v>
      </x:c>
      <x:c r="S30" s="148" t="str">
        <x:v>2026-07-27</x:v>
      </x:c>
    </x:row>
    <x:row r="31" ht="58" customHeight="1">
      <x:c r="A31" s="143" t="str">
        <x:v>CH-027</x:v>
      </x:c>
      <x:c r="B31" s="144" t="str">
        <x:v>機會</x:v>
      </x:c>
      <x:c r="C31" s="136" t="str">
        <x:v>跑者訓練：提升成績與突破 PB</x:v>
      </x:c>
      <x:c r="D31" s="136" t="str">
        <x:v>輕鬆跑</x:v>
      </x:c>
      <x:c r="E31" s="136" t="str">
        <x:v>把慢跑真的跑輕鬆</x:v>
      </x:c>
      <x:c r="F31" s="136" t="str">
        <x:v>時間跑可降低里程焦慮</x:v>
      </x:c>
      <x:c r="G31" s="136" t="str">
        <x:v>以分鐘而非公里安排，能自然吸收天候與地形差異。
行動：例如先設定 40 分鐘輕鬆跑，不必為補足里程加速。</x:v>
      </x:c>
      <x:c r="H31" s="136" t="str">
        <x:v>例如先設定 40 分鐘輕鬆跑，不必為補足里程加速。</x:v>
      </x:c>
      <x:c r="I31" s="136" t="str">
        <x:v>壓力較高的日子</x:v>
      </x:c>
      <x:c r="J31" s="144" t="str">
        <x:v>中</x:v>
      </x:c>
      <x:c r="K31" s="144" t="str">
        <x:v>一般</x:v>
      </x:c>
      <x:c r="L31" s="136" t="str">
        <x:v>訓練值 +1</x:v>
      </x:c>
      <x:c r="M31" s="136" t="str">
        <x:v>依個人經驗、健康狀況與環境調整；不適時停止。</x:v>
      </x:c>
      <x:c r="N31" s="154" t="n">
        <x:f>LEN(G31)</x:f>
        <x:v>52</x:v>
      </x:c>
      <x:c r="O31" s="144" t="str">
        <x:v>S022</x:v>
      </x:c>
      <x:c r="P31" s="136" t="str">
        <x:v>American Academy of Orthopaedic Surgeons（AAOS）</x:v>
      </x:c>
      <x:c r="Q31" s="136" t="str">
        <x:v>Tips for a Safe Running Program</x:v>
      </x:c>
      <x:c r="R31" s="151" t="str">
        <x:v>https://orthoinfo.aaos.org/en/staying-healthy/tips-for-a-safe-running-program/</x:v>
      </x:c>
      <x:c r="S31" s="148" t="str">
        <x:v>2026-07-27</x:v>
      </x:c>
    </x:row>
    <x:row r="32" ht="58" customHeight="1">
      <x:c r="A32" s="143" t="str">
        <x:v>CH-028</x:v>
      </x:c>
      <x:c r="B32" s="144" t="str">
        <x:v>機會</x:v>
      </x:c>
      <x:c r="C32" s="136" t="str">
        <x:v>跑者訓練：提升成績與突破 PB</x:v>
      </x:c>
      <x:c r="D32" s="136" t="str">
        <x:v>輕鬆跑</x:v>
      </x:c>
      <x:c r="E32" s="136" t="str">
        <x:v>把慢跑真的跑輕鬆</x:v>
      </x:c>
      <x:c r="F32" s="136" t="str">
        <x:v>輕鬆跑是有氧容量主體</x:v>
      </x:c>
      <x:c r="G32" s="136" t="str">
        <x:v>大量可恢復的低強度訓練，讓你能累積總量並承接少量高強度。
行動：讓多數週里程保持舒適，把高強度集中在明確課表。</x:v>
      </x:c>
      <x:c r="H32" s="136" t="str">
        <x:v>讓多數週里程保持舒適，把高強度集中在明確課表。</x:v>
      </x:c>
      <x:c r="I32" s="136" t="str">
        <x:v>基礎期</x:v>
      </x:c>
      <x:c r="J32" s="144" t="str">
        <x:v>高</x:v>
      </x:c>
      <x:c r="K32" s="144" t="str">
        <x:v>一般</x:v>
      </x:c>
      <x:c r="L32" s="136" t="str">
        <x:v>訓練值 +2；PB 點數 +1</x:v>
      </x:c>
      <x:c r="M32" s="136" t="str">
        <x:v>依個人經驗、健康狀況與環境調整；不適時停止。</x:v>
      </x:c>
      <x:c r="N32" s="154" t="n">
        <x:f>LEN(G32)</x:f>
        <x:v>55</x:v>
      </x:c>
      <x:c r="O32" s="144" t="str">
        <x:v>S005</x:v>
      </x:c>
      <x:c r="P32" s="136" t="str">
        <x:v>Sports Medicine／PubMed</x:v>
      </x:c>
      <x:c r="Q32" s="136" t="str">
        <x:v>Polarized training systematic review and meta-analysis</x:v>
      </x:c>
      <x:c r="R32" s="151" t="str">
        <x:v>https://pubmed.ncbi.nlm.nih.gov/29863593/</x:v>
      </x:c>
      <x:c r="S32" s="148" t="str">
        <x:v>2026-07-27</x:v>
      </x:c>
    </x:row>
    <x:row r="33" ht="58" customHeight="1">
      <x:c r="A33" s="143" t="str">
        <x:v>CH-029</x:v>
      </x:c>
      <x:c r="B33" s="144" t="str">
        <x:v>機會</x:v>
      </x:c>
      <x:c r="C33" s="136" t="str">
        <x:v>跑者訓練：提升成績與突破 PB</x:v>
      </x:c>
      <x:c r="D33" s="136" t="str">
        <x:v>輕鬆跑</x:v>
      </x:c>
      <x:c r="E33" s="136" t="str">
        <x:v>把慢跑真的跑輕鬆</x:v>
      </x:c>
      <x:c r="F33" s="136" t="str">
        <x:v>配速漂移是調整訊號</x:v>
      </x:c>
      <x:c r="G33" s="136" t="str">
        <x:v>同樣體感下心率持續上升，可能來自熱、缺水、疲勞或路線變化。
行動：先降速並觀察；若伴隨不適就停止，不為均速硬撐。</x:v>
      </x:c>
      <x:c r="H33" s="136" t="str">
        <x:v>先降速並觀察；若伴隨不適就停止，不為均速硬撐。</x:v>
      </x:c>
      <x:c r="I33" s="136" t="str">
        <x:v>較長的輕鬆跑</x:v>
      </x:c>
      <x:c r="J33" s="144" t="str">
        <x:v>中</x:v>
      </x:c>
      <x:c r="K33" s="144" t="str">
        <x:v>一般</x:v>
      </x:c>
      <x:c r="L33" s="136" t="str">
        <x:v>訓練值 +1</x:v>
      </x:c>
      <x:c r="M33" s="136" t="str">
        <x:v>依個人經驗、健康狀況與環境調整；不適時停止。</x:v>
      </x:c>
      <x:c r="N33" s="154" t="n">
        <x:f>LEN(G33)</x:f>
        <x:v>56</x:v>
      </x:c>
      <x:c r="O33" s="144" t="str">
        <x:v>S014</x:v>
      </x:c>
      <x:c r="P33" s="136" t="str">
        <x:v>World Athletics</x:v>
      </x:c>
      <x:c r="Q33" s="136" t="str">
        <x:v>Fluid Needs for Training, Competition, and Recovery</x:v>
      </x:c>
      <x:c r="R33" s="151" t="str">
        <x:v>https://worldathletics.org/download/download?filename=ef30aa1b-f972-4f15-84a0-5c131e13b2c9.pdf&amp;urlslug=Fluid+Needs+for+Training%2C+Competition%2C+and+Recovery+in+Track-and-Field+Athletes</x:v>
      </x:c>
      <x:c r="S33" s="148" t="str">
        <x:v>2026-07-27</x:v>
      </x:c>
    </x:row>
    <x:row r="34" ht="58" customHeight="1">
      <x:c r="A34" s="143" t="str">
        <x:v>CH-030</x:v>
      </x:c>
      <x:c r="B34" s="144" t="str">
        <x:v>機會</x:v>
      </x:c>
      <x:c r="C34" s="136" t="str">
        <x:v>跑者訓練：提升成績與突破 PB</x:v>
      </x:c>
      <x:c r="D34" s="136" t="str">
        <x:v>輕鬆跑</x:v>
      </x:c>
      <x:c r="E34" s="136" t="str">
        <x:v>把慢跑真的跑輕鬆</x:v>
      </x:c>
      <x:c r="F34" s="136" t="str">
        <x:v>高強度後 24 小時重質不重量</x:v>
      </x:c>
      <x:c r="G34" s="136" t="str">
        <x:v>間歇後再堆快跑，會延長疲勞並增加動作走樣。
行動：隔天選休息、步行、單車或短輕鬆跑，依身體反應決定。</x:v>
      </x:c>
      <x:c r="H34" s="136" t="str">
        <x:v>隔天選休息、步行、單車或短輕鬆跑，依身體反應決定。</x:v>
      </x:c>
      <x:c r="I34" s="136" t="str">
        <x:v>品質課隔天</x:v>
      </x:c>
      <x:c r="J34" s="144" t="str">
        <x:v>中</x:v>
      </x:c>
      <x:c r="K34" s="144" t="str">
        <x:v>一般</x:v>
      </x:c>
      <x:c r="L34" s="136" t="str">
        <x:v>訓練值 +1</x:v>
      </x:c>
      <x:c r="M34" s="136" t="str">
        <x:v>依個人經驗、健康狀況與環境調整；不適時停止。</x:v>
      </x:c>
      <x:c r="N34" s="154" t="n">
        <x:f>LEN(G34)</x:f>
        <x:v>50</x:v>
      </x:c>
      <x:c r="O34" s="144" t="str">
        <x:v>S003</x:v>
      </x:c>
      <x:c r="P34" s="136" t="str">
        <x:v>國際奧會（IOC）／BJSM</x:v>
      </x:c>
      <x:c r="Q34" s="136" t="str">
        <x:v>How much is too much? Part 1: load and injury risk</x:v>
      </x:c>
      <x:c r="R34" s="151" t="str">
        <x:v>https://bjsm.bmj.com/content/50/17/1030</x:v>
      </x:c>
      <x:c r="S34" s="148" t="str">
        <x:v>2026-07-27</x:v>
      </x:c>
    </x:row>
    <x:row r="35" ht="58" customHeight="1">
      <x:c r="A35" s="143" t="str">
        <x:v>CH-031</x:v>
      </x:c>
      <x:c r="B35" s="144" t="str">
        <x:v>機會</x:v>
      </x:c>
      <x:c r="C35" s="136" t="str">
        <x:v>跑者訓練：提升成績與突破 PB</x:v>
      </x:c>
      <x:c r="D35" s="136" t="str">
        <x:v>閾值與節奏</x:v>
      </x:c>
      <x:c r="E35" s="136" t="str">
        <x:v>提高可持續速度</x:v>
      </x:c>
      <x:c r="F35" s="136" t="str">
        <x:v>閾值是可控的難，不是全力</x:v>
      </x:c>
      <x:c r="G35" s="136" t="str">
        <x:v>閾值課應接近可持續約一小時的努力感，結束時仍能維持姿勢。
行動：以 RPE 約 7–8 分起步，最後一段不應崩速。</x:v>
      </x:c>
      <x:c r="H35" s="136" t="str">
        <x:v>以 RPE 約 7–8 分起步，最後一段不應崩速。</x:v>
      </x:c>
      <x:c r="I35" s="136" t="str">
        <x:v>閾值課</x:v>
      </x:c>
      <x:c r="J35" s="144" t="str">
        <x:v>高</x:v>
      </x:c>
      <x:c r="K35" s="144" t="str">
        <x:v>一般</x:v>
      </x:c>
      <x:c r="L35" s="136" t="str">
        <x:v>訓練值 +2；PB 點數 +1</x:v>
      </x:c>
      <x:c r="M35" s="136" t="str">
        <x:v>依個人經驗、健康狀況與環境調整；不適時停止。</x:v>
      </x:c>
      <x:c r="N35" s="154" t="n">
        <x:f>LEN(G35)</x:f>
        <x:v>57</x:v>
      </x:c>
      <x:c r="O35" s="144" t="str">
        <x:v>S008</x:v>
      </x:c>
      <x:c r="P35" s="136" t="str">
        <x:v>Sports Medicine／PubMed</x:v>
      </x:c>
      <x:c r="Q35" s="136" t="str">
        <x:v>Threshold training and endurance performance</x:v>
      </x:c>
      <x:c r="R35" s="151" t="str">
        <x:v>https://pubmed.ncbi.nlm.nih.gov/36900796/</x:v>
      </x:c>
      <x:c r="S35" s="148" t="str">
        <x:v>2026-07-27</x:v>
      </x:c>
    </x:row>
    <x:row r="36" ht="58" customHeight="1">
      <x:c r="A36" s="143" t="str">
        <x:v>CH-032</x:v>
      </x:c>
      <x:c r="B36" s="144" t="str">
        <x:v>機會</x:v>
      </x:c>
      <x:c r="C36" s="136" t="str">
        <x:v>跑者訓練：提升成績與突破 PB</x:v>
      </x:c>
      <x:c r="D36" s="136" t="str">
        <x:v>閾值與節奏</x:v>
      </x:c>
      <x:c r="E36" s="136" t="str">
        <x:v>提高可持續速度</x:v>
      </x:c>
      <x:c r="F36" s="136" t="str">
        <x:v>分段節奏更容易守品質</x:v>
      </x:c>
      <x:c r="G36" s="136" t="str">
        <x:v>把連續節奏拆成數段，可在相同總時間下減少配速失控。
行動：例如 3–4 段中長間歇，段間短慢跑，總量再逐週增加。</x:v>
      </x:c>
      <x:c r="H36" s="136" t="str">
        <x:v>例如 3–4 段中長間歇，段間短慢跑，總量再逐週增加。</x:v>
      </x:c>
      <x:c r="I36" s="136" t="str">
        <x:v>閾值入門</x:v>
      </x:c>
      <x:c r="J36" s="144" t="str">
        <x:v>中</x:v>
      </x:c>
      <x:c r="K36" s="144" t="str">
        <x:v>一般</x:v>
      </x:c>
      <x:c r="L36" s="136" t="str">
        <x:v>訓練值 +1</x:v>
      </x:c>
      <x:c r="M36" s="136" t="str">
        <x:v>依個人經驗、健康狀況與環境調整；不適時停止。</x:v>
      </x:c>
      <x:c r="N36" s="154" t="n">
        <x:f>LEN(G36)</x:f>
        <x:v>56</x:v>
      </x:c>
      <x:c r="O36" s="144" t="str">
        <x:v>S008</x:v>
      </x:c>
      <x:c r="P36" s="136" t="str">
        <x:v>Sports Medicine／PubMed</x:v>
      </x:c>
      <x:c r="Q36" s="136" t="str">
        <x:v>Threshold training and endurance performance</x:v>
      </x:c>
      <x:c r="R36" s="151" t="str">
        <x:v>https://pubmed.ncbi.nlm.nih.gov/36900796/</x:v>
      </x:c>
      <x:c r="S36" s="148" t="str">
        <x:v>2026-07-27</x:v>
      </x:c>
    </x:row>
    <x:row r="37" ht="58" customHeight="1">
      <x:c r="A37" s="143" t="str">
        <x:v>CH-033</x:v>
      </x:c>
      <x:c r="B37" s="144" t="str">
        <x:v>機會</x:v>
      </x:c>
      <x:c r="C37" s="136" t="str">
        <x:v>跑者訓練：提升成績與突破 PB</x:v>
      </x:c>
      <x:c r="D37" s="136" t="str">
        <x:v>閾值與節奏</x:v>
      </x:c>
      <x:c r="E37" s="136" t="str">
        <x:v>提高可持續速度</x:v>
      </x:c>
      <x:c r="F37" s="136" t="str">
        <x:v>先累積總時間再加速</x:v>
      </x:c>
      <x:c r="G37" s="136" t="str">
        <x:v>閾值適應取決於可控累積，過早追快會變成間歇課。
行動：保持配速穩定，先延長總工作時間，再小幅提升速度。</x:v>
      </x:c>
      <x:c r="H37" s="136" t="str">
        <x:v>保持配速穩定，先延長總工作時間，再小幅提升速度。</x:v>
      </x:c>
      <x:c r="I37" s="136" t="str">
        <x:v>連續數週進階</x:v>
      </x:c>
      <x:c r="J37" s="144" t="str">
        <x:v>中</x:v>
      </x:c>
      <x:c r="K37" s="144" t="str">
        <x:v>一般</x:v>
      </x:c>
      <x:c r="L37" s="136" t="str">
        <x:v>訓練值 +1</x:v>
      </x:c>
      <x:c r="M37" s="136" t="str">
        <x:v>依個人經驗、健康狀況與環境調整；不適時停止。</x:v>
      </x:c>
      <x:c r="N37" s="154" t="n">
        <x:f>LEN(G37)</x:f>
        <x:v>51</x:v>
      </x:c>
      <x:c r="O37" s="144" t="str">
        <x:v>S008</x:v>
      </x:c>
      <x:c r="P37" s="136" t="str">
        <x:v>Sports Medicine／PubMed</x:v>
      </x:c>
      <x:c r="Q37" s="136" t="str">
        <x:v>Threshold training and endurance performance</x:v>
      </x:c>
      <x:c r="R37" s="151" t="str">
        <x:v>https://pubmed.ncbi.nlm.nih.gov/36900796/</x:v>
      </x:c>
      <x:c r="S37" s="148" t="str">
        <x:v>2026-07-27</x:v>
      </x:c>
    </x:row>
    <x:row r="38" ht="58" customHeight="1">
      <x:c r="A38" s="143" t="str">
        <x:v>CH-034</x:v>
      </x:c>
      <x:c r="B38" s="144" t="str">
        <x:v>機會</x:v>
      </x:c>
      <x:c r="C38" s="136" t="str">
        <x:v>跑者訓練：提升成績與突破 PB</x:v>
      </x:c>
      <x:c r="D38" s="136" t="str">
        <x:v>閾值與節奏</x:v>
      </x:c>
      <x:c r="E38" s="136" t="str">
        <x:v>提高可持續速度</x:v>
      </x:c>
      <x:c r="F38" s="136" t="str">
        <x:v>心率有延遲，不宜追錶</x:v>
      </x:c>
      <x:c r="G38" s="136" t="str">
        <x:v>剛進入工作段時心率尚未穩定，追目標心率可能讓開頭太快。
行動：先依預定配速與體感，幾分鐘後再用心率交叉確認。</x:v>
      </x:c>
      <x:c r="H38" s="136" t="str">
        <x:v>先依預定配速與體感，幾分鐘後再用心率交叉確認。</x:v>
      </x:c>
      <x:c r="I38" s="136" t="str">
        <x:v>閾值分段</x:v>
      </x:c>
      <x:c r="J38" s="144" t="str">
        <x:v>中</x:v>
      </x:c>
      <x:c r="K38" s="144" t="str">
        <x:v>一般</x:v>
      </x:c>
      <x:c r="L38" s="136" t="str">
        <x:v>訓練值 +1</x:v>
      </x:c>
      <x:c r="M38" s="136" t="str">
        <x:v>依個人經驗、健康狀況與環境調整；不適時停止。</x:v>
      </x:c>
      <x:c r="N38" s="154" t="n">
        <x:f>LEN(G38)</x:f>
        <x:v>54</x:v>
      </x:c>
      <x:c r="O38" s="144" t="str">
        <x:v>S019</x:v>
      </x:c>
      <x:c r="P38" s="136" t="str">
        <x:v>Sports Medicine／PubMed</x:v>
      </x:c>
      <x:c r="Q38" s="136" t="str">
        <x:v>Session RPE systematic review</x:v>
      </x:c>
      <x:c r="R38" s="151" t="str">
        <x:v>https://pubmed.ncbi.nlm.nih.gov/36361320/</x:v>
      </x:c>
      <x:c r="S38" s="148" t="str">
        <x:v>2026-07-27</x:v>
      </x:c>
    </x:row>
    <x:row r="39" ht="58" customHeight="1">
      <x:c r="A39" s="143" t="str">
        <x:v>CH-035</x:v>
      </x:c>
      <x:c r="B39" s="144" t="str">
        <x:v>機會</x:v>
      </x:c>
      <x:c r="C39" s="136" t="str">
        <x:v>跑者訓練：提升成績與突破 PB</x:v>
      </x:c>
      <x:c r="D39" s="136" t="str">
        <x:v>閾值與節奏</x:v>
      </x:c>
      <x:c r="E39" s="136" t="str">
        <x:v>提高可持續速度</x:v>
      </x:c>
      <x:c r="F39" s="136" t="str">
        <x:v>節奏跑不要跑成測驗</x:v>
      </x:c>
      <x:c r="G39" s="136" t="str">
        <x:v>每次都用盡會增加恢復成本，也難以穩定累積。
行動：預留一段能力：最後若仍可控，也只維持而不衝刺。</x:v>
      </x:c>
      <x:c r="H39" s="136" t="str">
        <x:v>預留一段能力：最後若仍可控，也只維持而不衝刺。</x:v>
      </x:c>
      <x:c r="I39" s="136" t="str">
        <x:v>專項期</x:v>
      </x:c>
      <x:c r="J39" s="144" t="str">
        <x:v>中</x:v>
      </x:c>
      <x:c r="K39" s="144" t="str">
        <x:v>一般</x:v>
      </x:c>
      <x:c r="L39" s="136" t="str">
        <x:v>訓練值 +1</x:v>
      </x:c>
      <x:c r="M39" s="136" t="str">
        <x:v>依個人經驗、健康狀況與環境調整；不適時停止。</x:v>
      </x:c>
      <x:c r="N39" s="154" t="n">
        <x:f>LEN(G39)</x:f>
        <x:v>48</x:v>
      </x:c>
      <x:c r="O39" s="144" t="str">
        <x:v>S008</x:v>
      </x:c>
      <x:c r="P39" s="136" t="str">
        <x:v>Sports Medicine／PubMed</x:v>
      </x:c>
      <x:c r="Q39" s="136" t="str">
        <x:v>Threshold training and endurance performance</x:v>
      </x:c>
      <x:c r="R39" s="151" t="str">
        <x:v>https://pubmed.ncbi.nlm.nih.gov/36900796/</x:v>
      </x:c>
      <x:c r="S39" s="148" t="str">
        <x:v>2026-07-27</x:v>
      </x:c>
    </x:row>
    <x:row r="40" ht="58" customHeight="1">
      <x:c r="A40" s="143" t="str">
        <x:v>CH-036</x:v>
      </x:c>
      <x:c r="B40" s="144" t="str">
        <x:v>機會</x:v>
      </x:c>
      <x:c r="C40" s="136" t="str">
        <x:v>跑者訓練：提升成績與突破 PB</x:v>
      </x:c>
      <x:c r="D40" s="136" t="str">
        <x:v>閾值與節奏</x:v>
      </x:c>
      <x:c r="E40" s="136" t="str">
        <x:v>提高可持續速度</x:v>
      </x:c>
      <x:c r="F40" s="136" t="str">
        <x:v>漸速節奏可練配速感</x:v>
      </x:c>
      <x:c r="G40" s="136" t="str">
        <x:v>從穩定偏慢逐段靠近閾值，能降低開頭過快的風險。
行動：把工作段分成 3 段，每段只小幅加速，最後仍維持控制。</x:v>
      </x:c>
      <x:c r="H40" s="136" t="str">
        <x:v>把工作段分成 3 段，每段只小幅加速，最後仍維持控制。</x:v>
      </x:c>
      <x:c r="I40" s="136" t="str">
        <x:v>配速訓練</x:v>
      </x:c>
      <x:c r="J40" s="144" t="str">
        <x:v>中</x:v>
      </x:c>
      <x:c r="K40" s="144" t="str">
        <x:v>一般</x:v>
      </x:c>
      <x:c r="L40" s="136" t="str">
        <x:v>訓練值 +1</x:v>
      </x:c>
      <x:c r="M40" s="136" t="str">
        <x:v>依個人經驗、健康狀況與環境調整；不適時停止。</x:v>
      </x:c>
      <x:c r="N40" s="154" t="n">
        <x:f>LEN(G40)</x:f>
        <x:v>54</x:v>
      </x:c>
      <x:c r="O40" s="144" t="str">
        <x:v>S019</x:v>
      </x:c>
      <x:c r="P40" s="136" t="str">
        <x:v>Sports Medicine／PubMed</x:v>
      </x:c>
      <x:c r="Q40" s="136" t="str">
        <x:v>Session RPE systematic review</x:v>
      </x:c>
      <x:c r="R40" s="151" t="str">
        <x:v>https://pubmed.ncbi.nlm.nih.gov/36361320/</x:v>
      </x:c>
      <x:c r="S40" s="148" t="str">
        <x:v>2026-07-27</x:v>
      </x:c>
    </x:row>
    <x:row r="41" ht="58" customHeight="1">
      <x:c r="A41" s="143" t="str">
        <x:v>CH-037</x:v>
      </x:c>
      <x:c r="B41" s="144" t="str">
        <x:v>機會</x:v>
      </x:c>
      <x:c r="C41" s="136" t="str">
        <x:v>跑者訓練：提升成績與突破 PB</x:v>
      </x:c>
      <x:c r="D41" s="136" t="str">
        <x:v>閾值與節奏</x:v>
      </x:c>
      <x:c r="E41" s="136" t="str">
        <x:v>提高可持續速度</x:v>
      </x:c>
      <x:c r="F41" s="136" t="str">
        <x:v>起伏路線用等努力</x:v>
      </x:c>
      <x:c r="G41" s="136" t="str">
        <x:v>坡度使秒數失真，硬守平路配速容易超過閾值。
行動：上坡縮步、下坡放鬆，以呼吸與 RPE 守住整體負荷。</x:v>
      </x:c>
      <x:c r="H41" s="136" t="str">
        <x:v>上坡縮步、下坡放鬆，以呼吸與 RPE 守住整體負荷。</x:v>
      </x:c>
      <x:c r="I41" s="136" t="str">
        <x:v>丘陵節奏跑</x:v>
      </x:c>
      <x:c r="J41" s="144" t="str">
        <x:v>中</x:v>
      </x:c>
      <x:c r="K41" s="144" t="str">
        <x:v>一般</x:v>
      </x:c>
      <x:c r="L41" s="136" t="str">
        <x:v>訓練值 +1</x:v>
      </x:c>
      <x:c r="M41" s="136" t="str">
        <x:v>依個人經驗、健康狀況與環境調整；不適時停止。</x:v>
      </x:c>
      <x:c r="N41" s="154" t="n">
        <x:f>LEN(G41)</x:f>
        <x:v>51</x:v>
      </x:c>
      <x:c r="O41" s="144" t="str">
        <x:v>S019</x:v>
      </x:c>
      <x:c r="P41" s="136" t="str">
        <x:v>Sports Medicine／PubMed</x:v>
      </x:c>
      <x:c r="Q41" s="136" t="str">
        <x:v>Session RPE systematic review</x:v>
      </x:c>
      <x:c r="R41" s="151" t="str">
        <x:v>https://pubmed.ncbi.nlm.nih.gov/36361320/</x:v>
      </x:c>
      <x:c r="S41" s="148" t="str">
        <x:v>2026-07-27</x:v>
      </x:c>
    </x:row>
    <x:row r="42" ht="58" customHeight="1">
      <x:c r="A42" s="143" t="str">
        <x:v>CH-038</x:v>
      </x:c>
      <x:c r="B42" s="144" t="str">
        <x:v>機會</x:v>
      </x:c>
      <x:c r="C42" s="136" t="str">
        <x:v>跑者訓練：提升成績與突破 PB</x:v>
      </x:c>
      <x:c r="D42" s="136" t="str">
        <x:v>閾值與節奏</x:v>
      </x:c>
      <x:c r="E42" s="136" t="str">
        <x:v>提高可持續速度</x:v>
      </x:c>
      <x:c r="F42" s="136" t="str">
        <x:v>穿熟悉的節奏鞋</x:v>
      </x:c>
      <x:c r="G42" s="136" t="str">
        <x:v>閾值課需穩定輸出，未適應的新鞋會增加摩擦或小腿負擔。
行動：新鞋先經數次短跑，再用於長時間節奏。</x:v>
      </x:c>
      <x:c r="H42" s="136" t="str">
        <x:v>新鞋先經數次短跑，再用於長時間節奏。</x:v>
      </x:c>
      <x:c r="I42" s="136" t="str">
        <x:v>專項課前</x:v>
      </x:c>
      <x:c r="J42" s="144" t="str">
        <x:v>中</x:v>
      </x:c>
      <x:c r="K42" s="144" t="str">
        <x:v>一般</x:v>
      </x:c>
      <x:c r="L42" s="136" t="str">
        <x:v>訓練值 +1</x:v>
      </x:c>
      <x:c r="M42" s="136" t="str">
        <x:v>依個人經驗、健康狀況與環境調整；不適時停止。</x:v>
      </x:c>
      <x:c r="N42" s="154" t="n">
        <x:f>LEN(G42)</x:f>
        <x:v>48</x:v>
      </x:c>
      <x:c r="O42" s="144" t="str">
        <x:v>S023</x:v>
      </x:c>
      <x:c r="P42" s="136" t="str">
        <x:v>AAOS</x:v>
      </x:c>
      <x:c r="Q42" s="136" t="str">
        <x:v>Athletic Shoes</x:v>
      </x:c>
      <x:c r="R42" s="151" t="str">
        <x:v>https://orthoinfo.aaos.org/en/staying-healthy/athletic-shoes/</x:v>
      </x:c>
      <x:c r="S42" s="148" t="str">
        <x:v>2026-07-27</x:v>
      </x:c>
    </x:row>
    <x:row r="43" ht="58" customHeight="1">
      <x:c r="A43" s="143" t="str">
        <x:v>CH-039</x:v>
      </x:c>
      <x:c r="B43" s="144" t="str">
        <x:v>機會</x:v>
      </x:c>
      <x:c r="C43" s="136" t="str">
        <x:v>跑者訓練：提升成績與突破 PB</x:v>
      </x:c>
      <x:c r="D43" s="136" t="str">
        <x:v>閾值與節奏</x:v>
      </x:c>
      <x:c r="E43" s="136" t="str">
        <x:v>提高可持續速度</x:v>
      </x:c>
      <x:c r="F43" s="136" t="str">
        <x:v>長節奏課也要補給演練</x:v>
      </x:c>
      <x:c r="G43" s="136" t="str">
        <x:v>含熱身與收操若超過一小時，碳水與水分可能影響後段品質。
行動：依時長與天候帶水或少量碳水，採用比賽熟悉品項。</x:v>
      </x:c>
      <x:c r="H43" s="136" t="str">
        <x:v>依時長與天候帶水或少量碳水，採用比賽熟悉品項。</x:v>
      </x:c>
      <x:c r="I43" s="136" t="str">
        <x:v>長節奏課</x:v>
      </x:c>
      <x:c r="J43" s="144" t="str">
        <x:v>中</x:v>
      </x:c>
      <x:c r="K43" s="144" t="str">
        <x:v>一般</x:v>
      </x:c>
      <x:c r="L43" s="136" t="str">
        <x:v>訓練值 +1</x:v>
      </x:c>
      <x:c r="M43" s="136" t="str">
        <x:v>依個人經驗、健康狀況與環境調整；不適時停止。</x:v>
      </x:c>
      <x:c r="N43" s="154" t="n">
        <x:f>LEN(G43)</x:f>
        <x:v>54</x:v>
      </x:c>
      <x:c r="O43" s="144" t="str">
        <x:v>S013</x:v>
      </x:c>
      <x:c r="P43" s="136" t="str">
        <x:v>World Athletics</x:v>
      </x:c>
      <x:c r="Q43" s="136" t="str">
        <x:v>Contemporary Nutrition Strategies for Distance Runners</x:v>
      </x:c>
      <x:c r="R43" s="151" t="str">
        <x:v>https://worldathletics.org/download/download?filename=6babe10a-9969-407e-b0cd-f7d96df50f51.pdf&amp;urlslug=Contemporary+Nutrition+Strategies+to+Optimize+Performance+in+Distance+Runners+and+Race+Walkers</x:v>
      </x:c>
      <x:c r="S43" s="148" t="str">
        <x:v>2026-07-27</x:v>
      </x:c>
    </x:row>
    <x:row r="44" ht="58" customHeight="1">
      <x:c r="A44" s="143" t="str">
        <x:v>CH-040</x:v>
      </x:c>
      <x:c r="B44" s="144" t="str">
        <x:v>機會</x:v>
      </x:c>
      <x:c r="C44" s="136" t="str">
        <x:v>跑者訓練：提升成績與突破 PB</x:v>
      </x:c>
      <x:c r="D44" s="136" t="str">
        <x:v>閾值與節奏</x:v>
      </x:c>
      <x:c r="E44" s="136" t="str">
        <x:v>提高可持續速度</x:v>
      </x:c>
      <x:c r="F44" s="136" t="str">
        <x:v>賽前保留短閾值刺激</x:v>
      </x:c>
      <x:c r="G44" s="136" t="str">
        <x:v>減量期完全取消強度，可能讓腿感遲鈍；但總量應下降。
行動：保留少量短段、完整恢復，不再創造新的疲勞。</x:v>
      </x:c>
      <x:c r="H44" s="136" t="str">
        <x:v>保留少量短段、完整恢復，不再創造新的疲勞。</x:v>
      </x:c>
      <x:c r="I44" s="136" t="str">
        <x:v>賽前 1–2 週</x:v>
      </x:c>
      <x:c r="J44" s="144" t="str">
        <x:v>中</x:v>
      </x:c>
      <x:c r="K44" s="144" t="str">
        <x:v>一般</x:v>
      </x:c>
      <x:c r="L44" s="136" t="str">
        <x:v>訓練值 +1</x:v>
      </x:c>
      <x:c r="M44" s="136" t="str">
        <x:v>依個人經驗、健康狀況與環境調整；不適時停止。</x:v>
      </x:c>
      <x:c r="N44" s="154" t="n">
        <x:f>LEN(G44)</x:f>
        <x:v>50</x:v>
      </x:c>
      <x:c r="O44" s="144" t="str">
        <x:v>S010</x:v>
      </x:c>
      <x:c r="P44" s="136" t="str">
        <x:v>Sports Medicine／PubMed</x:v>
      </x:c>
      <x:c r="Q44" s="136" t="str">
        <x:v>Tapering and endurance performance meta-analysis</x:v>
      </x:c>
      <x:c r="R44" s="151" t="str">
        <x:v>https://pubmed.ncbi.nlm.nih.gov/37163550/</x:v>
      </x:c>
      <x:c r="S44" s="148" t="str">
        <x:v>2026-07-27</x:v>
      </x:c>
    </x:row>
    <x:row r="45" ht="58" customHeight="1">
      <x:c r="A45" s="143" t="str">
        <x:v>CH-041</x:v>
      </x:c>
      <x:c r="B45" s="144" t="str">
        <x:v>機會</x:v>
      </x:c>
      <x:c r="C45" s="136" t="str">
        <x:v>跑者訓練：提升成績與突破 PB</x:v>
      </x:c>
      <x:c r="D45" s="136" t="str">
        <x:v>間歇與 VO₂max</x:v>
      </x:c>
      <x:c r="E45" s="136" t="str">
        <x:v>用高品質刺激速度上限</x:v>
      </x:c>
      <x:c r="F45" s="136" t="str">
        <x:v>三到五分鐘工作段</x:v>
      </x:c>
      <x:c r="G45" s="136" t="str">
        <x:v>中長間歇能在高攝氧區累積時間，但不需每段全力。
行動：從少量組數開始，讓最後一段仍接近第一段。</x:v>
      </x:c>
      <x:c r="H45" s="136" t="str">
        <x:v>從少量組數開始，讓最後一段仍接近第一段。</x:v>
      </x:c>
      <x:c r="I45" s="136" t="str">
        <x:v>VO₂max 課</x:v>
      </x:c>
      <x:c r="J45" s="144" t="str">
        <x:v>高</x:v>
      </x:c>
      <x:c r="K45" s="144" t="str">
        <x:v>一般</x:v>
      </x:c>
      <x:c r="L45" s="136" t="str">
        <x:v>訓練值 +2；PB 點數 +1</x:v>
      </x:c>
      <x:c r="M45" s="136" t="str">
        <x:v>依個人經驗、健康狀況與環境調整；不適時停止。</x:v>
      </x:c>
      <x:c r="N45" s="154" t="n">
        <x:f>LEN(G45)</x:f>
        <x:v>47</x:v>
      </x:c>
      <x:c r="O45" s="144" t="str">
        <x:v>S007</x:v>
      </x:c>
      <x:c r="P45" s="136" t="str">
        <x:v>Medicine &amp; Science in Sports &amp; Exercise／PubMed</x:v>
      </x:c>
      <x:c r="Q45" s="136" t="str">
        <x:v>Aerobic high-intensity intervals improve VO2max</x:v>
      </x:c>
      <x:c r="R45" s="151" t="str">
        <x:v>https://pubmed.ncbi.nlm.nih.gov/17414804/</x:v>
      </x:c>
      <x:c r="S45" s="148" t="str">
        <x:v>2026-07-27</x:v>
      </x:c>
    </x:row>
    <x:row r="46" ht="58" customHeight="1">
      <x:c r="A46" s="143" t="str">
        <x:v>CH-042</x:v>
      </x:c>
      <x:c r="B46" s="144" t="str">
        <x:v>機會</x:v>
      </x:c>
      <x:c r="C46" s="136" t="str">
        <x:v>跑者訓練：提升成績與突破 PB</x:v>
      </x:c>
      <x:c r="D46" s="136" t="str">
        <x:v>間歇與 VO₂max</x:v>
      </x:c>
      <x:c r="E46" s="136" t="str">
        <x:v>用高品質刺激速度上限</x:v>
      </x:c>
      <x:c r="F46" s="136" t="str">
        <x:v>恢復要讓下一段可完成</x:v>
      </x:c>
      <x:c r="G46" s="136" t="str">
        <x:v>段間恢復太短會使動作崩壞，太長則降低整體刺激。
行動：以慢跑或走跑恢復，呼吸可控後再開始下一段。</x:v>
      </x:c>
      <x:c r="H46" s="136" t="str">
        <x:v>以慢跑或走跑恢復，呼吸可控後再開始下一段。</x:v>
      </x:c>
      <x:c r="I46" s="136" t="str">
        <x:v>間歇課</x:v>
      </x:c>
      <x:c r="J46" s="144" t="str">
        <x:v>中</x:v>
      </x:c>
      <x:c r="K46" s="144" t="str">
        <x:v>一般</x:v>
      </x:c>
      <x:c r="L46" s="136" t="str">
        <x:v>訓練值 +1</x:v>
      </x:c>
      <x:c r="M46" s="136" t="str">
        <x:v>依個人經驗、健康狀況與環境調整；不適時停止。</x:v>
      </x:c>
      <x:c r="N46" s="154" t="n">
        <x:f>LEN(G46)</x:f>
        <x:v>48</x:v>
      </x:c>
      <x:c r="O46" s="144" t="str">
        <x:v>S075</x:v>
      </x:c>
      <x:c r="P46" s="136" t="str">
        <x:v>Sports Medicine／PubMed</x:v>
      </x:c>
      <x:c r="Q46" s="136" t="str">
        <x:v>Interval training review</x:v>
      </x:c>
      <x:c r="R46" s="151" t="str">
        <x:v>https://pubmed.ncbi.nlm.nih.gov/11219499/</x:v>
      </x:c>
      <x:c r="S46" s="148" t="str">
        <x:v>2026-07-27</x:v>
      </x:c>
    </x:row>
    <x:row r="47" ht="58" customHeight="1">
      <x:c r="A47" s="143" t="str">
        <x:v>CH-043</x:v>
      </x:c>
      <x:c r="B47" s="144" t="str">
        <x:v>機會</x:v>
      </x:c>
      <x:c r="C47" s="136" t="str">
        <x:v>跑者訓練：提升成績與突破 PB</x:v>
      </x:c>
      <x:c r="D47" s="136" t="str">
        <x:v>間歇與 VO₂max</x:v>
      </x:c>
      <x:c r="E47" s="136" t="str">
        <x:v>用高品質刺激速度上限</x:v>
      </x:c>
      <x:c r="F47" s="136" t="str">
        <x:v>重複段要整齊</x:v>
      </x:c>
      <x:c r="G47" s="136" t="str">
        <x:v>前快後崩代表配速過高；穩定重複通常比單段最佳更有效。
行動：第一段保守，目標讓各段差距維持在小範圍。</x:v>
      </x:c>
      <x:c r="H47" s="136" t="str">
        <x:v>第一段保守，目標讓各段差距維持在小範圍。</x:v>
      </x:c>
      <x:c r="I47" s="136" t="str">
        <x:v>操場間歇</x:v>
      </x:c>
      <x:c r="J47" s="144" t="str">
        <x:v>高</x:v>
      </x:c>
      <x:c r="K47" s="144" t="str">
        <x:v>一般</x:v>
      </x:c>
      <x:c r="L47" s="136" t="str">
        <x:v>訓練值 +2；PB 點數 +1</x:v>
      </x:c>
      <x:c r="M47" s="136" t="str">
        <x:v>依個人經驗、健康狀況與環境調整；不適時停止。</x:v>
      </x:c>
      <x:c r="N47" s="154" t="n">
        <x:f>LEN(G47)</x:f>
        <x:v>50</x:v>
      </x:c>
      <x:c r="O47" s="144" t="str">
        <x:v>S075</x:v>
      </x:c>
      <x:c r="P47" s="136" t="str">
        <x:v>Sports Medicine／PubMed</x:v>
      </x:c>
      <x:c r="Q47" s="136" t="str">
        <x:v>Interval training review</x:v>
      </x:c>
      <x:c r="R47" s="151" t="str">
        <x:v>https://pubmed.ncbi.nlm.nih.gov/11219499/</x:v>
      </x:c>
      <x:c r="S47" s="148" t="str">
        <x:v>2026-07-27</x:v>
      </x:c>
    </x:row>
    <x:row r="48" ht="58" customHeight="1">
      <x:c r="A48" s="143" t="str">
        <x:v>CH-044</x:v>
      </x:c>
      <x:c r="B48" s="144" t="str">
        <x:v>機會</x:v>
      </x:c>
      <x:c r="C48" s="136" t="str">
        <x:v>跑者訓練：提升成績與突破 PB</x:v>
      </x:c>
      <x:c r="D48" s="136" t="str">
        <x:v>間歇與 VO₂max</x:v>
      </x:c>
      <x:c r="E48" s="136" t="str">
        <x:v>用高品質刺激速度上限</x:v>
      </x:c>
      <x:c r="F48" s="136" t="str">
        <x:v>品質掉了就收課</x:v>
      </x:c>
      <x:c r="G48" s="136" t="str">
        <x:v>當配速、姿勢與專注明顯下降，繼續堆量只增加疲勞。
行動：設定停止條件，例如連兩段低於目標或動作失控。</x:v>
      </x:c>
      <x:c r="H48" s="136" t="str">
        <x:v>設定停止條件，例如連兩段低於目標或動作失控。</x:v>
      </x:c>
      <x:c r="I48" s="136" t="str">
        <x:v>高強度課</x:v>
      </x:c>
      <x:c r="J48" s="144" t="str">
        <x:v>高</x:v>
      </x:c>
      <x:c r="K48" s="144" t="str">
        <x:v>一般</x:v>
      </x:c>
      <x:c r="L48" s="136" t="str">
        <x:v>訓練值 +2；PB 點數 +1</x:v>
      </x:c>
      <x:c r="M48" s="136" t="str">
        <x:v>依個人經驗、健康狀況與環境調整；不適時停止。</x:v>
      </x:c>
      <x:c r="N48" s="154" t="n">
        <x:f>LEN(G48)</x:f>
        <x:v>50</x:v>
      </x:c>
      <x:c r="O48" s="144" t="str">
        <x:v>S003</x:v>
      </x:c>
      <x:c r="P48" s="136" t="str">
        <x:v>國際奧會（IOC）／BJSM</x:v>
      </x:c>
      <x:c r="Q48" s="136" t="str">
        <x:v>How much is too much? Part 1: load and injury risk</x:v>
      </x:c>
      <x:c r="R48" s="151" t="str">
        <x:v>https://bjsm.bmj.com/content/50/17/1030</x:v>
      </x:c>
      <x:c r="S48" s="148" t="str">
        <x:v>2026-07-27</x:v>
      </x:c>
    </x:row>
    <x:row r="49" ht="58" customHeight="1">
      <x:c r="A49" s="143" t="str">
        <x:v>CH-045</x:v>
      </x:c>
      <x:c r="B49" s="144" t="str">
        <x:v>機會</x:v>
      </x:c>
      <x:c r="C49" s="136" t="str">
        <x:v>跑者訓練：提升成績與突破 PB</x:v>
      </x:c>
      <x:c r="D49" s="136" t="str">
        <x:v>間歇與 VO₂max</x:v>
      </x:c>
      <x:c r="E49" s="136" t="str">
        <x:v>用高品質刺激速度上限</x:v>
      </x:c>
      <x:c r="F49" s="136" t="str">
        <x:v>短間歇重節奏，不重憋氣</x:v>
      </x:c>
      <x:c r="G49" s="136" t="str">
        <x:v>30–60 秒短段適合練步頻與速度感，但仍需放鬆。
行動：保留完整動作與足夠恢復，不把每段跑成衝刺。</x:v>
      </x:c>
      <x:c r="H49" s="136" t="str">
        <x:v>保留完整動作與足夠恢復，不把每段跑成衝刺。</x:v>
      </x:c>
      <x:c r="I49" s="136" t="str">
        <x:v>速度耐力課</x:v>
      </x:c>
      <x:c r="J49" s="144" t="str">
        <x:v>中</x:v>
      </x:c>
      <x:c r="K49" s="144" t="str">
        <x:v>一般</x:v>
      </x:c>
      <x:c r="L49" s="136" t="str">
        <x:v>訓練值 +1</x:v>
      </x:c>
      <x:c r="M49" s="136" t="str">
        <x:v>依個人經驗、健康狀況與環境調整；不適時停止。</x:v>
      </x:c>
      <x:c r="N49" s="154" t="n">
        <x:f>LEN(G49)</x:f>
        <x:v>50</x:v>
      </x:c>
      <x:c r="O49" s="144" t="str">
        <x:v>S075</x:v>
      </x:c>
      <x:c r="P49" s="136" t="str">
        <x:v>Sports Medicine／PubMed</x:v>
      </x:c>
      <x:c r="Q49" s="136" t="str">
        <x:v>Interval training review</x:v>
      </x:c>
      <x:c r="R49" s="151" t="str">
        <x:v>https://pubmed.ncbi.nlm.nih.gov/11219499/</x:v>
      </x:c>
      <x:c r="S49" s="148" t="str">
        <x:v>2026-07-27</x:v>
      </x:c>
    </x:row>
    <x:row r="50" ht="58" customHeight="1">
      <x:c r="A50" s="143" t="str">
        <x:v>CH-046</x:v>
      </x:c>
      <x:c r="B50" s="144" t="str">
        <x:v>機會</x:v>
      </x:c>
      <x:c r="C50" s="136" t="str">
        <x:v>跑者訓練：提升成績與突破 PB</x:v>
      </x:c>
      <x:c r="D50" s="136" t="str">
        <x:v>間歇與 VO₂max</x:v>
      </x:c>
      <x:c r="E50" s="136" t="str">
        <x:v>用高品質刺激速度上限</x:v>
      </x:c>
      <x:c r="F50" s="136" t="str">
        <x:v>高強度日之間要間隔</x:v>
      </x:c>
      <x:c r="G50" s="136" t="str">
        <x:v>間歇會帶來較高肌肉與神經負荷，隔天再硬跑常降低適應。
行動：以至少一個輕鬆日或休息日隔開下一堂品質課。</x:v>
      </x:c>
      <x:c r="H50" s="136" t="str">
        <x:v>以至少一個輕鬆日或休息日隔開下一堂品質課。</x:v>
      </x:c>
      <x:c r="I50" s="136" t="str">
        <x:v>每週排課</x:v>
      </x:c>
      <x:c r="J50" s="144" t="str">
        <x:v>中</x:v>
      </x:c>
      <x:c r="K50" s="144" t="str">
        <x:v>一般</x:v>
      </x:c>
      <x:c r="L50" s="136" t="str">
        <x:v>訓練值 +1</x:v>
      </x:c>
      <x:c r="M50" s="136" t="str">
        <x:v>依個人經驗、健康狀況與環境調整；不適時停止。</x:v>
      </x:c>
      <x:c r="N50" s="154" t="n">
        <x:f>LEN(G50)</x:f>
        <x:v>51</x:v>
      </x:c>
      <x:c r="O50" s="144" t="str">
        <x:v>S003</x:v>
      </x:c>
      <x:c r="P50" s="136" t="str">
        <x:v>國際奧會（IOC）／BJSM</x:v>
      </x:c>
      <x:c r="Q50" s="136" t="str">
        <x:v>How much is too much? Part 1: load and injury risk</x:v>
      </x:c>
      <x:c r="R50" s="151" t="str">
        <x:v>https://bjsm.bmj.com/content/50/17/1030</x:v>
      </x:c>
      <x:c r="S50" s="148" t="str">
        <x:v>2026-07-27</x:v>
      </x:c>
    </x:row>
    <x:row r="51" ht="58" customHeight="1">
      <x:c r="A51" s="143" t="str">
        <x:v>CH-047</x:v>
      </x:c>
      <x:c r="B51" s="144" t="str">
        <x:v>機會</x:v>
      </x:c>
      <x:c r="C51" s="136" t="str">
        <x:v>跑者訓練：提升成績與突破 PB</x:v>
      </x:c>
      <x:c r="D51" s="136" t="str">
        <x:v>間歇與 VO₂max</x:v>
      </x:c>
      <x:c r="E51" s="136" t="str">
        <x:v>用高品質刺激速度上限</x:v>
      </x:c>
      <x:c r="F51" s="136" t="str">
        <x:v>操場先看跑道方向與人流</x:v>
      </x:c>
      <x:c r="G51" s="136" t="str">
        <x:v>高速度下突然切線或逆向，容易碰撞與扭傷。
行動：依場地規範跑、超車前確認，恢復段移到外道。</x:v>
      </x:c>
      <x:c r="H51" s="136" t="str">
        <x:v>依場地規範跑、超車前確認，恢復段移到外道。</x:v>
      </x:c>
      <x:c r="I51" s="136" t="str">
        <x:v>操場訓練</x:v>
      </x:c>
      <x:c r="J51" s="144" t="str">
        <x:v>中</x:v>
      </x:c>
      <x:c r="K51" s="144" t="str">
        <x:v>一般</x:v>
      </x:c>
      <x:c r="L51" s="136" t="str">
        <x:v>訓練值 +1</x:v>
      </x:c>
      <x:c r="M51" s="136" t="str">
        <x:v>依個人經驗、健康狀況與環境調整；不適時停止。</x:v>
      </x:c>
      <x:c r="N51" s="154" t="n">
        <x:f>LEN(G51)</x:f>
        <x:v>45</x:v>
      </x:c>
      <x:c r="O51" s="144" t="str">
        <x:v>S022</x:v>
      </x:c>
      <x:c r="P51" s="136" t="str">
        <x:v>American Academy of Orthopaedic Surgeons（AAOS）</x:v>
      </x:c>
      <x:c r="Q51" s="136" t="str">
        <x:v>Tips for a Safe Running Program</x:v>
      </x:c>
      <x:c r="R51" s="151" t="str">
        <x:v>https://orthoinfo.aaos.org/en/staying-healthy/tips-for-a-safe-running-program/</x:v>
      </x:c>
      <x:c r="S51" s="148" t="str">
        <x:v>2026-07-27</x:v>
      </x:c>
    </x:row>
    <x:row r="52" ht="58" customHeight="1">
      <x:c r="A52" s="143" t="str">
        <x:v>CH-048</x:v>
      </x:c>
      <x:c r="B52" s="144" t="str">
        <x:v>機會</x:v>
      </x:c>
      <x:c r="C52" s="136" t="str">
        <x:v>跑者訓練：提升成績與突破 PB</x:v>
      </x:c>
      <x:c r="D52" s="136" t="str">
        <x:v>間歇與 VO₂max</x:v>
      </x:c>
      <x:c r="E52" s="136" t="str">
        <x:v>用高品質刺激速度上限</x:v>
      </x:c>
      <x:c r="F52" s="136" t="str">
        <x:v>VO₂max 課不是百米衝刺</x:v>
      </x:c>
      <x:c r="G52" s="136" t="str">
        <x:v>目標是累積高氧攝取時間，不是追求單段最高速度。
行動：選能重複數段的配速，避免乳酸過早堆積。</x:v>
      </x:c>
      <x:c r="H52" s="136" t="str">
        <x:v>選能重複數段的配速，避免乳酸過早堆積。</x:v>
      </x:c>
      <x:c r="I52" s="136" t="str">
        <x:v>間歇設計</x:v>
      </x:c>
      <x:c r="J52" s="144" t="str">
        <x:v>中</x:v>
      </x:c>
      <x:c r="K52" s="144" t="str">
        <x:v>一般</x:v>
      </x:c>
      <x:c r="L52" s="136" t="str">
        <x:v>訓練值 +1</x:v>
      </x:c>
      <x:c r="M52" s="136" t="str">
        <x:v>依個人經驗、健康狀況與環境調整；不適時停止。</x:v>
      </x:c>
      <x:c r="N52" s="154" t="n">
        <x:f>LEN(G52)</x:f>
        <x:v>46</x:v>
      </x:c>
      <x:c r="O52" s="144" t="str">
        <x:v>S007</x:v>
      </x:c>
      <x:c r="P52" s="136" t="str">
        <x:v>Medicine &amp; Science in Sports &amp; Exercise／PubMed</x:v>
      </x:c>
      <x:c r="Q52" s="136" t="str">
        <x:v>Aerobic high-intensity intervals improve VO2max</x:v>
      </x:c>
      <x:c r="R52" s="151" t="str">
        <x:v>https://pubmed.ncbi.nlm.nih.gov/17414804/</x:v>
      </x:c>
      <x:c r="S52" s="148" t="str">
        <x:v>2026-07-27</x:v>
      </x:c>
    </x:row>
    <x:row r="53" ht="58" customHeight="1">
      <x:c r="A53" s="143" t="str">
        <x:v>CH-049</x:v>
      </x:c>
      <x:c r="B53" s="144" t="str">
        <x:v>機會</x:v>
      </x:c>
      <x:c r="C53" s="136" t="str">
        <x:v>跑者訓練：提升成績與突破 PB</x:v>
      </x:c>
      <x:c r="D53" s="136" t="str">
        <x:v>間歇與 VO₂max</x:v>
      </x:c>
      <x:c r="E53" s="136" t="str">
        <x:v>用高品質刺激速度上限</x:v>
      </x:c>
      <x:c r="F53" s="136" t="str">
        <x:v>完整熱身再進快段</x:v>
      </x:c>
      <x:c r="G53" s="136" t="str">
        <x:v>高速度需要較高肌腱與神經準備；冷啟動會讓第一段僵硬。
行動：先慢跑、動態活動，再做 3–5 次漸快加速跑。</x:v>
      </x:c>
      <x:c r="H53" s="136" t="str">
        <x:v>先慢跑、動態活動，再做 3–5 次漸快加速跑。</x:v>
      </x:c>
      <x:c r="I53" s="136" t="str">
        <x:v>間歇前</x:v>
      </x:c>
      <x:c r="J53" s="144" t="str">
        <x:v>中</x:v>
      </x:c>
      <x:c r="K53" s="144" t="str">
        <x:v>一般</x:v>
      </x:c>
      <x:c r="L53" s="136" t="str">
        <x:v>訓練值 +1</x:v>
      </x:c>
      <x:c r="M53" s="136" t="str">
        <x:v>依個人經驗、健康狀況與環境調整；不適時停止。</x:v>
      </x:c>
      <x:c r="N53" s="154" t="n">
        <x:f>LEN(G53)</x:f>
        <x:v>53</x:v>
      </x:c>
      <x:c r="O53" s="144" t="str">
        <x:v>S011</x:v>
      </x:c>
      <x:c r="P53" s="136" t="str">
        <x:v>Applied Physiology, Nutrition, and Metabolism／PubMed</x:v>
      </x:c>
      <x:c r="Q53" s="136" t="str">
        <x:v>Warm-up and stretching review</x:v>
      </x:c>
      <x:c r="R53" s="151" t="str">
        <x:v>https://pubmed.ncbi.nlm.nih.gov/26642915/</x:v>
      </x:c>
      <x:c r="S53" s="148" t="str">
        <x:v>2026-07-27</x:v>
      </x:c>
    </x:row>
    <x:row r="54" ht="58" customHeight="1">
      <x:c r="A54" s="143" t="str">
        <x:v>CH-050</x:v>
      </x:c>
      <x:c r="B54" s="144" t="str">
        <x:v>機會</x:v>
      </x:c>
      <x:c r="C54" s="136" t="str">
        <x:v>跑者訓練：提升成績與突破 PB</x:v>
      </x:c>
      <x:c r="D54" s="136" t="str">
        <x:v>間歇與 VO₂max</x:v>
      </x:c>
      <x:c r="E54" s="136" t="str">
        <x:v>用高品質刺激速度上限</x:v>
      </x:c>
      <x:c r="F54" s="136" t="str">
        <x:v>一次只進階一個變項</x:v>
      </x:c>
      <x:c r="G54" s="136" t="str">
        <x:v>同時加組數、延長時間又縮短恢復，負荷會跳太大。
行動：本週只改一項，其餘維持，觀察兩天後反應。</x:v>
      </x:c>
      <x:c r="H54" s="136" t="str">
        <x:v>本週只改一項，其餘維持，觀察兩天後反應。</x:v>
      </x:c>
      <x:c r="I54" s="136" t="str">
        <x:v>間歇進階</x:v>
      </x:c>
      <x:c r="J54" s="144" t="str">
        <x:v>中</x:v>
      </x:c>
      <x:c r="K54" s="144" t="str">
        <x:v>一般</x:v>
      </x:c>
      <x:c r="L54" s="136" t="str">
        <x:v>訓練值 +1</x:v>
      </x:c>
      <x:c r="M54" s="136" t="str">
        <x:v>依個人經驗、健康狀況與環境調整；不適時停止。</x:v>
      </x:c>
      <x:c r="N54" s="154" t="n">
        <x:f>LEN(G54)</x:f>
        <x:v>47</x:v>
      </x:c>
      <x:c r="O54" s="144" t="str">
        <x:v>S003</x:v>
      </x:c>
      <x:c r="P54" s="136" t="str">
        <x:v>國際奧會（IOC）／BJSM</x:v>
      </x:c>
      <x:c r="Q54" s="136" t="str">
        <x:v>How much is too much? Part 1: load and injury risk</x:v>
      </x:c>
      <x:c r="R54" s="151" t="str">
        <x:v>https://bjsm.bmj.com/content/50/17/1030</x:v>
      </x:c>
      <x:c r="S54" s="148" t="str">
        <x:v>2026-07-27</x:v>
      </x:c>
    </x:row>
    <x:row r="55" ht="58" customHeight="1">
      <x:c r="A55" s="143" t="str">
        <x:v>CH-051</x:v>
      </x:c>
      <x:c r="B55" s="144" t="str">
        <x:v>機會</x:v>
      </x:c>
      <x:c r="C55" s="136" t="str">
        <x:v>跑者訓練：提升成績與突破 PB</x:v>
      </x:c>
      <x:c r="D55" s="136" t="str">
        <x:v>長跑與耐久</x:v>
      </x:c>
      <x:c r="E55" s="136" t="str">
        <x:v>建立後段不掉速的底盤</x:v>
      </x:c>
      <x:c r="F55" s="136" t="str">
        <x:v>長跑不是每週比賽</x:v>
      </x:c>
      <x:c r="G55" s="136" t="str">
        <x:v>長跑目的是累積耐久與練習補給；跑到力竭會拖累整週。
行動：大部分長跑維持可交談強度，結束後仍能正常活動。</x:v>
      </x:c>
      <x:c r="H55" s="136" t="str">
        <x:v>大部分長跑維持可交談強度，結束後仍能正常活動。</x:v>
      </x:c>
      <x:c r="I55" s="136" t="str">
        <x:v>週末長跑</x:v>
      </x:c>
      <x:c r="J55" s="144" t="str">
        <x:v>高</x:v>
      </x:c>
      <x:c r="K55" s="144" t="str">
        <x:v>一般</x:v>
      </x:c>
      <x:c r="L55" s="136" t="str">
        <x:v>訓練值 +2；PB 點數 +1</x:v>
      </x:c>
      <x:c r="M55" s="136" t="str">
        <x:v>依個人經驗、健康狀況與環境調整；不適時停止。</x:v>
      </x:c>
      <x:c r="N55" s="154" t="n">
        <x:f>LEN(G55)</x:f>
        <x:v>52</x:v>
      </x:c>
      <x:c r="O55" s="144" t="str">
        <x:v>S053</x:v>
      </x:c>
      <x:c r="P55" s="136" t="str">
        <x:v>Journal of Science and Medicine in Sport／PubMed</x:v>
      </x:c>
      <x:c r="Q55" s="136" t="str">
        <x:v>Training characteristics and marathon performance</x:v>
      </x:c>
      <x:c r="R55" s="151" t="str">
        <x:v>https://pubmed.ncbi.nlm.nih.gov/32421886/</x:v>
      </x:c>
      <x:c r="S55" s="148" t="str">
        <x:v>2026-07-27</x:v>
      </x:c>
    </x:row>
    <x:row r="56" ht="58" customHeight="1">
      <x:c r="A56" s="143" t="str">
        <x:v>CH-052</x:v>
      </x:c>
      <x:c r="B56" s="144" t="str">
        <x:v>機會</x:v>
      </x:c>
      <x:c r="C56" s="136" t="str">
        <x:v>跑者訓練：提升成績與突破 PB</x:v>
      </x:c>
      <x:c r="D56" s="136" t="str">
        <x:v>長跑與耐久</x:v>
      </x:c>
      <x:c r="E56" s="136" t="str">
        <x:v>建立後段不掉速的底盤</x:v>
      </x:c>
      <x:c r="F56" s="136" t="str">
        <x:v>先延長時間，再追里程</x:v>
      </x:c>
      <x:c r="G56" s="136" t="str">
        <x:v>時間能更直接反映暴露量，也避免熱天為補公里硬撐。
行動：每次只小幅延長，出現動作變形就提早結束。</x:v>
      </x:c>
      <x:c r="H56" s="136" t="str">
        <x:v>每次只小幅延長，出現動作變形就提早結束。</x:v>
      </x:c>
      <x:c r="I56" s="136" t="str">
        <x:v>長跑進階</x:v>
      </x:c>
      <x:c r="J56" s="144" t="str">
        <x:v>中</x:v>
      </x:c>
      <x:c r="K56" s="144" t="str">
        <x:v>一般</x:v>
      </x:c>
      <x:c r="L56" s="136" t="str">
        <x:v>訓練值 +1</x:v>
      </x:c>
      <x:c r="M56" s="136" t="str">
        <x:v>依個人經驗、健康狀況與環境調整；不適時停止。</x:v>
      </x:c>
      <x:c r="N56" s="154" t="n">
        <x:f>LEN(G56)</x:f>
        <x:v>48</x:v>
      </x:c>
      <x:c r="O56" s="144" t="str">
        <x:v>S052</x:v>
      </x:c>
      <x:c r="P56" s="136" t="str">
        <x:v>BJSM／PubMed</x:v>
      </x:c>
      <x:c r="Q56" s="136" t="str">
        <x:v>Identifying high-risk running sessions in 5200 runners</x:v>
      </x:c>
      <x:c r="R56" s="151" t="str">
        <x:v>https://pubmed.ncbi.nlm.nih.gov/40623829/</x:v>
      </x:c>
      <x:c r="S56" s="148" t="str">
        <x:v>2026-07-27</x:v>
      </x:c>
    </x:row>
    <x:row r="57" ht="58" customHeight="1">
      <x:c r="A57" s="143" t="str">
        <x:v>CH-053</x:v>
      </x:c>
      <x:c r="B57" s="144" t="str">
        <x:v>機會</x:v>
      </x:c>
      <x:c r="C57" s="136" t="str">
        <x:v>跑者訓練：提升成績與突破 PB</x:v>
      </x:c>
      <x:c r="D57" s="136" t="str">
        <x:v>長跑與耐久</x:v>
      </x:c>
      <x:c r="E57" s="136" t="str">
        <x:v>建立後段不掉速的底盤</x:v>
      </x:c>
      <x:c r="F57" s="136" t="str">
        <x:v>後段加速是專項工具</x:v>
      </x:c>
      <x:c r="G57" s="136" t="str">
        <x:v>快結尾能練比賽疲勞下的配速，但恢復成本較高。
行動：只在基礎穩定、無疼痛且離比賽尚有時間時偶爾使用。</x:v>
      </x:c>
      <x:c r="H57" s="136" t="str">
        <x:v>只在基礎穩定、無疼痛且離比賽尚有時間時偶爾使用。</x:v>
      </x:c>
      <x:c r="I57" s="136" t="str">
        <x:v>馬拉松專項期</x:v>
      </x:c>
      <x:c r="J57" s="144" t="str">
        <x:v>中</x:v>
      </x:c>
      <x:c r="K57" s="144" t="str">
        <x:v>留意</x:v>
      </x:c>
      <x:c r="L57" s="136" t="str">
        <x:v>完成安全調整：訓練值 +1；健康值 +1</x:v>
      </x:c>
      <x:c r="M57" s="136" t="str">
        <x:v>依個人經驗、健康狀況與環境調整；不適時停止。</x:v>
      </x:c>
      <x:c r="N57" s="154" t="n">
        <x:f>LEN(G57)</x:f>
        <x:v>50</x:v>
      </x:c>
      <x:c r="O57" s="144" t="str">
        <x:v>S053</x:v>
      </x:c>
      <x:c r="P57" s="136" t="str">
        <x:v>Journal of Science and Medicine in Sport／PubMed</x:v>
      </x:c>
      <x:c r="Q57" s="136" t="str">
        <x:v>Training characteristics and marathon performance</x:v>
      </x:c>
      <x:c r="R57" s="151" t="str">
        <x:v>https://pubmed.ncbi.nlm.nih.gov/32421886/</x:v>
      </x:c>
      <x:c r="S57" s="148" t="str">
        <x:v>2026-07-27</x:v>
      </x:c>
    </x:row>
    <x:row r="58" ht="58" customHeight="1">
      <x:c r="A58" s="143" t="str">
        <x:v>CH-054</x:v>
      </x:c>
      <x:c r="B58" s="144" t="str">
        <x:v>機會</x:v>
      </x:c>
      <x:c r="C58" s="136" t="str">
        <x:v>跑者訓練：提升成績與突破 PB</x:v>
      </x:c>
      <x:c r="D58" s="136" t="str">
        <x:v>長跑與耐久</x:v>
      </x:c>
      <x:c r="E58" s="136" t="str">
        <x:v>建立後段不掉速的底盤</x:v>
      </x:c>
      <x:c r="F58" s="136" t="str">
        <x:v>長跑不用每週都最長</x:v>
      </x:c>
      <x:c r="G58" s="136" t="str">
        <x:v>交替長、短週可降低單次負荷並維持連續性。
行動：安排回收週或每兩週一次較長跑，依經驗與目標調整。</x:v>
      </x:c>
      <x:c r="H58" s="136" t="str">
        <x:v>安排回收週或每兩週一次較長跑，依經驗與目標調整。</x:v>
      </x:c>
      <x:c r="I58" s="136" t="str">
        <x:v>長跑週期</x:v>
      </x:c>
      <x:c r="J58" s="144" t="str">
        <x:v>中</x:v>
      </x:c>
      <x:c r="K58" s="144" t="str">
        <x:v>一般</x:v>
      </x:c>
      <x:c r="L58" s="136" t="str">
        <x:v>訓練值 +1</x:v>
      </x:c>
      <x:c r="M58" s="136" t="str">
        <x:v>依個人經驗、健康狀況與環境調整；不適時停止。</x:v>
      </x:c>
      <x:c r="N58" s="154" t="n">
        <x:f>LEN(G58)</x:f>
        <x:v>48</x:v>
      </x:c>
      <x:c r="O58" s="144" t="str">
        <x:v>S003</x:v>
      </x:c>
      <x:c r="P58" s="136" t="str">
        <x:v>國際奧會（IOC）／BJSM</x:v>
      </x:c>
      <x:c r="Q58" s="136" t="str">
        <x:v>How much is too much? Part 1: load and injury risk</x:v>
      </x:c>
      <x:c r="R58" s="151" t="str">
        <x:v>https://bjsm.bmj.com/content/50/17/1030</x:v>
      </x:c>
      <x:c r="S58" s="148" t="str">
        <x:v>2026-07-27</x:v>
      </x:c>
    </x:row>
    <x:row r="59" ht="58" customHeight="1">
      <x:c r="A59" s="143" t="str">
        <x:v>CH-055</x:v>
      </x:c>
      <x:c r="B59" s="144" t="str">
        <x:v>機會</x:v>
      </x:c>
      <x:c r="C59" s="136" t="str">
        <x:v>跑者訓練：提升成績與突破 PB</x:v>
      </x:c>
      <x:c r="D59" s="136" t="str">
        <x:v>長跑與耐久</x:v>
      </x:c>
      <x:c r="E59" s="136" t="str">
        <x:v>建立後段不掉速的底盤</x:v>
      </x:c>
      <x:c r="F59" s="136" t="str">
        <x:v>用跑走法延長在腳時間</x:v>
      </x:c>
      <x:c r="G59" s="136" t="str">
        <x:v>對新手或超長距離跑者，短走路可控制強度並保留動作。
行動：從一開始就按固定比例跑走，不等到力竭才走。</x:v>
      </x:c>
      <x:c r="H59" s="136" t="str">
        <x:v>從一開始就按固定比例跑走，不等到力竭才走。</x:v>
      </x:c>
      <x:c r="I59" s="136" t="str">
        <x:v>新距離挑戰</x:v>
      </x:c>
      <x:c r="J59" s="144" t="str">
        <x:v>中</x:v>
      </x:c>
      <x:c r="K59" s="144" t="str">
        <x:v>一般</x:v>
      </x:c>
      <x:c r="L59" s="136" t="str">
        <x:v>訓練值 +1</x:v>
      </x:c>
      <x:c r="M59" s="136" t="str">
        <x:v>依個人經驗、健康狀況與環境調整；不適時停止。</x:v>
      </x:c>
      <x:c r="N59" s="154" t="n">
        <x:f>LEN(G59)</x:f>
        <x:v>50</x:v>
      </x:c>
      <x:c r="O59" s="144" t="str">
        <x:v>S061</x:v>
      </x:c>
      <x:c r="P59" s="136" t="str">
        <x:v>World Athletics</x:v>
      </x:c>
      <x:c r="Q59" s="136" t="str">
        <x:v>Nutrition for Ultramarathon Running</x:v>
      </x:c>
      <x:c r="R59" s="151" t="str">
        <x:v>https://worldathletics.org/download/download?filename=60b9a7fd-effa-4234-b4ab-daf4021aadf3.pdf&amp;urlslug=Nutrition+for+Ultramarathon+Running%3A+Trail%2C+Track%2C+and+Road</x:v>
      </x:c>
      <x:c r="S59" s="148" t="str">
        <x:v>2026-07-27</x:v>
      </x:c>
    </x:row>
    <x:row r="60" ht="58" customHeight="1">
      <x:c r="A60" s="143" t="str">
        <x:v>CH-056</x:v>
      </x:c>
      <x:c r="B60" s="144" t="str">
        <x:v>機會</x:v>
      </x:c>
      <x:c r="C60" s="136" t="str">
        <x:v>跑者訓練：提升成績與突破 PB</x:v>
      </x:c>
      <x:c r="D60" s="136" t="str">
        <x:v>長跑與耐久</x:v>
      </x:c>
      <x:c r="E60" s="136" t="str">
        <x:v>建立後段不掉速的底盤</x:v>
      </x:c>
      <x:c r="F60" s="136" t="str">
        <x:v>長跑後安排低負荷</x:v>
      </x:c>
      <x:c r="G60" s="136" t="str">
        <x:v>長跑的疲勞常延後出現，隔天速度課容易品質不佳。
行動：下一天選休息、步行或短輕鬆跑，觀察 24–48 小時。</x:v>
      </x:c>
      <x:c r="H60" s="136" t="str">
        <x:v>下一天選休息、步行或短輕鬆跑，觀察 24–48 小時。</x:v>
      </x:c>
      <x:c r="I60" s="136" t="str">
        <x:v>長跑隔天</x:v>
      </x:c>
      <x:c r="J60" s="144" t="str">
        <x:v>中</x:v>
      </x:c>
      <x:c r="K60" s="144" t="str">
        <x:v>一般</x:v>
      </x:c>
      <x:c r="L60" s="136" t="str">
        <x:v>訓練值 +1</x:v>
      </x:c>
      <x:c r="M60" s="136" t="str">
        <x:v>依個人經驗、健康狀況與環境調整；不適時停止。</x:v>
      </x:c>
      <x:c r="N60" s="154" t="n">
        <x:f>LEN(G60)</x:f>
        <x:v>54</x:v>
      </x:c>
      <x:c r="O60" s="144" t="str">
        <x:v>S003</x:v>
      </x:c>
      <x:c r="P60" s="136" t="str">
        <x:v>國際奧會（IOC）／BJSM</x:v>
      </x:c>
      <x:c r="Q60" s="136" t="str">
        <x:v>How much is too much? Part 1: load and injury risk</x:v>
      </x:c>
      <x:c r="R60" s="151" t="str">
        <x:v>https://bjsm.bmj.com/content/50/17/1030</x:v>
      </x:c>
      <x:c r="S60" s="148" t="str">
        <x:v>2026-07-27</x:v>
      </x:c>
    </x:row>
    <x:row r="61" ht="58" customHeight="1">
      <x:c r="A61" s="143" t="str">
        <x:v>CH-057</x:v>
      </x:c>
      <x:c r="B61" s="144" t="str">
        <x:v>機會</x:v>
      </x:c>
      <x:c r="C61" s="136" t="str">
        <x:v>跑者訓練：提升成績與突破 PB</x:v>
      </x:c>
      <x:c r="D61" s="136" t="str">
        <x:v>長跑與耐久</x:v>
      </x:c>
      <x:c r="E61" s="136" t="str">
        <x:v>建立後段不掉速的底盤</x:v>
      </x:c>
      <x:c r="F61" s="136" t="str">
        <x:v>用長跑演練裝備</x:v>
      </x:c>
      <x:c r="G61" s="136" t="str">
        <x:v>腰包、水壺、襪子和防磨品需在疲勞與流汗下測試。
行動：正式賽前至少做數次完整裝備彩排。</x:v>
      </x:c>
      <x:c r="H61" s="136" t="str">
        <x:v>正式賽前至少做數次完整裝備彩排。</x:v>
      </x:c>
      <x:c r="I61" s="136" t="str">
        <x:v>比賽前 4–8 週</x:v>
      </x:c>
      <x:c r="J61" s="144" t="str">
        <x:v>中</x:v>
      </x:c>
      <x:c r="K61" s="144" t="str">
        <x:v>一般</x:v>
      </x:c>
      <x:c r="L61" s="136" t="str">
        <x:v>訓練值 +1</x:v>
      </x:c>
      <x:c r="M61" s="136" t="str">
        <x:v>依個人經驗、健康狀況與環境調整；不適時停止。</x:v>
      </x:c>
      <x:c r="N61" s="154" t="n">
        <x:f>LEN(G61)</x:f>
        <x:v>43</x:v>
      </x:c>
      <x:c r="O61" s="144" t="str">
        <x:v>S039</x:v>
      </x:c>
      <x:c r="P61" s="136" t="str">
        <x:v>World Athletics</x:v>
      </x:c>
      <x:c r="Q61" s="136" t="str">
        <x:v>Competition Medical Guidelines</x:v>
      </x:c>
      <x:c r="R61" s="151" t="str">
        <x:v>https://worldathletics.org/download/download?filename=a20d107f-c682-48be-8c54-b4c3764de329.pdf&amp;urlslug=World+Athletics+Competition+Medical+Guidelines+-+October+2020+Second+Edition</x:v>
      </x:c>
      <x:c r="S61" s="148" t="str">
        <x:v>2026-07-27</x:v>
      </x:c>
    </x:row>
    <x:row r="62" ht="58" customHeight="1">
      <x:c r="A62" s="143" t="str">
        <x:v>CH-058</x:v>
      </x:c>
      <x:c r="B62" s="144" t="str">
        <x:v>機會</x:v>
      </x:c>
      <x:c r="C62" s="136" t="str">
        <x:v>跑者訓練：提升成績與突破 PB</x:v>
      </x:c>
      <x:c r="D62" s="136" t="str">
        <x:v>長跑與耐久</x:v>
      </x:c>
      <x:c r="E62" s="136" t="str">
        <x:v>建立後段不掉速的底盤</x:v>
      </x:c>
      <x:c r="F62" s="136" t="str">
        <x:v>長跑就是補給實驗室</x:v>
      </x:c>
      <x:c r="G62" s="136" t="str">
        <x:v>腸胃可透過反覆練習適應碳水、液體與攝取節奏。
行動：從可接受的小量開始，記錄種類、克數、時間與腸胃反應。</x:v>
      </x:c>
      <x:c r="H62" s="136" t="str">
        <x:v>從可接受的小量開始，記錄種類、克數、時間與腸胃反應。</x:v>
      </x:c>
      <x:c r="I62" s="136" t="str">
        <x:v>超過 60–90 分鐘</x:v>
      </x:c>
      <x:c r="J62" s="144" t="str">
        <x:v>高</x:v>
      </x:c>
      <x:c r="K62" s="144" t="str">
        <x:v>一般</x:v>
      </x:c>
      <x:c r="L62" s="136" t="str">
        <x:v>訓練值 +2；PB 點數 +1</x:v>
      </x:c>
      <x:c r="M62" s="136" t="str">
        <x:v>依個人經驗、健康狀況與環境調整；不適時停止。</x:v>
      </x:c>
      <x:c r="N62" s="154" t="n">
        <x:f>LEN(G62)</x:f>
        <x:v>52</x:v>
      </x:c>
      <x:c r="O62" s="144" t="str">
        <x:v>S013</x:v>
      </x:c>
      <x:c r="P62" s="136" t="str">
        <x:v>World Athletics</x:v>
      </x:c>
      <x:c r="Q62" s="136" t="str">
        <x:v>Contemporary Nutrition Strategies for Distance Runners</x:v>
      </x:c>
      <x:c r="R62" s="151" t="str">
        <x:v>https://worldathletics.org/download/download?filename=6babe10a-9969-407e-b0cd-f7d96df50f51.pdf&amp;urlslug=Contemporary+Nutrition+Strategies+to+Optimize+Performance+in+Distance+Runners+and+Race+Walkers</x:v>
      </x:c>
      <x:c r="S62" s="148" t="str">
        <x:v>2026-07-27</x:v>
      </x:c>
    </x:row>
    <x:row r="63" ht="58" customHeight="1">
      <x:c r="A63" s="143" t="str">
        <x:v>CH-059</x:v>
      </x:c>
      <x:c r="B63" s="144" t="str">
        <x:v>機會</x:v>
      </x:c>
      <x:c r="C63" s="136" t="str">
        <x:v>跑者訓練：提升成績與突破 PB</x:v>
      </x:c>
      <x:c r="D63" s="136" t="str">
        <x:v>長跑與耐久</x:v>
      </x:c>
      <x:c r="E63" s="136" t="str">
        <x:v>建立後段不掉速的底盤</x:v>
      </x:c>
      <x:c r="F63" s="136" t="str">
        <x:v>路線先設補水與撤退點</x:v>
      </x:c>
      <x:c r="G63" s="136" t="str">
        <x:v>環台或長距離路線若無補給、遮蔭與交通退路，風險會放大。
行動：在地圖標記商店、廁所、醫療點和可提早結束的車站。</x:v>
      </x:c>
      <x:c r="H63" s="136" t="str">
        <x:v>在地圖標記商店、廁所、醫療點和可提早結束的車站。</x:v>
      </x:c>
      <x:c r="I63" s="136" t="str">
        <x:v>路線規劃</x:v>
      </x:c>
      <x:c r="J63" s="144" t="str">
        <x:v>高</x:v>
      </x:c>
      <x:c r="K63" s="144" t="str">
        <x:v>一般</x:v>
      </x:c>
      <x:c r="L63" s="136" t="str">
        <x:v>訓練值 +2；PB 點數 +1</x:v>
      </x:c>
      <x:c r="M63" s="136" t="str">
        <x:v>依個人經驗、健康狀況與環境調整；不適時停止。</x:v>
      </x:c>
      <x:c r="N63" s="154" t="n">
        <x:f>LEN(G63)</x:f>
        <x:v>55</x:v>
      </x:c>
      <x:c r="O63" s="144" t="str">
        <x:v>S039</x:v>
      </x:c>
      <x:c r="P63" s="136" t="str">
        <x:v>World Athletics</x:v>
      </x:c>
      <x:c r="Q63" s="136" t="str">
        <x:v>Competition Medical Guidelines</x:v>
      </x:c>
      <x:c r="R63" s="151" t="str">
        <x:v>https://worldathletics.org/download/download?filename=a20d107f-c682-48be-8c54-b4c3764de329.pdf&amp;urlslug=World+Athletics+Competition+Medical+Guidelines+-+October+2020+Second+Edition</x:v>
      </x:c>
      <x:c r="S63" s="148" t="str">
        <x:v>2026-07-27</x:v>
      </x:c>
    </x:row>
    <x:row r="64" ht="58" customHeight="1">
      <x:c r="A64" s="143" t="str">
        <x:v>CH-060</x:v>
      </x:c>
      <x:c r="B64" s="144" t="str">
        <x:v>機會</x:v>
      </x:c>
      <x:c r="C64" s="136" t="str">
        <x:v>跑者訓練：提升成績與突破 PB</x:v>
      </x:c>
      <x:c r="D64" s="136" t="str">
        <x:v>長跑與耐久</x:v>
      </x:c>
      <x:c r="E64" s="136" t="str">
        <x:v>建立後段不掉速的底盤</x:v>
      </x:c>
      <x:c r="F64" s="136" t="str">
        <x:v>最後長跑不等於越長越好</x:v>
      </x:c>
      <x:c r="G64" s="136" t="str">
        <x:v>距離過長造成的疲勞，可能超過比賽前可恢復時間。
行動：依經驗與賽程安排最後高量長跑，之後進入減量。</x:v>
      </x:c>
      <x:c r="H64" s="136" t="str">
        <x:v>依經驗與賽程安排最後高量長跑，之後進入減量。</x:v>
      </x:c>
      <x:c r="I64" s="136" t="str">
        <x:v>賽前 2–4 週</x:v>
      </x:c>
      <x:c r="J64" s="144" t="str">
        <x:v>中</x:v>
      </x:c>
      <x:c r="K64" s="144" t="str">
        <x:v>一般</x:v>
      </x:c>
      <x:c r="L64" s="136" t="str">
        <x:v>訓練值 +1</x:v>
      </x:c>
      <x:c r="M64" s="136" t="str">
        <x:v>依個人經驗、健康狀況與環境調整；不適時停止。</x:v>
      </x:c>
      <x:c r="N64" s="154" t="n">
        <x:f>LEN(G64)</x:f>
        <x:v>49</x:v>
      </x:c>
      <x:c r="O64" s="144" t="str">
        <x:v>S073</x:v>
      </x:c>
      <x:c r="P64" s="136" t="str">
        <x:v>Medicine &amp; Science in Sports &amp; Exercise／PubMed</x:v>
      </x:c>
      <x:c r="Q64" s="136" t="str">
        <x:v>Longest endurance run and durability</x:v>
      </x:c>
      <x:c r="R64" s="151" t="str">
        <x:v>https://pubmed.ncbi.nlm.nih.gov/40878015/</x:v>
      </x:c>
      <x:c r="S64" s="148" t="str">
        <x:v>2026-07-27</x:v>
      </x:c>
    </x:row>
    <x:row r="65" ht="58" customHeight="1">
      <x:c r="A65" s="143" t="str">
        <x:v>CH-061</x:v>
      </x:c>
      <x:c r="B65" s="144" t="str">
        <x:v>機會</x:v>
      </x:c>
      <x:c r="C65" s="136" t="str">
        <x:v>跑者訓練：提升成績與突破 PB</x:v>
      </x:c>
      <x:c r="D65" s="136" t="str">
        <x:v>坡跑與地形</x:v>
      </x:c>
      <x:c r="E65" s="136" t="str">
        <x:v>把高低差變成能力</x:v>
      </x:c>
      <x:c r="F65" s="136" t="str">
        <x:v>坡跑用力感優先</x:v>
      </x:c>
      <x:c r="G65" s="136" t="str">
        <x:v>坡度會大幅改變配速；守平路秒數容易過度用力。
行動：上坡依 RPE 控制，回程慢跑或走路完整恢復。</x:v>
      </x:c>
      <x:c r="H65" s="136" t="str">
        <x:v>上坡依 RPE 控制，回程慢跑或走路完整恢復。</x:v>
      </x:c>
      <x:c r="I65" s="136" t="str">
        <x:v>坡跑間歇</x:v>
      </x:c>
      <x:c r="J65" s="144" t="str">
        <x:v>中</x:v>
      </x:c>
      <x:c r="K65" s="144" t="str">
        <x:v>一般</x:v>
      </x:c>
      <x:c r="L65" s="136" t="str">
        <x:v>訓練值 +1</x:v>
      </x:c>
      <x:c r="M65" s="136" t="str">
        <x:v>依個人經驗、健康狀況與環境調整；不適時停止。</x:v>
      </x:c>
      <x:c r="N65" s="154" t="n">
        <x:f>LEN(G65)</x:f>
        <x:v>49</x:v>
      </x:c>
      <x:c r="O65" s="144" t="str">
        <x:v>S076</x:v>
      </x:c>
      <x:c r="P65" s="136" t="str">
        <x:v>Journal of Strength and Conditioning Research／PubMed</x:v>
      </x:c>
      <x:c r="Q65" s="136" t="str">
        <x:v>Uphill interval running</x:v>
      </x:c>
      <x:c r="R65" s="151" t="str">
        <x:v>https://pubmed.ncbi.nlm.nih.gov/22996027/</x:v>
      </x:c>
      <x:c r="S65" s="148" t="str">
        <x:v>2026-07-27</x:v>
      </x:c>
    </x:row>
    <x:row r="66" ht="58" customHeight="1">
      <x:c r="A66" s="143" t="str">
        <x:v>CH-062</x:v>
      </x:c>
      <x:c r="B66" s="144" t="str">
        <x:v>機會</x:v>
      </x:c>
      <x:c r="C66" s="136" t="str">
        <x:v>跑者訓練：提升成績與突破 PB</x:v>
      </x:c>
      <x:c r="D66" s="136" t="str">
        <x:v>坡跑與地形</x:v>
      </x:c>
      <x:c r="E66" s="136" t="str">
        <x:v>把高低差變成能力</x:v>
      </x:c>
      <x:c r="F66" s="136" t="str">
        <x:v>下坡需要漸進適應</x:v>
      </x:c>
      <x:c r="G66" s="136" t="str">
        <x:v>下坡離心負荷高，初次大量下坡常造成數日痠痛。
行動：先用短緩坡與小總量，逐週增加，不在賽前臨時補課。</x:v>
      </x:c>
      <x:c r="H66" s="136" t="str">
        <x:v>先用短緩坡與小總量，逐週增加，不在賽前臨時補課。</x:v>
      </x:c>
      <x:c r="I66" s="136" t="str">
        <x:v>丘陵賽準備</x:v>
      </x:c>
      <x:c r="J66" s="144" t="str">
        <x:v>高</x:v>
      </x:c>
      <x:c r="K66" s="144" t="str">
        <x:v>留意</x:v>
      </x:c>
      <x:c r="L66" s="136" t="str">
        <x:v>完成安全調整：訓練值 +1；健康值 +1</x:v>
      </x:c>
      <x:c r="M66" s="136" t="str">
        <x:v>依個人經驗、健康狀況與環境調整；不適時停止。</x:v>
      </x:c>
      <x:c r="N66" s="154" t="n">
        <x:f>LEN(G66)</x:f>
        <x:v>50</x:v>
      </x:c>
      <x:c r="O66" s="144" t="str">
        <x:v>S003</x:v>
      </x:c>
      <x:c r="P66" s="136" t="str">
        <x:v>國際奧會（IOC）／BJSM</x:v>
      </x:c>
      <x:c r="Q66" s="136" t="str">
        <x:v>How much is too much? Part 1: load and injury risk</x:v>
      </x:c>
      <x:c r="R66" s="151" t="str">
        <x:v>https://bjsm.bmj.com/content/50/17/1030</x:v>
      </x:c>
      <x:c r="S66" s="148" t="str">
        <x:v>2026-07-27</x:v>
      </x:c>
    </x:row>
    <x:row r="67" ht="58" customHeight="1">
      <x:c r="A67" s="143" t="str">
        <x:v>CH-063</x:v>
      </x:c>
      <x:c r="B67" s="144" t="str">
        <x:v>機會</x:v>
      </x:c>
      <x:c r="C67" s="136" t="str">
        <x:v>跑者訓練：提升成績與突破 PB</x:v>
      </x:c>
      <x:c r="D67" s="136" t="str">
        <x:v>坡跑與地形</x:v>
      </x:c>
      <x:c r="E67" s="136" t="str">
        <x:v>把高低差變成能力</x:v>
      </x:c>
      <x:c r="F67" s="136" t="str">
        <x:v>越野課要像目標賽</x:v>
      </x:c>
      <x:c r="G67" s="136" t="str">
        <x:v>路面技術、爬升與下坡會改變肌肉需求。
行動：在安全條件下逐步加入相似地形與裝備，而非只看公里數。</x:v>
      </x:c>
      <x:c r="H67" s="136" t="str">
        <x:v>在安全條件下逐步加入相似地形與裝備，而非只看公里數。</x:v>
      </x:c>
      <x:c r="I67" s="136" t="str">
        <x:v>越野或山路賽前</x:v>
      </x:c>
      <x:c r="J67" s="144" t="str">
        <x:v>中</x:v>
      </x:c>
      <x:c r="K67" s="144" t="str">
        <x:v>一般</x:v>
      </x:c>
      <x:c r="L67" s="136" t="str">
        <x:v>訓練值 +1</x:v>
      </x:c>
      <x:c r="M67" s="136" t="str">
        <x:v>依個人經驗、健康狀況與環境調整；不適時停止。</x:v>
      </x:c>
      <x:c r="N67" s="154" t="n">
        <x:f>LEN(G67)</x:f>
        <x:v>48</x:v>
      </x:c>
      <x:c r="O67" s="144" t="str">
        <x:v>S039</x:v>
      </x:c>
      <x:c r="P67" s="136" t="str">
        <x:v>World Athletics</x:v>
      </x:c>
      <x:c r="Q67" s="136" t="str">
        <x:v>Competition Medical Guidelines</x:v>
      </x:c>
      <x:c r="R67" s="151" t="str">
        <x:v>https://worldathletics.org/download/download?filename=a20d107f-c682-48be-8c54-b4c3764de329.pdf&amp;urlslug=World+Athletics+Competition+Medical+Guidelines+-+October+2020+Second+Edition</x:v>
      </x:c>
      <x:c r="S67" s="148" t="str">
        <x:v>2026-07-27</x:v>
      </x:c>
    </x:row>
    <x:row r="68" ht="58" customHeight="1">
      <x:c r="A68" s="143" t="str">
        <x:v>CH-064</x:v>
      </x:c>
      <x:c r="B68" s="144" t="str">
        <x:v>機會</x:v>
      </x:c>
      <x:c r="C68" s="136" t="str">
        <x:v>跑者訓練：提升成績與突破 PB</x:v>
      </x:c>
      <x:c r="D68" s="136" t="str">
        <x:v>坡跑與地形</x:v>
      </x:c>
      <x:c r="E68" s="136" t="str">
        <x:v>把高低差變成能力</x:v>
      </x:c>
      <x:c r="F68" s="136" t="str">
        <x:v>短坡衝刺要完整恢復</x:v>
      </x:c>
      <x:c r="G68" s="136" t="str">
        <x:v>8–12 秒短坡可練神經與力量，但品質取決於新鮮度。
行動：每次全程放鬆、走回休息，感到拉扯或速度下降就停止。</x:v>
      </x:c>
      <x:c r="H68" s="136" t="str">
        <x:v>每次全程放鬆、走回休息，感到拉扯或速度下降就停止。</x:v>
      </x:c>
      <x:c r="I68" s="136" t="str">
        <x:v>輕鬆跑後</x:v>
      </x:c>
      <x:c r="J68" s="144" t="str">
        <x:v>中</x:v>
      </x:c>
      <x:c r="K68" s="144" t="str">
        <x:v>留意</x:v>
      </x:c>
      <x:c r="L68" s="136" t="str">
        <x:v>完成安全調整：訓練值 +1；健康值 +1</x:v>
      </x:c>
      <x:c r="M68" s="136" t="str">
        <x:v>依個人經驗、健康狀況與環境調整；不適時停止。</x:v>
      </x:c>
      <x:c r="N68" s="154" t="n">
        <x:f>LEN(G68)</x:f>
        <x:v>55</x:v>
      </x:c>
      <x:c r="O68" s="144" t="str">
        <x:v>S076</x:v>
      </x:c>
      <x:c r="P68" s="136" t="str">
        <x:v>Journal of Strength and Conditioning Research／PubMed</x:v>
      </x:c>
      <x:c r="Q68" s="136" t="str">
        <x:v>Uphill interval running</x:v>
      </x:c>
      <x:c r="R68" s="151" t="str">
        <x:v>https://pubmed.ncbi.nlm.nih.gov/22996027/</x:v>
      </x:c>
      <x:c r="S68" s="148" t="str">
        <x:v>2026-07-27</x:v>
      </x:c>
    </x:row>
    <x:row r="69" ht="58" customHeight="1">
      <x:c r="A69" s="143" t="str">
        <x:v>CH-065</x:v>
      </x:c>
      <x:c r="B69" s="144" t="str">
        <x:v>機會</x:v>
      </x:c>
      <x:c r="C69" s="136" t="str">
        <x:v>跑者訓練：提升成績與突破 PB</x:v>
      </x:c>
      <x:c r="D69" s="136" t="str">
        <x:v>坡跑與地形</x:v>
      </x:c>
      <x:c r="E69" s="136" t="str">
        <x:v>把高低差變成能力</x:v>
      </x:c>
      <x:c r="F69" s="136" t="str">
        <x:v>上坡縮步保持高髖</x:v>
      </x:c>
      <x:c r="G69" s="136" t="str">
        <x:v>過度跨步會增加煞車與小腿負擔。
行動：身體從腳踝微前傾，縮短步幅、手臂自然加力。</x:v>
      </x:c>
      <x:c r="H69" s="136" t="str">
        <x:v>身體從腳踝微前傾，縮短步幅、手臂自然加力。</x:v>
      </x:c>
      <x:c r="I69" s="136" t="str">
        <x:v>上坡跑</x:v>
      </x:c>
      <x:c r="J69" s="144" t="str">
        <x:v>中</x:v>
      </x:c>
      <x:c r="K69" s="144" t="str">
        <x:v>一般</x:v>
      </x:c>
      <x:c r="L69" s="136" t="str">
        <x:v>訓練值 +1</x:v>
      </x:c>
      <x:c r="M69" s="136" t="str">
        <x:v>依個人經驗、健康狀況與環境調整；不適時停止。</x:v>
      </x:c>
      <x:c r="N69" s="154" t="n">
        <x:f>LEN(G69)</x:f>
        <x:v>40</x:v>
      </x:c>
      <x:c r="O69" s="144" t="str">
        <x:v>S021</x:v>
      </x:c>
      <x:c r="P69" s="136" t="str">
        <x:v>Sports Medicine／PubMed</x:v>
      </x:c>
      <x:c r="Q69" s="136" t="str">
        <x:v>Gait retraining in distance runners</x:v>
      </x:c>
      <x:c r="R69" s="151" t="str">
        <x:v>https://pubmed.ncbi.nlm.nih.gov/29065279/</x:v>
      </x:c>
      <x:c r="S69" s="148" t="str">
        <x:v>2026-07-27</x:v>
      </x:c>
    </x:row>
    <x:row r="70" ht="58" customHeight="1">
      <x:c r="A70" s="143" t="str">
        <x:v>CH-066</x:v>
      </x:c>
      <x:c r="B70" s="144" t="str">
        <x:v>機會</x:v>
      </x:c>
      <x:c r="C70" s="136" t="str">
        <x:v>跑者訓練：提升成績與突破 PB</x:v>
      </x:c>
      <x:c r="D70" s="136" t="str">
        <x:v>坡跑與地形</x:v>
      </x:c>
      <x:c r="E70" s="136" t="str">
        <x:v>把高低差變成能力</x:v>
      </x:c>
      <x:c r="F70" s="136" t="str">
        <x:v>下坡快腳步別坐後面</x:v>
      </x:c>
      <x:c r="G70" s="136" t="str">
        <x:v>重心過度後仰會增加煞車與大腿前側負荷。
行動：視線看前方路線、步幅略短、落地靠近身體下方。</x:v>
      </x:c>
      <x:c r="H70" s="136" t="str">
        <x:v>視線看前方路線、步幅略短、落地靠近身體下方。</x:v>
      </x:c>
      <x:c r="I70" s="136" t="str">
        <x:v>下坡跑</x:v>
      </x:c>
      <x:c r="J70" s="144" t="str">
        <x:v>中</x:v>
      </x:c>
      <x:c r="K70" s="144" t="str">
        <x:v>一般</x:v>
      </x:c>
      <x:c r="L70" s="136" t="str">
        <x:v>訓練值 +1</x:v>
      </x:c>
      <x:c r="M70" s="136" t="str">
        <x:v>依個人經驗、健康狀況與環境調整；不適時停止。</x:v>
      </x:c>
      <x:c r="N70" s="154" t="n">
        <x:f>LEN(G70)</x:f>
        <x:v>45</x:v>
      </x:c>
      <x:c r="O70" s="144" t="str">
        <x:v>S021</x:v>
      </x:c>
      <x:c r="P70" s="136" t="str">
        <x:v>Sports Medicine／PubMed</x:v>
      </x:c>
      <x:c r="Q70" s="136" t="str">
        <x:v>Gait retraining in distance runners</x:v>
      </x:c>
      <x:c r="R70" s="151" t="str">
        <x:v>https://pubmed.ncbi.nlm.nih.gov/29065279/</x:v>
      </x:c>
      <x:c r="S70" s="148" t="str">
        <x:v>2026-07-27</x:v>
      </x:c>
    </x:row>
    <x:row r="71" ht="58" customHeight="1">
      <x:c r="A71" s="143" t="str">
        <x:v>CH-067</x:v>
      </x:c>
      <x:c r="B71" s="144" t="str">
        <x:v>機會</x:v>
      </x:c>
      <x:c r="C71" s="136" t="str">
        <x:v>跑者訓練：提升成績與突破 PB</x:v>
      </x:c>
      <x:c r="D71" s="136" t="str">
        <x:v>坡跑與地形</x:v>
      </x:c>
      <x:c r="E71" s="136" t="str">
        <x:v>把高低差變成能力</x:v>
      </x:c>
      <x:c r="F71" s="136" t="str">
        <x:v>技術路段先求穩</x:v>
      </x:c>
      <x:c r="G71" s="136" t="str">
        <x:v>石階、濕滑與碎石會讓每公里負荷差異很大。
行動：放慢、保持視線掃描，必要時改走，不為均速冒險。</x:v>
      </x:c>
      <x:c r="H71" s="136" t="str">
        <x:v>放慢、保持視線掃描，必要時改走，不為均速冒險。</x:v>
      </x:c>
      <x:c r="I71" s="136" t="str">
        <x:v>越野訓練</x:v>
      </x:c>
      <x:c r="J71" s="144" t="str">
        <x:v>高</x:v>
      </x:c>
      <x:c r="K71" s="144" t="str">
        <x:v>留意</x:v>
      </x:c>
      <x:c r="L71" s="136" t="str">
        <x:v>完成安全調整：訓練值 +1；健康值 +1</x:v>
      </x:c>
      <x:c r="M71" s="136" t="str">
        <x:v>依個人經驗、健康狀況與環境調整；不適時停止。</x:v>
      </x:c>
      <x:c r="N71" s="154" t="n">
        <x:f>LEN(G71)</x:f>
        <x:v>47</x:v>
      </x:c>
      <x:c r="O71" s="144" t="str">
        <x:v>S039</x:v>
      </x:c>
      <x:c r="P71" s="136" t="str">
        <x:v>World Athletics</x:v>
      </x:c>
      <x:c r="Q71" s="136" t="str">
        <x:v>Competition Medical Guidelines</x:v>
      </x:c>
      <x:c r="R71" s="151" t="str">
        <x:v>https://worldathletics.org/download/download?filename=a20d107f-c682-48be-8c54-b4c3764de329.pdf&amp;urlslug=World+Athletics+Competition+Medical+Guidelines+-+October+2020+Second+Edition</x:v>
      </x:c>
      <x:c r="S71" s="148" t="str">
        <x:v>2026-07-27</x:v>
      </x:c>
    </x:row>
    <x:row r="72" ht="58" customHeight="1">
      <x:c r="A72" s="143" t="str">
        <x:v>CH-068</x:v>
      </x:c>
      <x:c r="B72" s="144" t="str">
        <x:v>機會</x:v>
      </x:c>
      <x:c r="C72" s="136" t="str">
        <x:v>跑者訓練：提升成績與突破 PB</x:v>
      </x:c>
      <x:c r="D72" s="136" t="str">
        <x:v>坡跑與地形</x:v>
      </x:c>
      <x:c r="E72" s="136" t="str">
        <x:v>把高低差變成能力</x:v>
      </x:c>
      <x:c r="F72" s="136" t="str">
        <x:v>樓梯不能完全代替坡跑</x:v>
      </x:c>
      <x:c r="G72" s="136" t="str">
        <x:v>樓梯步幅固定且下樓衝擊不同，可當力量補充但非完整專項。
行動：以短組數、扶手附近、安全速度進行，另保留實際坡地練習。</x:v>
      </x:c>
      <x:c r="H72" s="136" t="str">
        <x:v>以短組數、扶手附近、安全速度進行，另保留實際坡地練習。</x:v>
      </x:c>
      <x:c r="I72" s="136" t="str">
        <x:v>無坡地時</x:v>
      </x:c>
      <x:c r="J72" s="144" t="str">
        <x:v>中</x:v>
      </x:c>
      <x:c r="K72" s="144" t="str">
        <x:v>一般</x:v>
      </x:c>
      <x:c r="L72" s="136" t="str">
        <x:v>訓練值 +1</x:v>
      </x:c>
      <x:c r="M72" s="136" t="str">
        <x:v>依個人經驗、健康狀況與環境調整；不適時停止。</x:v>
      </x:c>
      <x:c r="N72" s="154" t="n">
        <x:f>LEN(G72)</x:f>
        <x:v>58</x:v>
      </x:c>
      <x:c r="O72" s="144" t="str">
        <x:v>S076</x:v>
      </x:c>
      <x:c r="P72" s="136" t="str">
        <x:v>Journal of Strength and Conditioning Research／PubMed</x:v>
      </x:c>
      <x:c r="Q72" s="136" t="str">
        <x:v>Uphill interval running</x:v>
      </x:c>
      <x:c r="R72" s="151" t="str">
        <x:v>https://pubmed.ncbi.nlm.nih.gov/22996027/</x:v>
      </x:c>
      <x:c r="S72" s="148" t="str">
        <x:v>2026-07-27</x:v>
      </x:c>
    </x:row>
    <x:row r="73" ht="58" customHeight="1">
      <x:c r="A73" s="143" t="str">
        <x:v>CH-069</x:v>
      </x:c>
      <x:c r="B73" s="144" t="str">
        <x:v>機會</x:v>
      </x:c>
      <x:c r="C73" s="136" t="str">
        <x:v>跑者訓練：提升成績與突破 PB</x:v>
      </x:c>
      <x:c r="D73" s="136" t="str">
        <x:v>坡跑與地形</x:v>
      </x:c>
      <x:c r="E73" s="136" t="str">
        <x:v>把高低差變成能力</x:v>
      </x:c>
      <x:c r="F73" s="136" t="str">
        <x:v>把比賽爬升拆成段落</x:v>
      </x:c>
      <x:c r="G73" s="136" t="str">
        <x:v>只看總爬升會忽略坡長、坡度與出現位置。
行動：分析最長坡與最後一段爬升，安排相似時間與疲勞下的練習。</x:v>
      </x:c>
      <x:c r="H73" s="136" t="str">
        <x:v>分析最長坡與最後一段爬升，安排相似時間與疲勞下的練習。</x:v>
      </x:c>
      <x:c r="I73" s="136" t="str">
        <x:v>賽道分析</x:v>
      </x:c>
      <x:c r="J73" s="144" t="str">
        <x:v>中</x:v>
      </x:c>
      <x:c r="K73" s="144" t="str">
        <x:v>一般</x:v>
      </x:c>
      <x:c r="L73" s="136" t="str">
        <x:v>訓練值 +1</x:v>
      </x:c>
      <x:c r="M73" s="136" t="str">
        <x:v>依個人經驗、健康狀況與環境調整；不適時停止。</x:v>
      </x:c>
      <x:c r="N73" s="154" t="n">
        <x:f>LEN(G73)</x:f>
        <x:v>50</x:v>
      </x:c>
      <x:c r="O73" s="144" t="str">
        <x:v>S039</x:v>
      </x:c>
      <x:c r="P73" s="136" t="str">
        <x:v>World Athletics</x:v>
      </x:c>
      <x:c r="Q73" s="136" t="str">
        <x:v>Competition Medical Guidelines</x:v>
      </x:c>
      <x:c r="R73" s="151" t="str">
        <x:v>https://worldathletics.org/download/download?filename=a20d107f-c682-48be-8c54-b4c3764de329.pdf&amp;urlslug=World+Athletics+Competition+Medical+Guidelines+-+October+2020+Second+Edition</x:v>
      </x:c>
      <x:c r="S73" s="148" t="str">
        <x:v>2026-07-27</x:v>
      </x:c>
    </x:row>
    <x:row r="74" ht="58" customHeight="1">
      <x:c r="A74" s="143" t="str">
        <x:v>CH-070</x:v>
      </x:c>
      <x:c r="B74" s="144" t="str">
        <x:v>機會</x:v>
      </x:c>
      <x:c r="C74" s="136" t="str">
        <x:v>跑者訓練：提升成績與突破 PB</x:v>
      </x:c>
      <x:c r="D74" s="136" t="str">
        <x:v>坡跑與地形</x:v>
      </x:c>
      <x:c r="E74" s="136" t="str">
        <x:v>把高低差變成能力</x:v>
      </x:c>
      <x:c r="F74" s="136" t="str">
        <x:v>逆風當成無形坡</x:v>
      </x:c>
      <x:c r="G74" s="136" t="str">
        <x:v>逆風會提高能耗，追配速可能過早耗盡。
行動：以體感守強度，縮短步幅、利用合法跟跑並避免突然切線。</x:v>
      </x:c>
      <x:c r="H74" s="136" t="str">
        <x:v>以體感守強度，縮短步幅、利用合法跟跑並避免突然切線。</x:v>
      </x:c>
      <x:c r="I74" s="136" t="str">
        <x:v>濱海與橋面路線</x:v>
      </x:c>
      <x:c r="J74" s="144" t="str">
        <x:v>中</x:v>
      </x:c>
      <x:c r="K74" s="144" t="str">
        <x:v>一般</x:v>
      </x:c>
      <x:c r="L74" s="136" t="str">
        <x:v>訓練值 +1</x:v>
      </x:c>
      <x:c r="M74" s="136" t="str">
        <x:v>依個人經驗、健康狀況與環境調整；不適時停止。</x:v>
      </x:c>
      <x:c r="N74" s="154" t="n">
        <x:f>LEN(G74)</x:f>
        <x:v>48</x:v>
      </x:c>
      <x:c r="O74" s="144" t="str">
        <x:v>S018</x:v>
      </x:c>
      <x:c r="P74" s="136" t="str">
        <x:v>國際奧會（IOC）／BJSM</x:v>
      </x:c>
      <x:c r="Q74" s="136" t="str">
        <x:v>Consensus on thermoregulatory and altitude challenges</x:v>
      </x:c>
      <x:c r="R74" s="151" t="str">
        <x:v>https://bjsm.bmj.com/content/57/1/8</x:v>
      </x:c>
      <x:c r="S74" s="148" t="str">
        <x:v>2026-07-27</x:v>
      </x:c>
    </x:row>
    <x:row r="75" ht="58" customHeight="1">
      <x:c r="A75" s="143" t="str">
        <x:v>CH-071</x:v>
      </x:c>
      <x:c r="B75" s="144" t="str">
        <x:v>機會</x:v>
      </x:c>
      <x:c r="C75" s="136" t="str">
        <x:v>跑者訓練：提升成績與突破 PB</x:v>
      </x:c>
      <x:c r="D75" s="136" t="str">
        <x:v>跑姿與效率</x:v>
      </x:c>
      <x:c r="E75" s="136" t="str">
        <x:v>用小改變降低浪費</x:v>
      </x:c>
      <x:c r="F75" s="136" t="str">
        <x:v>步頻沒有全民標準答案</x:v>
      </x:c>
      <x:c r="G75" s="136" t="str">
        <x:v>理想步頻會隨身高、配速、坡度與經驗改變。
行動：先量自己的自然步頻；若要調整，只做小幅、短時間測試。</x:v>
      </x:c>
      <x:c r="H75" s="136" t="str">
        <x:v>先量自己的自然步頻；若要調整，只做小幅、短時間測試。</x:v>
      </x:c>
      <x:c r="I75" s="136" t="str">
        <x:v>跑姿調整</x:v>
      </x:c>
      <x:c r="J75" s="144" t="str">
        <x:v>中</x:v>
      </x:c>
      <x:c r="K75" s="144" t="str">
        <x:v>一般</x:v>
      </x:c>
      <x:c r="L75" s="136" t="str">
        <x:v>訓練值 +1</x:v>
      </x:c>
      <x:c r="M75" s="136" t="str">
        <x:v>依個人經驗、健康狀況與環境調整；不適時停止。</x:v>
      </x:c>
      <x:c r="N75" s="154" t="n">
        <x:f>LEN(G75)</x:f>
        <x:v>50</x:v>
      </x:c>
      <x:c r="O75" s="144" t="str">
        <x:v>S021</x:v>
      </x:c>
      <x:c r="P75" s="136" t="str">
        <x:v>Sports Medicine／PubMed</x:v>
      </x:c>
      <x:c r="Q75" s="136" t="str">
        <x:v>Gait retraining in distance runners</x:v>
      </x:c>
      <x:c r="R75" s="151" t="str">
        <x:v>https://pubmed.ncbi.nlm.nih.gov/29065279/</x:v>
      </x:c>
      <x:c r="S75" s="148" t="str">
        <x:v>2026-07-27</x:v>
      </x:c>
    </x:row>
    <x:row r="76" ht="58" customHeight="1">
      <x:c r="A76" s="143" t="str">
        <x:v>CH-072</x:v>
      </x:c>
      <x:c r="B76" s="144" t="str">
        <x:v>機會</x:v>
      </x:c>
      <x:c r="C76" s="136" t="str">
        <x:v>跑者訓練：提升成績與突破 PB</x:v>
      </x:c>
      <x:c r="D76" s="136" t="str">
        <x:v>跑姿與效率</x:v>
      </x:c>
      <x:c r="E76" s="136" t="str">
        <x:v>用小改變降低浪費</x:v>
      </x:c>
      <x:c r="F76" s="136" t="str">
        <x:v>不要強迫改成前掌落地</x:v>
      </x:c>
      <x:c r="G76" s="136" t="str">
        <x:v>落地方式改變會把負荷轉移到小腿與足踝，不一定更省力。
行動：若無問題，優先處理過度跨步、力量與負荷，而非追流行姿勢。</x:v>
      </x:c>
      <x:c r="H76" s="136" t="str">
        <x:v>若無問題，優先處理過度跨步、力量與負荷，而非追流行姿勢。</x:v>
      </x:c>
      <x:c r="I76" s="136" t="str">
        <x:v>一般跑者</x:v>
      </x:c>
      <x:c r="J76" s="144" t="str">
        <x:v>中</x:v>
      </x:c>
      <x:c r="K76" s="144" t="str">
        <x:v>一般</x:v>
      </x:c>
      <x:c r="L76" s="136" t="str">
        <x:v>訓練值 +1</x:v>
      </x:c>
      <x:c r="M76" s="136" t="str">
        <x:v>依個人經驗、健康狀況與環境調整；不適時停止。</x:v>
      </x:c>
      <x:c r="N76" s="154" t="n">
        <x:f>LEN(G76)</x:f>
        <x:v>58</x:v>
      </x:c>
      <x:c r="O76" s="144" t="str">
        <x:v>S021</x:v>
      </x:c>
      <x:c r="P76" s="136" t="str">
        <x:v>Sports Medicine／PubMed</x:v>
      </x:c>
      <x:c r="Q76" s="136" t="str">
        <x:v>Gait retraining in distance runners</x:v>
      </x:c>
      <x:c r="R76" s="151" t="str">
        <x:v>https://pubmed.ncbi.nlm.nih.gov/29065279/</x:v>
      </x:c>
      <x:c r="S76" s="148" t="str">
        <x:v>2026-07-27</x:v>
      </x:c>
    </x:row>
    <x:row r="77" ht="58" customHeight="1">
      <x:c r="A77" s="143" t="str">
        <x:v>CH-073</x:v>
      </x:c>
      <x:c r="B77" s="144" t="str">
        <x:v>機會</x:v>
      </x:c>
      <x:c r="C77" s="136" t="str">
        <x:v>跑者訓練：提升成績與突破 PB</x:v>
      </x:c>
      <x:c r="D77" s="136" t="str">
        <x:v>跑姿與效率</x:v>
      </x:c>
      <x:c r="E77" s="136" t="str">
        <x:v>用小改變降低浪費</x:v>
      </x:c>
      <x:c r="F77" s="136" t="str">
        <x:v>安靜落地是簡單提示</x:v>
      </x:c>
      <x:c r="G77" s="136" t="str">
        <x:v>較柔和的落地聲可提醒你避免過度拍地，但不等於越輕越好。
行動：在短段輕鬆跑中練習，不要為安靜而刻意踮腳。</x:v>
      </x:c>
      <x:c r="H77" s="136" t="str">
        <x:v>在短段輕鬆跑中練習，不要為安靜而刻意踮腳。</x:v>
      </x:c>
      <x:c r="I77" s="136" t="str">
        <x:v>技術練習</x:v>
      </x:c>
      <x:c r="J77" s="144" t="str">
        <x:v>中</x:v>
      </x:c>
      <x:c r="K77" s="144" t="str">
        <x:v>一般</x:v>
      </x:c>
      <x:c r="L77" s="136" t="str">
        <x:v>訓練值 +1</x:v>
      </x:c>
      <x:c r="M77" s="136" t="str">
        <x:v>依個人經驗、健康狀況與環境調整；不適時停止。</x:v>
      </x:c>
      <x:c r="N77" s="154" t="n">
        <x:f>LEN(G77)</x:f>
        <x:v>52</x:v>
      </x:c>
      <x:c r="O77" s="144" t="str">
        <x:v>S021</x:v>
      </x:c>
      <x:c r="P77" s="136" t="str">
        <x:v>Sports Medicine／PubMed</x:v>
      </x:c>
      <x:c r="Q77" s="136" t="str">
        <x:v>Gait retraining in distance runners</x:v>
      </x:c>
      <x:c r="R77" s="151" t="str">
        <x:v>https://pubmed.ncbi.nlm.nih.gov/29065279/</x:v>
      </x:c>
      <x:c r="S77" s="148" t="str">
        <x:v>2026-07-27</x:v>
      </x:c>
    </x:row>
    <x:row r="78" ht="58" customHeight="1">
      <x:c r="A78" s="143" t="str">
        <x:v>CH-074</x:v>
      </x:c>
      <x:c r="B78" s="144" t="str">
        <x:v>機會</x:v>
      </x:c>
      <x:c r="C78" s="136" t="str">
        <x:v>跑者訓練：提升成績與突破 PB</x:v>
      </x:c>
      <x:c r="D78" s="136" t="str">
        <x:v>跑姿與效率</x:v>
      </x:c>
      <x:c r="E78" s="136" t="str">
        <x:v>用小改變降低浪費</x:v>
      </x:c>
      <x:c r="F78" s="136" t="str">
        <x:v>身體拉高但別僵硬</x:v>
      </x:c>
      <x:c r="G78" s="136" t="str">
        <x:v>穩定軀幹有助於力量傳遞，聳肩與憋氣則增加浪費。
行動：想像頭頂向上、視線前方，肩頸放鬆並自然呼吸。</x:v>
      </x:c>
      <x:c r="H78" s="136" t="str">
        <x:v>想像頭頂向上、視線前方，肩頸放鬆並自然呼吸。</x:v>
      </x:c>
      <x:c r="I78" s="136" t="str">
        <x:v>全程跑步</x:v>
      </x:c>
      <x:c r="J78" s="144" t="str">
        <x:v>中</x:v>
      </x:c>
      <x:c r="K78" s="144" t="str">
        <x:v>一般</x:v>
      </x:c>
      <x:c r="L78" s="136" t="str">
        <x:v>訓練值 +1</x:v>
      </x:c>
      <x:c r="M78" s="136" t="str">
        <x:v>依個人經驗、健康狀況與環境調整；不適時停止。</x:v>
      </x:c>
      <x:c r="N78" s="154" t="n">
        <x:f>LEN(G78)</x:f>
        <x:v>49</x:v>
      </x:c>
      <x:c r="O78" s="144" t="str">
        <x:v>S021</x:v>
      </x:c>
      <x:c r="P78" s="136" t="str">
        <x:v>Sports Medicine／PubMed</x:v>
      </x:c>
      <x:c r="Q78" s="136" t="str">
        <x:v>Gait retraining in distance runners</x:v>
      </x:c>
      <x:c r="R78" s="151" t="str">
        <x:v>https://pubmed.ncbi.nlm.nih.gov/29065279/</x:v>
      </x:c>
      <x:c r="S78" s="148" t="str">
        <x:v>2026-07-27</x:v>
      </x:c>
    </x:row>
    <x:row r="79" ht="58" customHeight="1">
      <x:c r="A79" s="143" t="str">
        <x:v>CH-075</x:v>
      </x:c>
      <x:c r="B79" s="144" t="str">
        <x:v>機會</x:v>
      </x:c>
      <x:c r="C79" s="136" t="str">
        <x:v>跑者訓練：提升成績與突破 PB</x:v>
      </x:c>
      <x:c r="D79" s="136" t="str">
        <x:v>跑姿與效率</x:v>
      </x:c>
      <x:c r="E79" s="136" t="str">
        <x:v>用小改變降低浪費</x:v>
      </x:c>
      <x:c r="F79" s="136" t="str">
        <x:v>手臂向後帶，不橫跨胸前</x:v>
      </x:c>
      <x:c r="G79" s="136" t="str">
        <x:v>過度左右擺動會增加旋轉，尤其疲勞時更明顯。
行動：手肘自然彎曲，手掌放鬆，前後擺動貼近身體。</x:v>
      </x:c>
      <x:c r="H79" s="136" t="str">
        <x:v>手肘自然彎曲，手掌放鬆，前後擺動貼近身體。</x:v>
      </x:c>
      <x:c r="I79" s="136" t="str">
        <x:v>跑姿檢查</x:v>
      </x:c>
      <x:c r="J79" s="144" t="str">
        <x:v>中</x:v>
      </x:c>
      <x:c r="K79" s="144" t="str">
        <x:v>一般</x:v>
      </x:c>
      <x:c r="L79" s="136" t="str">
        <x:v>訓練值 +1</x:v>
      </x:c>
      <x:c r="M79" s="136" t="str">
        <x:v>依個人經驗、健康狀況與環境調整；不適時停止。</x:v>
      </x:c>
      <x:c r="N79" s="154" t="n">
        <x:f>LEN(G79)</x:f>
        <x:v>46</x:v>
      </x:c>
      <x:c r="O79" s="144" t="str">
        <x:v>S021</x:v>
      </x:c>
      <x:c r="P79" s="136" t="str">
        <x:v>Sports Medicine／PubMed</x:v>
      </x:c>
      <x:c r="Q79" s="136" t="str">
        <x:v>Gait retraining in distance runners</x:v>
      </x:c>
      <x:c r="R79" s="151" t="str">
        <x:v>https://pubmed.ncbi.nlm.nih.gov/29065279/</x:v>
      </x:c>
      <x:c r="S79" s="148" t="str">
        <x:v>2026-07-27</x:v>
      </x:c>
    </x:row>
    <x:row r="80" ht="58" customHeight="1">
      <x:c r="A80" s="143" t="str">
        <x:v>CH-076</x:v>
      </x:c>
      <x:c r="B80" s="144" t="str">
        <x:v>機會</x:v>
      </x:c>
      <x:c r="C80" s="136" t="str">
        <x:v>跑者訓練：提升成績與突破 PB</x:v>
      </x:c>
      <x:c r="D80" s="136" t="str">
        <x:v>跑姿與效率</x:v>
      </x:c>
      <x:c r="E80" s="136" t="str">
        <x:v>用小改變降低浪費</x:v>
      </x:c>
      <x:c r="F80" s="136" t="str">
        <x:v>落地靠近重心</x:v>
      </x:c>
      <x:c r="G80" s="136" t="str">
        <x:v>腳落得太前面常伴隨煞車感與過度跨步。
行動：稍微提高步頻或縮短步幅，先用 30–60 秒短段練習。</x:v>
      </x:c>
      <x:c r="H80" s="136" t="str">
        <x:v>稍微提高步頻或縮短步幅，先用 30–60 秒短段練習。</x:v>
      </x:c>
      <x:c r="I80" s="136" t="str">
        <x:v>輕鬆跑</x:v>
      </x:c>
      <x:c r="J80" s="144" t="str">
        <x:v>中</x:v>
      </x:c>
      <x:c r="K80" s="144" t="str">
        <x:v>一般</x:v>
      </x:c>
      <x:c r="L80" s="136" t="str">
        <x:v>訓練值 +1</x:v>
      </x:c>
      <x:c r="M80" s="136" t="str">
        <x:v>依個人經驗、健康狀況與環境調整；不適時停止。</x:v>
      </x:c>
      <x:c r="N80" s="154" t="n">
        <x:f>LEN(G80)</x:f>
        <x:v>49</x:v>
      </x:c>
      <x:c r="O80" s="144" t="str">
        <x:v>S021</x:v>
      </x:c>
      <x:c r="P80" s="136" t="str">
        <x:v>Sports Medicine／PubMed</x:v>
      </x:c>
      <x:c r="Q80" s="136" t="str">
        <x:v>Gait retraining in distance runners</x:v>
      </x:c>
      <x:c r="R80" s="151" t="str">
        <x:v>https://pubmed.ncbi.nlm.nih.gov/29065279/</x:v>
      </x:c>
      <x:c r="S80" s="148" t="str">
        <x:v>2026-07-27</x:v>
      </x:c>
    </x:row>
    <x:row r="81" ht="58" customHeight="1">
      <x:c r="A81" s="143" t="str">
        <x:v>CH-077</x:v>
      </x:c>
      <x:c r="B81" s="144" t="str">
        <x:v>機會</x:v>
      </x:c>
      <x:c r="C81" s="136" t="str">
        <x:v>跑者訓練：提升成績與突破 PB</x:v>
      </x:c>
      <x:c r="D81" s="136" t="str">
        <x:v>跑姿與效率</x:v>
      </x:c>
      <x:c r="E81" s="136" t="str">
        <x:v>用小改變降低浪費</x:v>
      </x:c>
      <x:c r="F81" s="136" t="str">
        <x:v>跑姿改變也要算負荷</x:v>
      </x:c>
      <x:c r="G81" s="136" t="str">
        <x:v>新步頻、鞋型或落地方式都會刺激不同組織。
行動：每次只改一項，從少量開始，觀察小腿、足底與膝的 24 小時反應。</x:v>
      </x:c>
      <x:c r="H81" s="136" t="str">
        <x:v>每次只改一項，從少量開始，觀察小腿、足底與膝的 24 小時反應。</x:v>
      </x:c>
      <x:c r="I81" s="136" t="str">
        <x:v>技術調整期</x:v>
      </x:c>
      <x:c r="J81" s="144" t="str">
        <x:v>高</x:v>
      </x:c>
      <x:c r="K81" s="144" t="str">
        <x:v>留意</x:v>
      </x:c>
      <x:c r="L81" s="136" t="str">
        <x:v>完成安全調整：訓練值 +1；健康值 +1</x:v>
      </x:c>
      <x:c r="M81" s="136" t="str">
        <x:v>依個人經驗、健康狀況與環境調整；不適時停止。</x:v>
      </x:c>
      <x:c r="N81" s="154" t="n">
        <x:f>LEN(G81)</x:f>
        <x:v>56</x:v>
      </x:c>
      <x:c r="O81" s="144" t="str">
        <x:v>S003</x:v>
      </x:c>
      <x:c r="P81" s="136" t="str">
        <x:v>國際奧會（IOC）／BJSM</x:v>
      </x:c>
      <x:c r="Q81" s="136" t="str">
        <x:v>How much is too much? Part 1: load and injury risk</x:v>
      </x:c>
      <x:c r="R81" s="151" t="str">
        <x:v>https://bjsm.bmj.com/content/50/17/1030</x:v>
      </x:c>
      <x:c r="S81" s="148" t="str">
        <x:v>2026-07-27</x:v>
      </x:c>
    </x:row>
    <x:row r="82" ht="58" customHeight="1">
      <x:c r="A82" s="143" t="str">
        <x:v>CH-078</x:v>
      </x:c>
      <x:c r="B82" s="144" t="str">
        <x:v>機會</x:v>
      </x:c>
      <x:c r="C82" s="136" t="str">
        <x:v>跑者訓練：提升成績與突破 PB</x:v>
      </x:c>
      <x:c r="D82" s="136" t="str">
        <x:v>跑姿與效率</x:v>
      </x:c>
      <x:c r="E82" s="136" t="str">
        <x:v>用小改變降低浪費</x:v>
      </x:c>
      <x:c r="F82" s="136" t="str">
        <x:v>手機側拍只看一兩個重點</x:v>
      </x:c>
      <x:c r="G82" s="136" t="str">
        <x:v>單一角度不能診斷，但能看出明顯過度跨步或疲勞後變化。
行動：固定速度與鏡位，前後比較同一提示，不追求教科書外觀。</x:v>
      </x:c>
      <x:c r="H82" s="136" t="str">
        <x:v>固定速度與鏡位，前後比較同一提示，不追求教科書外觀。</x:v>
      </x:c>
      <x:c r="I82" s="136" t="str">
        <x:v>自我檢視</x:v>
      </x:c>
      <x:c r="J82" s="144" t="str">
        <x:v>中</x:v>
      </x:c>
      <x:c r="K82" s="144" t="str">
        <x:v>一般</x:v>
      </x:c>
      <x:c r="L82" s="136" t="str">
        <x:v>訓練值 +1</x:v>
      </x:c>
      <x:c r="M82" s="136" t="str">
        <x:v>依個人經驗、健康狀況與環境調整；不適時停止。</x:v>
      </x:c>
      <x:c r="N82" s="154" t="n">
        <x:f>LEN(G82)</x:f>
        <x:v>56</x:v>
      </x:c>
      <x:c r="O82" s="144" t="str">
        <x:v>S021</x:v>
      </x:c>
      <x:c r="P82" s="136" t="str">
        <x:v>Sports Medicine／PubMed</x:v>
      </x:c>
      <x:c r="Q82" s="136" t="str">
        <x:v>Gait retraining in distance runners</x:v>
      </x:c>
      <x:c r="R82" s="151" t="str">
        <x:v>https://pubmed.ncbi.nlm.nih.gov/29065279/</x:v>
      </x:c>
      <x:c r="S82" s="148" t="str">
        <x:v>2026-07-27</x:v>
      </x:c>
    </x:row>
    <x:row r="83" ht="58" customHeight="1">
      <x:c r="A83" s="143" t="str">
        <x:v>CH-079</x:v>
      </x:c>
      <x:c r="B83" s="144" t="str">
        <x:v>機會</x:v>
      </x:c>
      <x:c r="C83" s="136" t="str">
        <x:v>跑者訓練：提升成績與突破 PB</x:v>
      </x:c>
      <x:c r="D83" s="136" t="str">
        <x:v>跑姿與效率</x:v>
      </x:c>
      <x:c r="E83" s="136" t="str">
        <x:v>用小改變降低浪費</x:v>
      </x:c>
      <x:c r="F83" s="136" t="str">
        <x:v>左右差異先找情境</x:v>
      </x:c>
      <x:c r="G83" s="136" t="str">
        <x:v>道路傾斜、舊傷與疲勞都可能造成短暫不對稱。
行動：換方向或平坦路再觀察；若伴隨疼痛、跛行或持續惡化，停止並評估。</x:v>
      </x:c>
      <x:c r="H83" s="136" t="str">
        <x:v>換方向或平坦路再觀察；若伴隨疼痛、跛行或持續惡化，停止並評估。</x:v>
      </x:c>
      <x:c r="I83" s="136" t="str">
        <x:v>發現不對稱時</x:v>
      </x:c>
      <x:c r="J83" s="144" t="str">
        <x:v>高</x:v>
      </x:c>
      <x:c r="K83" s="144" t="str">
        <x:v>留意</x:v>
      </x:c>
      <x:c r="L83" s="136" t="str">
        <x:v>完成安全調整：訓練值 +1；健康值 +1</x:v>
      </x:c>
      <x:c r="M83" s="136" t="str">
        <x:v>依個人經驗、健康狀況與環境調整；不適時停止。</x:v>
      </x:c>
      <x:c r="N83" s="154" t="n">
        <x:f>LEN(G83)</x:f>
        <x:v>56</x:v>
      </x:c>
      <x:c r="O83" s="144" t="str">
        <x:v>S021</x:v>
      </x:c>
      <x:c r="P83" s="136" t="str">
        <x:v>Sports Medicine／PubMed</x:v>
      </x:c>
      <x:c r="Q83" s="136" t="str">
        <x:v>Gait retraining in distance runners</x:v>
      </x:c>
      <x:c r="R83" s="151" t="str">
        <x:v>https://pubmed.ncbi.nlm.nih.gov/29065279/</x:v>
      </x:c>
      <x:c r="S83" s="148" t="str">
        <x:v>2026-07-27</x:v>
      </x:c>
    </x:row>
    <x:row r="84" ht="58" customHeight="1">
      <x:c r="A84" s="143" t="str">
        <x:v>CH-080</x:v>
      </x:c>
      <x:c r="B84" s="144" t="str">
        <x:v>機會</x:v>
      </x:c>
      <x:c r="C84" s="136" t="str">
        <x:v>跑者訓練：提升成績與突破 PB</x:v>
      </x:c>
      <x:c r="D84" s="136" t="str">
        <x:v>跑姿與效率</x:v>
      </x:c>
      <x:c r="E84" s="136" t="str">
        <x:v>用小改變降低浪費</x:v>
      </x:c>
      <x:c r="F84" s="136" t="str">
        <x:v>效率用結果驗證</x:v>
      </x:c>
      <x:c r="G84" s="136" t="str">
        <x:v>更好看的動作不一定更省力；同配速下較低體感才有意義。
行動：每次只改一個提示，比較心率、RPE、舒適度與隔日反應。</x:v>
      </x:c>
      <x:c r="H84" s="136" t="str">
        <x:v>每次只改一個提示，比較心率、RPE、舒適度與隔日反應。</x:v>
      </x:c>
      <x:c r="I84" s="136" t="str">
        <x:v>跑姿實驗</x:v>
      </x:c>
      <x:c r="J84" s="144" t="str">
        <x:v>中</x:v>
      </x:c>
      <x:c r="K84" s="144" t="str">
        <x:v>一般</x:v>
      </x:c>
      <x:c r="L84" s="136" t="str">
        <x:v>訓練值 +1</x:v>
      </x:c>
      <x:c r="M84" s="136" t="str">
        <x:v>依個人經驗、健康狀況與環境調整；不適時停止。</x:v>
      </x:c>
      <x:c r="N84" s="154" t="n">
        <x:f>LEN(G84)</x:f>
        <x:v>57</x:v>
      </x:c>
      <x:c r="O84" s="144" t="str">
        <x:v>S021</x:v>
      </x:c>
      <x:c r="P84" s="136" t="str">
        <x:v>Sports Medicine／PubMed</x:v>
      </x:c>
      <x:c r="Q84" s="136" t="str">
        <x:v>Gait retraining in distance runners</x:v>
      </x:c>
      <x:c r="R84" s="151" t="str">
        <x:v>https://pubmed.ncbi.nlm.nih.gov/29065279/</x:v>
      </x:c>
      <x:c r="S84" s="148" t="str">
        <x:v>2026-07-27</x:v>
      </x:c>
    </x:row>
    <x:row r="85" ht="58" customHeight="1">
      <x:c r="A85" s="143" t="str">
        <x:v>CH-081</x:v>
      </x:c>
      <x:c r="B85" s="144" t="str">
        <x:v>機會</x:v>
      </x:c>
      <x:c r="C85" s="136" t="str">
        <x:v>跑者訓練：提升成績與突破 PB</x:v>
      </x:c>
      <x:c r="D85" s="136" t="str">
        <x:v>肌力訓練</x:v>
      </x:c>
      <x:c r="E85" s="136" t="str">
        <x:v>讓跑姿在疲勞下仍穩定</x:v>
      </x:c>
      <x:c r="F85" s="136" t="str">
        <x:v>每週安排兩次全身肌力</x:v>
      </x:c>
      <x:c r="G85" s="136" t="str">
        <x:v>規律肌力可改善力量與跑步經濟性，也補足跑步單一動作。
行動：從深蹲、髖鉸鏈、推、拉、提踵與核心動作開始。</x:v>
      </x:c>
      <x:c r="H85" s="136" t="str">
        <x:v>從深蹲、髖鉸鏈、推、拉、提踵與核心動作開始。</x:v>
      </x:c>
      <x:c r="I85" s="136" t="str">
        <x:v>基礎期</x:v>
      </x:c>
      <x:c r="J85" s="144" t="str">
        <x:v>高</x:v>
      </x:c>
      <x:c r="K85" s="144" t="str">
        <x:v>一般</x:v>
      </x:c>
      <x:c r="L85" s="136" t="str">
        <x:v>訓練值 +2；PB 點數 +1</x:v>
      </x:c>
      <x:c r="M85" s="136" t="str">
        <x:v>依個人經驗、健康狀況與環境調整；不適時停止。</x:v>
      </x:c>
      <x:c r="N85" s="154" t="n">
        <x:f>LEN(G85)</x:f>
        <x:v>52</x:v>
      </x:c>
      <x:c r="O85" s="144" t="str">
        <x:v>S009</x:v>
      </x:c>
      <x:c r="P85" s="136" t="str">
        <x:v>Sports Medicine／PubMed</x:v>
      </x:c>
      <x:c r="Q85" s="136" t="str">
        <x:v>Strength training and running economy meta-analysis</x:v>
      </x:c>
      <x:c r="R85" s="151" t="str">
        <x:v>https://pubmed.ncbi.nlm.nih.gov/38165636/</x:v>
      </x:c>
      <x:c r="S85" s="148" t="str">
        <x:v>2026-07-27</x:v>
      </x:c>
    </x:row>
    <x:row r="86" ht="58" customHeight="1">
      <x:c r="A86" s="143" t="str">
        <x:v>CH-082</x:v>
      </x:c>
      <x:c r="B86" s="144" t="str">
        <x:v>機會</x:v>
      </x:c>
      <x:c r="C86" s="136" t="str">
        <x:v>跑者訓練：提升成績與突破 PB</x:v>
      </x:c>
      <x:c r="D86" s="136" t="str">
        <x:v>肌力訓練</x:v>
      </x:c>
      <x:c r="E86" s="136" t="str">
        <x:v>讓跑姿在疲勞下仍穩定</x:v>
      </x:c>
      <x:c r="F86" s="136" t="str">
        <x:v>重量要有挑戰但動作先穩</x:v>
      </x:c>
      <x:c r="G86" s="136" t="str">
        <x:v>足夠負荷才能產生力量刺激，然而代償動作會增加風險。
行動：保留 1–3 下餘裕，能穩定完成再逐步加重量。</x:v>
      </x:c>
      <x:c r="H86" s="136" t="str">
        <x:v>保留 1–3 下餘裕，能穩定完成再逐步加重量。</x:v>
      </x:c>
      <x:c r="I86" s="136" t="str">
        <x:v>肌力課</x:v>
      </x:c>
      <x:c r="J86" s="144" t="str">
        <x:v>中</x:v>
      </x:c>
      <x:c r="K86" s="144" t="str">
        <x:v>一般</x:v>
      </x:c>
      <x:c r="L86" s="136" t="str">
        <x:v>訓練值 +1</x:v>
      </x:c>
      <x:c r="M86" s="136" t="str">
        <x:v>依個人經驗、健康狀況與環境調整；不適時停止。</x:v>
      </x:c>
      <x:c r="N86" s="154" t="n">
        <x:f>LEN(G86)</x:f>
        <x:v>52</x:v>
      </x:c>
      <x:c r="O86" s="144" t="str">
        <x:v>S009</x:v>
      </x:c>
      <x:c r="P86" s="136" t="str">
        <x:v>Sports Medicine／PubMed</x:v>
      </x:c>
      <x:c r="Q86" s="136" t="str">
        <x:v>Strength training and running economy meta-analysis</x:v>
      </x:c>
      <x:c r="R86" s="151" t="str">
        <x:v>https://pubmed.ncbi.nlm.nih.gov/38165636/</x:v>
      </x:c>
      <x:c r="S86" s="148" t="str">
        <x:v>2026-07-27</x:v>
      </x:c>
    </x:row>
    <x:row r="87" ht="58" customHeight="1">
      <x:c r="A87" s="143" t="str">
        <x:v>CH-083</x:v>
      </x:c>
      <x:c r="B87" s="144" t="str">
        <x:v>機會</x:v>
      </x:c>
      <x:c r="C87" s="136" t="str">
        <x:v>跑者訓練：提升成績與突破 PB</x:v>
      </x:c>
      <x:c r="D87" s="136" t="str">
        <x:v>肌力訓練</x:v>
      </x:c>
      <x:c r="E87" s="136" t="str">
        <x:v>讓跑姿在疲勞下仍穩定</x:v>
      </x:c>
      <x:c r="F87" s="136" t="str">
        <x:v>單腳動作貼近跑步需求</x:v>
      </x:c>
      <x:c r="G87" s="136" t="str">
        <x:v>跑步多在單腳支撐，單腳蹲、分腿蹲與登階可練控制。
行動：先扶支撐、縮小範圍，再進到外加重量。</x:v>
      </x:c>
      <x:c r="H87" s="136" t="str">
        <x:v>先扶支撐、縮小範圍，再進到外加重量。</x:v>
      </x:c>
      <x:c r="I87" s="136" t="str">
        <x:v>一般肌力</x:v>
      </x:c>
      <x:c r="J87" s="144" t="str">
        <x:v>中</x:v>
      </x:c>
      <x:c r="K87" s="144" t="str">
        <x:v>一般</x:v>
      </x:c>
      <x:c r="L87" s="136" t="str">
        <x:v>訓練值 +1</x:v>
      </x:c>
      <x:c r="M87" s="136" t="str">
        <x:v>依個人經驗、健康狀況與環境調整；不適時停止。</x:v>
      </x:c>
      <x:c r="N87" s="154" t="n">
        <x:f>LEN(G87)</x:f>
        <x:v>46</x:v>
      </x:c>
      <x:c r="O87" s="144" t="str">
        <x:v>S009</x:v>
      </x:c>
      <x:c r="P87" s="136" t="str">
        <x:v>Sports Medicine／PubMed</x:v>
      </x:c>
      <x:c r="Q87" s="136" t="str">
        <x:v>Strength training and running economy meta-analysis</x:v>
      </x:c>
      <x:c r="R87" s="151" t="str">
        <x:v>https://pubmed.ncbi.nlm.nih.gov/38165636/</x:v>
      </x:c>
      <x:c r="S87" s="148" t="str">
        <x:v>2026-07-27</x:v>
      </x:c>
    </x:row>
    <x:row r="88" ht="58" customHeight="1">
      <x:c r="A88" s="143" t="str">
        <x:v>CH-084</x:v>
      </x:c>
      <x:c r="B88" s="144" t="str">
        <x:v>機會</x:v>
      </x:c>
      <x:c r="C88" s="136" t="str">
        <x:v>跑者訓練：提升成績與突破 PB</x:v>
      </x:c>
      <x:c r="D88" s="136" t="str">
        <x:v>肌力訓練</x:v>
      </x:c>
      <x:c r="E88" s="136" t="str">
        <x:v>讓跑姿在疲勞下仍穩定</x:v>
      </x:c>
      <x:c r="F88" s="136" t="str">
        <x:v>小腿要練直膝也練屈膝</x:v>
      </x:c>
      <x:c r="G88" s="136" t="str">
        <x:v>腓腸肌與比目魚肌在不同膝角度分工，都是推進與吸震關鍵。
行動：安排站姿與坐姿提踵，慢速完成全程。</x:v>
      </x:c>
      <x:c r="H88" s="136" t="str">
        <x:v>安排站姿與坐姿提踵，慢速完成全程。</x:v>
      </x:c>
      <x:c r="I88" s="136" t="str">
        <x:v>每週肌力</x:v>
      </x:c>
      <x:c r="J88" s="144" t="str">
        <x:v>中</x:v>
      </x:c>
      <x:c r="K88" s="144" t="str">
        <x:v>一般</x:v>
      </x:c>
      <x:c r="L88" s="136" t="str">
        <x:v>訓練值 +1</x:v>
      </x:c>
      <x:c r="M88" s="136" t="str">
        <x:v>依個人經驗、健康狀況與環境調整；不適時停止。</x:v>
      </x:c>
      <x:c r="N88" s="154" t="n">
        <x:f>LEN(G88)</x:f>
        <x:v>48</x:v>
      </x:c>
      <x:c r="O88" s="144" t="str">
        <x:v>S009</x:v>
      </x:c>
      <x:c r="P88" s="136" t="str">
        <x:v>Sports Medicine／PubMed</x:v>
      </x:c>
      <x:c r="Q88" s="136" t="str">
        <x:v>Strength training and running economy meta-analysis</x:v>
      </x:c>
      <x:c r="R88" s="151" t="str">
        <x:v>https://pubmed.ncbi.nlm.nih.gov/38165636/</x:v>
      </x:c>
      <x:c r="S88" s="148" t="str">
        <x:v>2026-07-27</x:v>
      </x:c>
    </x:row>
    <x:row r="89" ht="58" customHeight="1">
      <x:c r="A89" s="143" t="str">
        <x:v>CH-085</x:v>
      </x:c>
      <x:c r="B89" s="144" t="str">
        <x:v>機會</x:v>
      </x:c>
      <x:c r="C89" s="136" t="str">
        <x:v>跑者訓練：提升成績與突破 PB</x:v>
      </x:c>
      <x:c r="D89" s="136" t="str">
        <x:v>肌力訓練</x:v>
      </x:c>
      <x:c r="E89" s="136" t="str">
        <x:v>讓跑姿在疲勞下仍穩定</x:v>
      </x:c>
      <x:c r="F89" s="136" t="str">
        <x:v>髖鉸鏈強化後側鏈</x:v>
      </x:c>
      <x:c r="G89" s="136" t="str">
        <x:v>臀肌與腿後肌有助於維持步幅與骨盆控制。
行動：以硬舉變化或橋式練習，背部保持中立、從髖部發力。</x:v>
      </x:c>
      <x:c r="H89" s="136" t="str">
        <x:v>以硬舉變化或橋式練習，背部保持中立、從髖部發力。</x:v>
      </x:c>
      <x:c r="I89" s="136" t="str">
        <x:v>肌力基礎</x:v>
      </x:c>
      <x:c r="J89" s="144" t="str">
        <x:v>中</x:v>
      </x:c>
      <x:c r="K89" s="144" t="str">
        <x:v>一般</x:v>
      </x:c>
      <x:c r="L89" s="136" t="str">
        <x:v>訓練值 +1</x:v>
      </x:c>
      <x:c r="M89" s="136" t="str">
        <x:v>依個人經驗、健康狀況與環境調整；不適時停止。</x:v>
      </x:c>
      <x:c r="N89" s="154" t="n">
        <x:f>LEN(G89)</x:f>
        <x:v>47</x:v>
      </x:c>
      <x:c r="O89" s="144" t="str">
        <x:v>S009</x:v>
      </x:c>
      <x:c r="P89" s="136" t="str">
        <x:v>Sports Medicine／PubMed</x:v>
      </x:c>
      <x:c r="Q89" s="136" t="str">
        <x:v>Strength training and running economy meta-analysis</x:v>
      </x:c>
      <x:c r="R89" s="151" t="str">
        <x:v>https://pubmed.ncbi.nlm.nih.gov/38165636/</x:v>
      </x:c>
      <x:c r="S89" s="148" t="str">
        <x:v>2026-07-27</x:v>
      </x:c>
    </x:row>
    <x:row r="90" ht="58" customHeight="1">
      <x:c r="A90" s="143" t="str">
        <x:v>CH-086</x:v>
      </x:c>
      <x:c r="B90" s="144" t="str">
        <x:v>機會</x:v>
      </x:c>
      <x:c r="C90" s="136" t="str">
        <x:v>跑者訓練：提升成績與突破 PB</x:v>
      </x:c>
      <x:c r="D90" s="136" t="str">
        <x:v>肌力訓練</x:v>
      </x:c>
      <x:c r="E90" s="136" t="str">
        <x:v>讓跑姿在疲勞下仍穩定</x:v>
      </x:c>
      <x:c r="F90" s="136" t="str">
        <x:v>核心要能抗旋轉</x:v>
      </x:c>
      <x:c r="G90" s="136" t="str">
        <x:v>跑步軀幹需要穩定傳力，不只追求仰臥起坐次數。
行動：加入側棒式、死蟲與抗旋轉推，保持呼吸。</x:v>
      </x:c>
      <x:c r="H90" s="136" t="str">
        <x:v>加入側棒式、死蟲與抗旋轉推，保持呼吸。</x:v>
      </x:c>
      <x:c r="I90" s="136" t="str">
        <x:v>輔助訓練</x:v>
      </x:c>
      <x:c r="J90" s="144" t="str">
        <x:v>中</x:v>
      </x:c>
      <x:c r="K90" s="144" t="str">
        <x:v>一般</x:v>
      </x:c>
      <x:c r="L90" s="136" t="str">
        <x:v>訓練值 +1</x:v>
      </x:c>
      <x:c r="M90" s="136" t="str">
        <x:v>依個人經驗、健康狀況與環境調整；不適時停止。</x:v>
      </x:c>
      <x:c r="N90" s="154" t="n">
        <x:f>LEN(G90)</x:f>
        <x:v>45</x:v>
      </x:c>
      <x:c r="O90" s="144" t="str">
        <x:v>S009</x:v>
      </x:c>
      <x:c r="P90" s="136" t="str">
        <x:v>Sports Medicine／PubMed</x:v>
      </x:c>
      <x:c r="Q90" s="136" t="str">
        <x:v>Strength training and running economy meta-analysis</x:v>
      </x:c>
      <x:c r="R90" s="151" t="str">
        <x:v>https://pubmed.ncbi.nlm.nih.gov/38165636/</x:v>
      </x:c>
      <x:c r="S90" s="148" t="str">
        <x:v>2026-07-27</x:v>
      </x:c>
    </x:row>
    <x:row r="91" ht="58" customHeight="1">
      <x:c r="A91" s="143" t="str">
        <x:v>CH-087</x:v>
      </x:c>
      <x:c r="B91" s="144" t="str">
        <x:v>機會</x:v>
      </x:c>
      <x:c r="C91" s="136" t="str">
        <x:v>跑者訓練：提升成績與突破 PB</x:v>
      </x:c>
      <x:c r="D91" s="136" t="str">
        <x:v>肌力訓練</x:v>
      </x:c>
      <x:c r="E91" s="136" t="str">
        <x:v>讓跑姿在疲勞下仍穩定</x:v>
      </x:c>
      <x:c r="F91" s="136" t="str">
        <x:v>賽前減肌力量、不必全停</x:v>
      </x:c>
      <x:c r="G91" s="136" t="str">
        <x:v>減量期可保留神經刺激，但過多組數會留下痠痛。
行動：維持熟悉動作與適度重量，降低總組數並避開新動作。</x:v>
      </x:c>
      <x:c r="H91" s="136" t="str">
        <x:v>維持熟悉動作與適度重量，降低總組數並避開新動作。</x:v>
      </x:c>
      <x:c r="I91" s="136" t="str">
        <x:v>賽前 7–14 天</x:v>
      </x:c>
      <x:c r="J91" s="144" t="str">
        <x:v>中</x:v>
      </x:c>
      <x:c r="K91" s="144" t="str">
        <x:v>一般</x:v>
      </x:c>
      <x:c r="L91" s="136" t="str">
        <x:v>訓練值 +1</x:v>
      </x:c>
      <x:c r="M91" s="136" t="str">
        <x:v>依個人經驗、健康狀況與環境調整；不適時停止。</x:v>
      </x:c>
      <x:c r="N91" s="154" t="n">
        <x:f>LEN(G91)</x:f>
        <x:v>50</x:v>
      </x:c>
      <x:c r="O91" s="144" t="str">
        <x:v>S010</x:v>
      </x:c>
      <x:c r="P91" s="136" t="str">
        <x:v>Sports Medicine／PubMed</x:v>
      </x:c>
      <x:c r="Q91" s="136" t="str">
        <x:v>Tapering and endurance performance meta-analysis</x:v>
      </x:c>
      <x:c r="R91" s="151" t="str">
        <x:v>https://pubmed.ncbi.nlm.nih.gov/37163550/</x:v>
      </x:c>
      <x:c r="S91" s="148" t="str">
        <x:v>2026-07-27</x:v>
      </x:c>
    </x:row>
    <x:row r="92" ht="58" customHeight="1">
      <x:c r="A92" s="143" t="str">
        <x:v>CH-088</x:v>
      </x:c>
      <x:c r="B92" s="144" t="str">
        <x:v>機會</x:v>
      </x:c>
      <x:c r="C92" s="136" t="str">
        <x:v>跑者訓練：提升成績與突破 PB</x:v>
      </x:c>
      <x:c r="D92" s="136" t="str">
        <x:v>肌力訓練</x:v>
      </x:c>
      <x:c r="E92" s="136" t="str">
        <x:v>讓跑姿在疲勞下仍穩定</x:v>
      </x:c>
      <x:c r="F92" s="136" t="str">
        <x:v>技術熟練再追大重量</x:v>
      </x:c>
      <x:c r="G92" s="136" t="str">
        <x:v>快速加重可能讓關節位置與呼吸失控。
行動：先用可控制負荷學會動作，必要時請教合格教練。</x:v>
      </x:c>
      <x:c r="H92" s="136" t="str">
        <x:v>先用可控制負荷學會動作，必要時請教合格教練。</x:v>
      </x:c>
      <x:c r="I92" s="136" t="str">
        <x:v>肌力入門</x:v>
      </x:c>
      <x:c r="J92" s="144" t="str">
        <x:v>中</x:v>
      </x:c>
      <x:c r="K92" s="144" t="str">
        <x:v>一般</x:v>
      </x:c>
      <x:c r="L92" s="136" t="str">
        <x:v>訓練值 +1</x:v>
      </x:c>
      <x:c r="M92" s="136" t="str">
        <x:v>依個人經驗、健康狀況與環境調整；不適時停止。</x:v>
      </x:c>
      <x:c r="N92" s="154" t="n">
        <x:f>LEN(G92)</x:f>
        <x:v>43</x:v>
      </x:c>
      <x:c r="O92" s="144" t="str">
        <x:v>S072</x:v>
      </x:c>
      <x:c r="P92" s="136" t="str">
        <x:v>AAOS</x:v>
      </x:c>
      <x:c r="Q92" s="136" t="str">
        <x:v>Starting an Exercise Program</x:v>
      </x:c>
      <x:c r="R92" s="151" t="str">
        <x:v>https://orthoinfo.aaos.org/en/staying-healthy/starting-an-exercise-program/</x:v>
      </x:c>
      <x:c r="S92" s="148" t="str">
        <x:v>2026-07-27</x:v>
      </x:c>
    </x:row>
    <x:row r="93" ht="58" customHeight="1">
      <x:c r="A93" s="143" t="str">
        <x:v>CH-089</x:v>
      </x:c>
      <x:c r="B93" s="144" t="str">
        <x:v>機會</x:v>
      </x:c>
      <x:c r="C93" s="136" t="str">
        <x:v>跑者訓練：提升成績與突破 PB</x:v>
      </x:c>
      <x:c r="D93" s="136" t="str">
        <x:v>肌力訓練</x:v>
      </x:c>
      <x:c r="E93" s="136" t="str">
        <x:v>讓跑姿在疲勞下仍穩定</x:v>
      </x:c>
      <x:c r="F93" s="136" t="str">
        <x:v>肌力不能完全取代跑步</x:v>
      </x:c>
      <x:c r="G93" s="136" t="str">
        <x:v>力量提升需要轉化到目標配速、地形與耐久。
行動：保留跑步專項課，肌力作為支援而非交換。</x:v>
      </x:c>
      <x:c r="H93" s="136" t="str">
        <x:v>保留跑步專項課，肌力作為支援而非交換。</x:v>
      </x:c>
      <x:c r="I93" s="136" t="str">
        <x:v>整個賽季</x:v>
      </x:c>
      <x:c r="J93" s="144" t="str">
        <x:v>中</x:v>
      </x:c>
      <x:c r="K93" s="144" t="str">
        <x:v>一般</x:v>
      </x:c>
      <x:c r="L93" s="136" t="str">
        <x:v>訓練值 +1</x:v>
      </x:c>
      <x:c r="M93" s="136" t="str">
        <x:v>依個人經驗、健康狀況與環境調整；不適時停止。</x:v>
      </x:c>
      <x:c r="N93" s="154" t="n">
        <x:f>LEN(G93)</x:f>
        <x:v>43</x:v>
      </x:c>
      <x:c r="O93" s="144" t="str">
        <x:v>S009</x:v>
      </x:c>
      <x:c r="P93" s="136" t="str">
        <x:v>Sports Medicine／PubMed</x:v>
      </x:c>
      <x:c r="Q93" s="136" t="str">
        <x:v>Strength training and running economy meta-analysis</x:v>
      </x:c>
      <x:c r="R93" s="151" t="str">
        <x:v>https://pubmed.ncbi.nlm.nih.gov/38165636/</x:v>
      </x:c>
      <x:c r="S93" s="148" t="str">
        <x:v>2026-07-27</x:v>
      </x:c>
    </x:row>
    <x:row r="94" ht="58" customHeight="1">
      <x:c r="A94" s="143" t="str">
        <x:v>CH-090</x:v>
      </x:c>
      <x:c r="B94" s="144" t="str">
        <x:v>機會</x:v>
      </x:c>
      <x:c r="C94" s="136" t="str">
        <x:v>跑者訓練：提升成績與突破 PB</x:v>
      </x:c>
      <x:c r="D94" s="136" t="str">
        <x:v>肌力訓練</x:v>
      </x:c>
      <x:c r="E94" s="136" t="str">
        <x:v>讓跑姿在疲勞下仍穩定</x:v>
      </x:c>
      <x:c r="F94" s="136" t="str">
        <x:v>重肌力遠離關鍵跑</x:v>
      </x:c>
      <x:c r="G94" s="136" t="str">
        <x:v>下肢肌力造成的延遲痠痛，可能影響間歇與長跑品質。
行動：重腿日與關鍵跑至少錯開一天，或安排在品質跑後而非前一天。</x:v>
      </x:c>
      <x:c r="H94" s="136" t="str">
        <x:v>重腿日與關鍵跑至少錯開一天，或安排在品質跑後而非前一天。</x:v>
      </x:c>
      <x:c r="I94" s="136" t="str">
        <x:v>每週排課</x:v>
      </x:c>
      <x:c r="J94" s="144" t="str">
        <x:v>中</x:v>
      </x:c>
      <x:c r="K94" s="144" t="str">
        <x:v>一般</x:v>
      </x:c>
      <x:c r="L94" s="136" t="str">
        <x:v>訓練值 +1</x:v>
      </x:c>
      <x:c r="M94" s="136" t="str">
        <x:v>依個人經驗、健康狀況與環境調整；不適時停止。</x:v>
      </x:c>
      <x:c r="N94" s="154" t="n">
        <x:f>LEN(G94)</x:f>
        <x:v>56</x:v>
      </x:c>
      <x:c r="O94" s="144" t="str">
        <x:v>S003</x:v>
      </x:c>
      <x:c r="P94" s="136" t="str">
        <x:v>國際奧會（IOC）／BJSM</x:v>
      </x:c>
      <x:c r="Q94" s="136" t="str">
        <x:v>How much is too much? Part 1: load and injury risk</x:v>
      </x:c>
      <x:c r="R94" s="151" t="str">
        <x:v>https://bjsm.bmj.com/content/50/17/1030</x:v>
      </x:c>
      <x:c r="S94" s="148" t="str">
        <x:v>2026-07-27</x:v>
      </x:c>
    </x:row>
    <x:row r="95" ht="58" customHeight="1">
      <x:c r="A95" s="143" t="str">
        <x:v>CH-091</x:v>
      </x:c>
      <x:c r="B95" s="144" t="str">
        <x:v>機會</x:v>
      </x:c>
      <x:c r="C95" s="136" t="str">
        <x:v>跑者訓練：提升成績與突破 PB</x:v>
      </x:c>
      <x:c r="D95" s="136" t="str">
        <x:v>速度與爆發</x:v>
      </x:c>
      <x:c r="E95" s="136" t="str">
        <x:v>喚醒神經而不堆疲勞</x:v>
      </x:c>
      <x:c r="F95" s="136" t="str">
        <x:v>加速跑保留放鬆感</x:v>
      </x:c>
      <x:c r="G95" s="136" t="str">
        <x:v>Strides 是漸快到快速但不全力的短段，用來練協調與速度感。
行動：輕鬆跑後做 4–8 次，每次約 15–25 秒，走或慢跑完整恢復。</x:v>
      </x:c>
      <x:c r="H95" s="136" t="str">
        <x:v>輕鬆跑後做 4–8 次，每次約 15–25 秒，走或慢跑完整恢復。</x:v>
      </x:c>
      <x:c r="I95" s="136" t="str">
        <x:v>每週 1–2 次</x:v>
      </x:c>
      <x:c r="J95" s="144" t="str">
        <x:v>中</x:v>
      </x:c>
      <x:c r="K95" s="144" t="str">
        <x:v>一般</x:v>
      </x:c>
      <x:c r="L95" s="136" t="str">
        <x:v>訓練值 +1</x:v>
      </x:c>
      <x:c r="M95" s="136" t="str">
        <x:v>依個人經驗、健康狀況與環境調整；不適時停止。</x:v>
      </x:c>
      <x:c r="N95" s="154" t="n">
        <x:f>LEN(G95)</x:f>
        <x:v>69</x:v>
      </x:c>
      <x:c r="O95" s="144" t="str">
        <x:v>S075</x:v>
      </x:c>
      <x:c r="P95" s="136" t="str">
        <x:v>Sports Medicine／PubMed</x:v>
      </x:c>
      <x:c r="Q95" s="136" t="str">
        <x:v>Interval training review</x:v>
      </x:c>
      <x:c r="R95" s="151" t="str">
        <x:v>https://pubmed.ncbi.nlm.nih.gov/11219499/</x:v>
      </x:c>
      <x:c r="S95" s="148" t="str">
        <x:v>2026-07-27</x:v>
      </x:c>
    </x:row>
    <x:row r="96" ht="58" customHeight="1">
      <x:c r="A96" s="143" t="str">
        <x:v>CH-092</x:v>
      </x:c>
      <x:c r="B96" s="144" t="str">
        <x:v>機會</x:v>
      </x:c>
      <x:c r="C96" s="136" t="str">
        <x:v>跑者訓練：提升成績與突破 PB</x:v>
      </x:c>
      <x:c r="D96" s="136" t="str">
        <x:v>速度與爆發</x:v>
      </x:c>
      <x:c r="E96" s="136" t="str">
        <x:v>喚醒神經而不堆疲勞</x:v>
      </x:c>
      <x:c r="F96" s="136" t="str">
        <x:v>短衝刺需要長恢復</x:v>
      </x:c>
      <x:c r="G96" s="136" t="str">
        <x:v>神經速度訓練重品質，疲勞下連發會變成無氧耐力。
行動：每段很短，段間休到呼吸與動作恢復，不追求心肺累積。</x:v>
      </x:c>
      <x:c r="H96" s="136" t="str">
        <x:v>每段很短，段間休到呼吸與動作恢復，不追求心肺累積。</x:v>
      </x:c>
      <x:c r="I96" s="136" t="str">
        <x:v>速度課</x:v>
      </x:c>
      <x:c r="J96" s="144" t="str">
        <x:v>中</x:v>
      </x:c>
      <x:c r="K96" s="144" t="str">
        <x:v>一般</x:v>
      </x:c>
      <x:c r="L96" s="136" t="str">
        <x:v>訓練值 +1</x:v>
      </x:c>
      <x:c r="M96" s="136" t="str">
        <x:v>依個人經驗、健康狀況與環境調整；不適時停止。</x:v>
      </x:c>
      <x:c r="N96" s="154" t="n">
        <x:f>LEN(G96)</x:f>
        <x:v>52</x:v>
      </x:c>
      <x:c r="O96" s="144" t="str">
        <x:v>S075</x:v>
      </x:c>
      <x:c r="P96" s="136" t="str">
        <x:v>Sports Medicine／PubMed</x:v>
      </x:c>
      <x:c r="Q96" s="136" t="str">
        <x:v>Interval training review</x:v>
      </x:c>
      <x:c r="R96" s="151" t="str">
        <x:v>https://pubmed.ncbi.nlm.nih.gov/11219499/</x:v>
      </x:c>
      <x:c r="S96" s="148" t="str">
        <x:v>2026-07-27</x:v>
      </x:c>
    </x:row>
    <x:row r="97" ht="58" customHeight="1">
      <x:c r="A97" s="143" t="str">
        <x:v>CH-093</x:v>
      </x:c>
      <x:c r="B97" s="144" t="str">
        <x:v>機會</x:v>
      </x:c>
      <x:c r="C97" s="136" t="str">
        <x:v>跑者訓練：提升成績與突破 PB</x:v>
      </x:c>
      <x:c r="D97" s="136" t="str">
        <x:v>速度與爆發</x:v>
      </x:c>
      <x:c r="E97" s="136" t="str">
        <x:v>喚醒神經而不堆疲勞</x:v>
      </x:c>
      <x:c r="F97" s="136" t="str">
        <x:v>跳躍先從低衝擊開始</x:v>
      </x:c>
      <x:c r="G97" s="136" t="str">
        <x:v>增強式訓練能提升彈性利用，但落地量過多會增加負荷。
行動：從雙腳小跳、跳繩或低箱開始，膝踝穩定後再進階。</x:v>
      </x:c>
      <x:c r="H97" s="136" t="str">
        <x:v>從雙腳小跳、跳繩或低箱開始，膝踝穩定後再進階。</x:v>
      </x:c>
      <x:c r="I97" s="136" t="str">
        <x:v>肌力基礎後</x:v>
      </x:c>
      <x:c r="J97" s="144" t="str">
        <x:v>中</x:v>
      </x:c>
      <x:c r="K97" s="144" t="str">
        <x:v>留意</x:v>
      </x:c>
      <x:c r="L97" s="136" t="str">
        <x:v>完成安全調整：訓練值 +1；健康值 +1</x:v>
      </x:c>
      <x:c r="M97" s="136" t="str">
        <x:v>依個人經驗、健康狀況與環境調整；不適時停止。</x:v>
      </x:c>
      <x:c r="N97" s="154" t="n">
        <x:f>LEN(G97)</x:f>
        <x:v>52</x:v>
      </x:c>
      <x:c r="O97" s="144" t="str">
        <x:v>S009</x:v>
      </x:c>
      <x:c r="P97" s="136" t="str">
        <x:v>Sports Medicine／PubMed</x:v>
      </x:c>
      <x:c r="Q97" s="136" t="str">
        <x:v>Strength training and running economy meta-analysis</x:v>
      </x:c>
      <x:c r="R97" s="151" t="str">
        <x:v>https://pubmed.ncbi.nlm.nih.gov/38165636/</x:v>
      </x:c>
      <x:c r="S97" s="148" t="str">
        <x:v>2026-07-27</x:v>
      </x:c>
    </x:row>
    <x:row r="98" ht="58" customHeight="1">
      <x:c r="A98" s="143" t="str">
        <x:v>CH-094</x:v>
      </x:c>
      <x:c r="B98" s="144" t="str">
        <x:v>機會</x:v>
      </x:c>
      <x:c r="C98" s="136" t="str">
        <x:v>跑者訓練：提升成績與突破 PB</x:v>
      </x:c>
      <x:c r="D98" s="136" t="str">
        <x:v>速度與爆發</x:v>
      </x:c>
      <x:c r="E98" s="136" t="str">
        <x:v>喚醒神經而不堆疲勞</x:v>
      </x:c>
      <x:c r="F98" s="136" t="str">
        <x:v>短坡是安全速度工具之一</x:v>
      </x:c>
      <x:c r="G98" s="136" t="str">
        <x:v>緩至中坡限制最高速度，能強化推進，但仍需充分準備。
行動：熱身後做少量 8–12 秒坡衝，走回恢復。</x:v>
      </x:c>
      <x:c r="H98" s="136" t="str">
        <x:v>熱身後做少量 8–12 秒坡衝，走回恢復。</x:v>
      </x:c>
      <x:c r="I98" s="136" t="str">
        <x:v>速度導入期</x:v>
      </x:c>
      <x:c r="J98" s="144" t="str">
        <x:v>中</x:v>
      </x:c>
      <x:c r="K98" s="144" t="str">
        <x:v>留意</x:v>
      </x:c>
      <x:c r="L98" s="136" t="str">
        <x:v>完成安全調整：訓練值 +1；健康值 +1</x:v>
      </x:c>
      <x:c r="M98" s="136" t="str">
        <x:v>依個人經驗、健康狀況與環境調整；不適時停止。</x:v>
      </x:c>
      <x:c r="N98" s="154" t="n">
        <x:f>LEN(G98)</x:f>
        <x:v>50</x:v>
      </x:c>
      <x:c r="O98" s="144" t="str">
        <x:v>S076</x:v>
      </x:c>
      <x:c r="P98" s="136" t="str">
        <x:v>Journal of Strength and Conditioning Research／PubMed</x:v>
      </x:c>
      <x:c r="Q98" s="136" t="str">
        <x:v>Uphill interval running</x:v>
      </x:c>
      <x:c r="R98" s="151" t="str">
        <x:v>https://pubmed.ncbi.nlm.nih.gov/22996027/</x:v>
      </x:c>
      <x:c r="S98" s="148" t="str">
        <x:v>2026-07-27</x:v>
      </x:c>
    </x:row>
    <x:row r="99" ht="58" customHeight="1">
      <x:c r="A99" s="143" t="str">
        <x:v>CH-095</x:v>
      </x:c>
      <x:c r="B99" s="144" t="str">
        <x:v>機會</x:v>
      </x:c>
      <x:c r="C99" s="136" t="str">
        <x:v>跑者訓練：提升成績與突破 PB</x:v>
      </x:c>
      <x:c r="D99" s="136" t="str">
        <x:v>速度與爆發</x:v>
      </x:c>
      <x:c r="E99" s="136" t="str">
        <x:v>喚醒神經而不堆疲勞</x:v>
      </x:c>
      <x:c r="F99" s="136" t="str">
        <x:v>速度課放在精神新鮮時</x:v>
      </x:c>
      <x:c r="G99" s="136" t="str">
        <x:v>疲勞會降低協調與足部控制，影響快跑品質。
行動：安排在輕鬆日後，睡眠不足或腿沉時改成短加速或取消。</x:v>
      </x:c>
      <x:c r="H99" s="136" t="str">
        <x:v>安排在輕鬆日後，睡眠不足或腿沉時改成短加速或取消。</x:v>
      </x:c>
      <x:c r="I99" s="136" t="str">
        <x:v>每週排課</x:v>
      </x:c>
      <x:c r="J99" s="144" t="str">
        <x:v>中</x:v>
      </x:c>
      <x:c r="K99" s="144" t="str">
        <x:v>一般</x:v>
      </x:c>
      <x:c r="L99" s="136" t="str">
        <x:v>訓練值 +1</x:v>
      </x:c>
      <x:c r="M99" s="136" t="str">
        <x:v>依個人經驗、健康狀況與環境調整；不適時停止。</x:v>
      </x:c>
      <x:c r="N99" s="154" t="n">
        <x:f>LEN(G99)</x:f>
        <x:v>49</x:v>
      </x:c>
      <x:c r="O99" s="144" t="str">
        <x:v>S003</x:v>
      </x:c>
      <x:c r="P99" s="136" t="str">
        <x:v>國際奧會（IOC）／BJSM</x:v>
      </x:c>
      <x:c r="Q99" s="136" t="str">
        <x:v>How much is too much? Part 1: load and injury risk</x:v>
      </x:c>
      <x:c r="R99" s="151" t="str">
        <x:v>https://bjsm.bmj.com/content/50/17/1030</x:v>
      </x:c>
      <x:c r="S99" s="148" t="str">
        <x:v>2026-07-27</x:v>
      </x:c>
    </x:row>
    <x:row r="100" ht="58" customHeight="1">
      <x:c r="A100" s="143" t="str">
        <x:v>CH-096</x:v>
      </x:c>
      <x:c r="B100" s="144" t="str">
        <x:v>機會</x:v>
      </x:c>
      <x:c r="C100" s="136" t="str">
        <x:v>跑者訓練：提升成績與突破 PB</x:v>
      </x:c>
      <x:c r="D100" s="136" t="str">
        <x:v>速度與爆發</x:v>
      </x:c>
      <x:c r="E100" s="136" t="str">
        <x:v>喚醒神經而不堆疲勞</x:v>
      </x:c>
      <x:c r="F100" s="136" t="str">
        <x:v>草地快跑要先看地面</x:v>
      </x:c>
      <x:c r="G100" s="136" t="str">
        <x:v>柔軟地面可減少單調衝擊，但坑洞與濕滑也可能扭傷。
行動：先慢跑巡一圈，避開不平與積水處。</x:v>
      </x:c>
      <x:c r="H100" s="136" t="str">
        <x:v>先慢跑巡一圈，避開不平與積水處。</x:v>
      </x:c>
      <x:c r="I100" s="136" t="str">
        <x:v>草地訓練</x:v>
      </x:c>
      <x:c r="J100" s="144" t="str">
        <x:v>中</x:v>
      </x:c>
      <x:c r="K100" s="144" t="str">
        <x:v>一般</x:v>
      </x:c>
      <x:c r="L100" s="136" t="str">
        <x:v>訓練值 +1</x:v>
      </x:c>
      <x:c r="M100" s="136" t="str">
        <x:v>依個人經驗、健康狀況與環境調整；不適時停止。</x:v>
      </x:c>
      <x:c r="N100" s="154" t="n">
        <x:f>LEN(G100)</x:f>
        <x:v>44</x:v>
      </x:c>
      <x:c r="O100" s="144" t="str">
        <x:v>S022</x:v>
      </x:c>
      <x:c r="P100" s="136" t="str">
        <x:v>American Academy of Orthopaedic Surgeons（AAOS）</x:v>
      </x:c>
      <x:c r="Q100" s="136" t="str">
        <x:v>Tips for a Safe Running Program</x:v>
      </x:c>
      <x:c r="R100" s="151" t="str">
        <x:v>https://orthoinfo.aaos.org/en/staying-healthy/tips-for-a-safe-running-program/</x:v>
      </x:c>
      <x:c r="S100" s="148" t="str">
        <x:v>2026-07-27</x:v>
      </x:c>
    </x:row>
    <x:row r="101" ht="58" customHeight="1">
      <x:c r="A101" s="143" t="str">
        <x:v>CH-097</x:v>
      </x:c>
      <x:c r="B101" s="144" t="str">
        <x:v>機會</x:v>
      </x:c>
      <x:c r="C101" s="136" t="str">
        <x:v>跑者訓練：提升成績與突破 PB</x:v>
      </x:c>
      <x:c r="D101" s="136" t="str">
        <x:v>速度與爆發</x:v>
      </x:c>
      <x:c r="E101" s="136" t="str">
        <x:v>喚醒神經而不堆疲勞</x:v>
      </x:c>
      <x:c r="F101" s="136" t="str">
        <x:v>疼痛時不要用速度測試</x:v>
      </x:c>
      <x:c r="G101" s="136" t="str">
        <x:v>高速度放大肌腱與肌肉負荷，『跑快看看』可能讓問題惡化。
行動：先恢復無痛日常活動與輕鬆跑，再循序重建速度。</x:v>
      </x:c>
      <x:c r="H101" s="136" t="str">
        <x:v>先恢復無痛日常活動與輕鬆跑，再循序重建速度。</x:v>
      </x:c>
      <x:c r="I101" s="136" t="str">
        <x:v>傷後回跑</x:v>
      </x:c>
      <x:c r="J101" s="144" t="str">
        <x:v>高</x:v>
      </x:c>
      <x:c r="K101" s="144" t="str">
        <x:v>留意</x:v>
      </x:c>
      <x:c r="L101" s="136" t="str">
        <x:v>完成安全調整：訓練值 +1；健康值 +1</x:v>
      </x:c>
      <x:c r="M101" s="136" t="str">
        <x:v>依個人經驗、健康狀況與環境調整；不適時停止。</x:v>
      </x:c>
      <x:c r="N101" s="154" t="n">
        <x:f>LEN(G101)</x:f>
        <x:v>53</x:v>
      </x:c>
      <x:c r="O101" s="144" t="str">
        <x:v>S025</x:v>
      </x:c>
      <x:c r="P101" s="136" t="str">
        <x:v>AAOS</x:v>
      </x:c>
      <x:c r="Q101" s="136" t="str">
        <x:v>Sprains, Strains and Other Soft-Tissue Injuries</x:v>
      </x:c>
      <x:c r="R101" s="151" t="str">
        <x:v>https://orthoinfo.aaos.org/en/diseases--conditions/sprains-strains-and-other-soft-tissue-injuries/</x:v>
      </x:c>
      <x:c r="S101" s="148" t="str">
        <x:v>2026-07-27</x:v>
      </x:c>
    </x:row>
    <x:row r="102" ht="58" customHeight="1">
      <x:c r="A102" s="143" t="str">
        <x:v>CH-098</x:v>
      </x:c>
      <x:c r="B102" s="144" t="str">
        <x:v>機會</x:v>
      </x:c>
      <x:c r="C102" s="136" t="str">
        <x:v>跑者訓練：提升成績與突破 PB</x:v>
      </x:c>
      <x:c r="D102" s="136" t="str">
        <x:v>速度與爆發</x:v>
      </x:c>
      <x:c r="E102" s="136" t="str">
        <x:v>喚醒神經而不堆疲勞</x:v>
      </x:c>
      <x:c r="F102" s="136" t="str">
        <x:v>快段一走樣就結束</x:v>
      </x:c>
      <x:c r="G102" s="136" t="str">
        <x:v>爆發訓練的價值來自漂亮重複，不是疲勞量。
行動：預先設定姿勢或秒數下限，達不到就收課。</x:v>
      </x:c>
      <x:c r="H102" s="136" t="str">
        <x:v>預先設定姿勢或秒數下限，達不到就收課。</x:v>
      </x:c>
      <x:c r="I102" s="136" t="str">
        <x:v>速度訓練</x:v>
      </x:c>
      <x:c r="J102" s="144" t="str">
        <x:v>中</x:v>
      </x:c>
      <x:c r="K102" s="144" t="str">
        <x:v>一般</x:v>
      </x:c>
      <x:c r="L102" s="136" t="str">
        <x:v>訓練值 +1</x:v>
      </x:c>
      <x:c r="M102" s="136" t="str">
        <x:v>依個人經驗、健康狀況與環境調整；不適時停止。</x:v>
      </x:c>
      <x:c r="N102" s="154" t="n">
        <x:f>LEN(G102)</x:f>
        <x:v>43</x:v>
      </x:c>
      <x:c r="O102" s="144" t="str">
        <x:v>S075</x:v>
      </x:c>
      <x:c r="P102" s="136" t="str">
        <x:v>Sports Medicine／PubMed</x:v>
      </x:c>
      <x:c r="Q102" s="136" t="str">
        <x:v>Interval training review</x:v>
      </x:c>
      <x:c r="R102" s="151" t="str">
        <x:v>https://pubmed.ncbi.nlm.nih.gov/11219499/</x:v>
      </x:c>
      <x:c r="S102" s="148" t="str">
        <x:v>2026-07-27</x:v>
      </x:c>
    </x:row>
    <x:row r="103" ht="58" customHeight="1">
      <x:c r="A103" s="143" t="str">
        <x:v>CH-099</x:v>
      </x:c>
      <x:c r="B103" s="144" t="str">
        <x:v>機會</x:v>
      </x:c>
      <x:c r="C103" s="136" t="str">
        <x:v>跑者訓練：提升成績與突破 PB</x:v>
      </x:c>
      <x:c r="D103" s="136" t="str">
        <x:v>速度與爆發</x:v>
      </x:c>
      <x:c r="E103" s="136" t="str">
        <x:v>喚醒神經而不堆疲勞</x:v>
      </x:c>
      <x:c r="F103" s="136" t="str">
        <x:v>釘鞋與碳板鞋也要適應</x:v>
      </x:c>
      <x:c r="G103" s="136" t="str">
        <x:v>鞋底剛性、落差與抓地改變，會把負荷移到不同組織。
行動：先以短段、低總量試穿，逐步延長，不在比賽當天首次使用。</x:v>
      </x:c>
      <x:c r="H103" s="136" t="str">
        <x:v>先以短段、低總量試穿，逐步延長，不在比賽當天首次使用。</x:v>
      </x:c>
      <x:c r="I103" s="136" t="str">
        <x:v>速度裝備更換</x:v>
      </x:c>
      <x:c r="J103" s="144" t="str">
        <x:v>高</x:v>
      </x:c>
      <x:c r="K103" s="144" t="str">
        <x:v>留意</x:v>
      </x:c>
      <x:c r="L103" s="136" t="str">
        <x:v>完成安全調整：訓練值 +1；健康值 +1</x:v>
      </x:c>
      <x:c r="M103" s="136" t="str">
        <x:v>依個人經驗、健康狀況與環境調整；不適時停止。</x:v>
      </x:c>
      <x:c r="N103" s="154" t="n">
        <x:f>LEN(G103)</x:f>
        <x:v>55</x:v>
      </x:c>
      <x:c r="O103" s="144" t="str">
        <x:v>S023</x:v>
      </x:c>
      <x:c r="P103" s="136" t="str">
        <x:v>AAOS</x:v>
      </x:c>
      <x:c r="Q103" s="136" t="str">
        <x:v>Athletic Shoes</x:v>
      </x:c>
      <x:c r="R103" s="151" t="str">
        <x:v>https://orthoinfo.aaos.org/en/staying-healthy/athletic-shoes/</x:v>
      </x:c>
      <x:c r="S103" s="148" t="str">
        <x:v>2026-07-27</x:v>
      </x:c>
    </x:row>
    <x:row r="104" ht="58" customHeight="1">
      <x:c r="A104" s="143" t="str">
        <x:v>CH-100</x:v>
      </x:c>
      <x:c r="B104" s="144" t="str">
        <x:v>機會</x:v>
      </x:c>
      <x:c r="C104" s="136" t="str">
        <x:v>跑者訓練：提升成績與突破 PB</x:v>
      </x:c>
      <x:c r="D104" s="136" t="str">
        <x:v>速度與爆發</x:v>
      </x:c>
      <x:c r="E104" s="136" t="str">
        <x:v>喚醒神經而不堆疲勞</x:v>
      </x:c>
      <x:c r="F104" s="136" t="str">
        <x:v>少量速度全年保留</x:v>
      </x:c>
      <x:c r="G104" s="136" t="str">
        <x:v>完全停止快動作數月，回到專項期時衝擊較大。
行動：基礎期以少量加速跑維持協調，專項期再增加工作量。</x:v>
      </x:c>
      <x:c r="H104" s="136" t="str">
        <x:v>基礎期以少量加速跑維持協調，專項期再增加工作量。</x:v>
      </x:c>
      <x:c r="I104" s="136" t="str">
        <x:v>全年訓練</x:v>
      </x:c>
      <x:c r="J104" s="144" t="str">
        <x:v>中</x:v>
      </x:c>
      <x:c r="K104" s="144" t="str">
        <x:v>一般</x:v>
      </x:c>
      <x:c r="L104" s="136" t="str">
        <x:v>訓練值 +1</x:v>
      </x:c>
      <x:c r="M104" s="136" t="str">
        <x:v>依個人經驗、健康狀況與環境調整；不適時停止。</x:v>
      </x:c>
      <x:c r="N104" s="154" t="n">
        <x:f>LEN(G104)</x:f>
        <x:v>49</x:v>
      </x:c>
      <x:c r="O104" s="144" t="str">
        <x:v>S075</x:v>
      </x:c>
      <x:c r="P104" s="136" t="str">
        <x:v>Sports Medicine／PubMed</x:v>
      </x:c>
      <x:c r="Q104" s="136" t="str">
        <x:v>Interval training review</x:v>
      </x:c>
      <x:c r="R104" s="151" t="str">
        <x:v>https://pubmed.ncbi.nlm.nih.gov/11219499/</x:v>
      </x:c>
      <x:c r="S104" s="148" t="str">
        <x:v>2026-07-27</x:v>
      </x:c>
    </x:row>
    <x:row r="105" ht="58" customHeight="1">
      <x:c r="A105" s="143" t="str">
        <x:v>CH-101</x:v>
      </x:c>
      <x:c r="B105" s="144" t="str">
        <x:v>機會</x:v>
      </x:c>
      <x:c r="C105" s="136" t="str">
        <x:v>跑者訓練：提升成績與突破 PB</x:v>
      </x:c>
      <x:c r="D105" s="136" t="str">
        <x:v>熱身與活動度</x:v>
      </x:c>
      <x:c r="E105" s="136" t="str">
        <x:v>為當天課表做好準備</x:v>
      </x:c>
      <x:c r="F105" s="136" t="str">
        <x:v>先慢跑再做動態活動</x:v>
      </x:c>
      <x:c r="G105" s="136" t="str">
        <x:v>提高體溫後再活動關節，通常比冷身時硬拉更適合快跑前準備。
行動：先 8–15 分鐘慢跑，再做腿擺、弓箭步與踝部活動。</x:v>
      </x:c>
      <x:c r="H105" s="136" t="str">
        <x:v>先 8–15 分鐘慢跑，再做腿擺、弓箭步與踝部活動。</x:v>
      </x:c>
      <x:c r="I105" s="136" t="str">
        <x:v>品質課前</x:v>
      </x:c>
      <x:c r="J105" s="144" t="str">
        <x:v>中</x:v>
      </x:c>
      <x:c r="K105" s="144" t="str">
        <x:v>一般</x:v>
      </x:c>
      <x:c r="L105" s="136" t="str">
        <x:v>訓練值 +1</x:v>
      </x:c>
      <x:c r="M105" s="136" t="str">
        <x:v>依個人經驗、健康狀況與環境調整；不適時停止。</x:v>
      </x:c>
      <x:c r="N105" s="154" t="n">
        <x:f>LEN(G105)</x:f>
        <x:v>58</x:v>
      </x:c>
      <x:c r="O105" s="144" t="str">
        <x:v>S011</x:v>
      </x:c>
      <x:c r="P105" s="136" t="str">
        <x:v>Applied Physiology, Nutrition, and Metabolism／PubMed</x:v>
      </x:c>
      <x:c r="Q105" s="136" t="str">
        <x:v>Warm-up and stretching review</x:v>
      </x:c>
      <x:c r="R105" s="151" t="str">
        <x:v>https://pubmed.ncbi.nlm.nih.gov/26642915/</x:v>
      </x:c>
      <x:c r="S105" s="148" t="str">
        <x:v>2026-07-27</x:v>
      </x:c>
    </x:row>
    <x:row r="106" ht="58" customHeight="1">
      <x:c r="A106" s="143" t="str">
        <x:v>CH-102</x:v>
      </x:c>
      <x:c r="B106" s="144" t="str">
        <x:v>機會</x:v>
      </x:c>
      <x:c r="C106" s="136" t="str">
        <x:v>跑者訓練：提升成績與突破 PB</x:v>
      </x:c>
      <x:c r="D106" s="136" t="str">
        <x:v>熱身與活動度</x:v>
      </x:c>
      <x:c r="E106" s="136" t="str">
        <x:v>為當天課表做好準備</x:v>
      </x:c>
      <x:c r="F106" s="136" t="str">
        <x:v>熱身長度依課表調整</x:v>
      </x:c>
      <x:c r="G106" s="136" t="str">
        <x:v>速度越快、天氣越冷，通常需要更完整的準備。
行動：輕鬆跑可短，5K 比賽或間歇則加入更長慢跑與漸快段。</x:v>
      </x:c>
      <x:c r="H106" s="136" t="str">
        <x:v>輕鬆跑可短，5K 比賽或間歇則加入更長慢跑與漸快段。</x:v>
      </x:c>
      <x:c r="I106" s="136" t="str">
        <x:v>開跑前</x:v>
      </x:c>
      <x:c r="J106" s="144" t="str">
        <x:v>中</x:v>
      </x:c>
      <x:c r="K106" s="144" t="str">
        <x:v>一般</x:v>
      </x:c>
      <x:c r="L106" s="136" t="str">
        <x:v>訓練值 +1</x:v>
      </x:c>
      <x:c r="M106" s="136" t="str">
        <x:v>依個人經驗、健康狀況與環境調整；不適時停止。</x:v>
      </x:c>
      <x:c r="N106" s="154" t="n">
        <x:f>LEN(G106)</x:f>
        <x:v>51</x:v>
      </x:c>
      <x:c r="O106" s="144" t="str">
        <x:v>S011</x:v>
      </x:c>
      <x:c r="P106" s="136" t="str">
        <x:v>Applied Physiology, Nutrition, and Metabolism／PubMed</x:v>
      </x:c>
      <x:c r="Q106" s="136" t="str">
        <x:v>Warm-up and stretching review</x:v>
      </x:c>
      <x:c r="R106" s="151" t="str">
        <x:v>https://pubmed.ncbi.nlm.nih.gov/26642915/</x:v>
      </x:c>
      <x:c r="S106" s="148" t="str">
        <x:v>2026-07-27</x:v>
      </x:c>
    </x:row>
    <x:row r="107" ht="58" customHeight="1">
      <x:c r="A107" s="143" t="str">
        <x:v>CH-103</x:v>
      </x:c>
      <x:c r="B107" s="144" t="str">
        <x:v>機會</x:v>
      </x:c>
      <x:c r="C107" s="136" t="str">
        <x:v>跑者訓練：提升成績與突破 PB</x:v>
      </x:c>
      <x:c r="D107" s="136" t="str">
        <x:v>熱身與活動度</x:v>
      </x:c>
      <x:c r="E107" s="136" t="str">
        <x:v>為當天課表做好準備</x:v>
      </x:c>
      <x:c r="F107" s="136" t="str">
        <x:v>跑步操要服務目的</x:v>
      </x:c>
      <x:c r="G107" s="136" t="str">
        <x:v>高抬腿、A skip 等動作是提示工具，不是越多越好。
行動：挑 2–4 個與當日重點相關的動作，各做短距離並保持協調。</x:v>
      </x:c>
      <x:c r="H107" s="136" t="str">
        <x:v>挑 2–4 個與當日重點相關的動作，各做短距離並保持協調。</x:v>
      </x:c>
      <x:c r="I107" s="136" t="str">
        <x:v>品質課熱身</x:v>
      </x:c>
      <x:c r="J107" s="144" t="str">
        <x:v>中</x:v>
      </x:c>
      <x:c r="K107" s="144" t="str">
        <x:v>一般</x:v>
      </x:c>
      <x:c r="L107" s="136" t="str">
        <x:v>訓練值 +1</x:v>
      </x:c>
      <x:c r="M107" s="136" t="str">
        <x:v>依個人經驗、健康狀況與環境調整；不適時停止。</x:v>
      </x:c>
      <x:c r="N107" s="154" t="n">
        <x:f>LEN(G107)</x:f>
        <x:v>60</x:v>
      </x:c>
      <x:c r="O107" s="144" t="str">
        <x:v>S011</x:v>
      </x:c>
      <x:c r="P107" s="136" t="str">
        <x:v>Applied Physiology, Nutrition, and Metabolism／PubMed</x:v>
      </x:c>
      <x:c r="Q107" s="136" t="str">
        <x:v>Warm-up and stretching review</x:v>
      </x:c>
      <x:c r="R107" s="151" t="str">
        <x:v>https://pubmed.ncbi.nlm.nih.gov/26642915/</x:v>
      </x:c>
      <x:c r="S107" s="148" t="str">
        <x:v>2026-07-27</x:v>
      </x:c>
    </x:row>
    <x:row r="108" ht="58" customHeight="1">
      <x:c r="A108" s="143" t="str">
        <x:v>CH-104</x:v>
      </x:c>
      <x:c r="B108" s="144" t="str">
        <x:v>機會</x:v>
      </x:c>
      <x:c r="C108" s="136" t="str">
        <x:v>跑者訓練：提升成績與突破 PB</x:v>
      </x:c>
      <x:c r="D108" s="136" t="str">
        <x:v>熱身與活動度</x:v>
      </x:c>
      <x:c r="E108" s="136" t="str">
        <x:v>為當天課表做好準備</x:v>
      </x:c>
      <x:c r="F108" s="136" t="str">
        <x:v>加速跑連接熱身與主課</x:v>
      </x:c>
      <x:c r="G108" s="136" t="str">
        <x:v>漸快短段能讓呼吸、步頻與神經進入工作速度。
行動：做 3–5 次 15–20 秒漸快跑，段間完整恢復。</x:v>
      </x:c>
      <x:c r="H108" s="136" t="str">
        <x:v>做 3–5 次 15–20 秒漸快跑，段間完整恢復。</x:v>
      </x:c>
      <x:c r="I108" s="136" t="str">
        <x:v>間歇或比賽前</x:v>
      </x:c>
      <x:c r="J108" s="144" t="str">
        <x:v>中</x:v>
      </x:c>
      <x:c r="K108" s="144" t="str">
        <x:v>一般</x:v>
      </x:c>
      <x:c r="L108" s="136" t="str">
        <x:v>訓練值 +1</x:v>
      </x:c>
      <x:c r="M108" s="136" t="str">
        <x:v>依個人經驗、健康狀況與環境調整；不適時停止。</x:v>
      </x:c>
      <x:c r="N108" s="154" t="n">
        <x:f>LEN(G108)</x:f>
        <x:v>51</x:v>
      </x:c>
      <x:c r="O108" s="144" t="str">
        <x:v>S011</x:v>
      </x:c>
      <x:c r="P108" s="136" t="str">
        <x:v>Applied Physiology, Nutrition, and Metabolism／PubMed</x:v>
      </x:c>
      <x:c r="Q108" s="136" t="str">
        <x:v>Warm-up and stretching review</x:v>
      </x:c>
      <x:c r="R108" s="151" t="str">
        <x:v>https://pubmed.ncbi.nlm.nih.gov/26642915/</x:v>
      </x:c>
      <x:c r="S108" s="148" t="str">
        <x:v>2026-07-27</x:v>
      </x:c>
    </x:row>
    <x:row r="109" ht="58" customHeight="1">
      <x:c r="A109" s="143" t="str">
        <x:v>CH-105</x:v>
      </x:c>
      <x:c r="B109" s="144" t="str">
        <x:v>機會</x:v>
      </x:c>
      <x:c r="C109" s="136" t="str">
        <x:v>跑者訓練：提升成績與突破 PB</x:v>
      </x:c>
      <x:c r="D109" s="136" t="str">
        <x:v>熱身與活動度</x:v>
      </x:c>
      <x:c r="E109" s="136" t="str">
        <x:v>為當天課表做好準備</x:v>
      </x:c>
      <x:c r="F109" s="136" t="str">
        <x:v>長時間靜態伸展別放在爆發前</x:v>
      </x:c>
      <x:c r="G109" s="136" t="str">
        <x:v>在快跑前做大量長時間靜態伸展，可能暫時降低力量輸出。
行動：若個人需要，短暫伸展後仍加入動態活動與加速跑。</x:v>
      </x:c>
      <x:c r="H109" s="136" t="str">
        <x:v>若個人需要，短暫伸展後仍加入動態活動與加速跑。</x:v>
      </x:c>
      <x:c r="I109" s="136" t="str">
        <x:v>速度課前</x:v>
      </x:c>
      <x:c r="J109" s="144" t="str">
        <x:v>中</x:v>
      </x:c>
      <x:c r="K109" s="144" t="str">
        <x:v>一般</x:v>
      </x:c>
      <x:c r="L109" s="136" t="str">
        <x:v>訓練值 +1</x:v>
      </x:c>
      <x:c r="M109" s="136" t="str">
        <x:v>依個人經驗、健康狀況與環境調整；不適時停止。</x:v>
      </x:c>
      <x:c r="N109" s="154" t="n">
        <x:f>LEN(G109)</x:f>
        <x:v>53</x:v>
      </x:c>
      <x:c r="O109" s="144" t="str">
        <x:v>S011</x:v>
      </x:c>
      <x:c r="P109" s="136" t="str">
        <x:v>Applied Physiology, Nutrition, and Metabolism／PubMed</x:v>
      </x:c>
      <x:c r="Q109" s="136" t="str">
        <x:v>Warm-up and stretching review</x:v>
      </x:c>
      <x:c r="R109" s="151" t="str">
        <x:v>https://pubmed.ncbi.nlm.nih.gov/26642915/</x:v>
      </x:c>
      <x:c r="S109" s="148" t="str">
        <x:v>2026-07-27</x:v>
      </x:c>
    </x:row>
    <x:row r="110" ht="58" customHeight="1">
      <x:c r="A110" s="143" t="str">
        <x:v>CH-106</x:v>
      </x:c>
      <x:c r="B110" s="144" t="str">
        <x:v>機會</x:v>
      </x:c>
      <x:c r="C110" s="136" t="str">
        <x:v>跑者訓練：提升成績與突破 PB</x:v>
      </x:c>
      <x:c r="D110" s="136" t="str">
        <x:v>熱身與活動度</x:v>
      </x:c>
      <x:c r="E110" s="136" t="str">
        <x:v>為當天課表做好準備</x:v>
      </x:c>
      <x:c r="F110" s="136" t="str">
        <x:v>冷天多穿一層熱身</x:v>
      </x:c>
      <x:c r="G110" s="136" t="str">
        <x:v>低溫下肌肉升溫較慢，站著等候又會迅速冷掉。
行動：穿可脫式外層，熱身後盡量縮短等待時間。</x:v>
      </x:c>
      <x:c r="H110" s="136" t="str">
        <x:v>穿可脫式外層，熱身後盡量縮短等待時間。</x:v>
      </x:c>
      <x:c r="I110" s="136" t="str">
        <x:v>冬季賽前</x:v>
      </x:c>
      <x:c r="J110" s="144" t="str">
        <x:v>中</x:v>
      </x:c>
      <x:c r="K110" s="144" t="str">
        <x:v>一般</x:v>
      </x:c>
      <x:c r="L110" s="136" t="str">
        <x:v>訓練值 +1</x:v>
      </x:c>
      <x:c r="M110" s="136" t="str">
        <x:v>依個人經驗、健康狀況與環境調整；不適時停止。</x:v>
      </x:c>
      <x:c r="N110" s="154" t="n">
        <x:f>LEN(G110)</x:f>
        <x:v>44</x:v>
      </x:c>
      <x:c r="O110" s="144" t="str">
        <x:v>S018</x:v>
      </x:c>
      <x:c r="P110" s="136" t="str">
        <x:v>國際奧會（IOC）／BJSM</x:v>
      </x:c>
      <x:c r="Q110" s="136" t="str">
        <x:v>Consensus on thermoregulatory and altitude challenges</x:v>
      </x:c>
      <x:c r="R110" s="151" t="str">
        <x:v>https://bjsm.bmj.com/content/57/1/8</x:v>
      </x:c>
      <x:c r="S110" s="148" t="str">
        <x:v>2026-07-27</x:v>
      </x:c>
    </x:row>
    <x:row r="111" ht="58" customHeight="1">
      <x:c r="A111" s="143" t="str">
        <x:v>CH-107</x:v>
      </x:c>
      <x:c r="B111" s="144" t="str">
        <x:v>機會</x:v>
      </x:c>
      <x:c r="C111" s="136" t="str">
        <x:v>跑者訓練：提升成績與突破 PB</x:v>
      </x:c>
      <x:c r="D111" s="136" t="str">
        <x:v>熱身與活動度</x:v>
      </x:c>
      <x:c r="E111" s="136" t="str">
        <x:v>為當天課表做好準備</x:v>
      </x:c>
      <x:c r="F111" s="136" t="str">
        <x:v>收操重點是逐步降下來</x:v>
      </x:c>
      <x:c r="G111" s="136" t="str">
        <x:v>慢走或慢跑可讓呼吸與循環平穩，並提供身體檢查時間。
行動：主課後以 5–15 分鐘低強度移動結束，再補水與進食。</x:v>
      </x:c>
      <x:c r="H111" s="136" t="str">
        <x:v>主課後以 5–15 分鐘低強度移動結束，再補水與進食。</x:v>
      </x:c>
      <x:c r="I111" s="136" t="str">
        <x:v>品質課後</x:v>
      </x:c>
      <x:c r="J111" s="144" t="str">
        <x:v>中</x:v>
      </x:c>
      <x:c r="K111" s="144" t="str">
        <x:v>一般</x:v>
      </x:c>
      <x:c r="L111" s="136" t="str">
        <x:v>訓練值 +1</x:v>
      </x:c>
      <x:c r="M111" s="136" t="str">
        <x:v>依個人經驗、健康狀況與環境調整；不適時停止。</x:v>
      </x:c>
      <x:c r="N111" s="154" t="n">
        <x:f>LEN(G111)</x:f>
        <x:v>56</x:v>
      </x:c>
      <x:c r="O111" s="144" t="str">
        <x:v>S011</x:v>
      </x:c>
      <x:c r="P111" s="136" t="str">
        <x:v>Applied Physiology, Nutrition, and Metabolism／PubMed</x:v>
      </x:c>
      <x:c r="Q111" s="136" t="str">
        <x:v>Warm-up and stretching review</x:v>
      </x:c>
      <x:c r="R111" s="151" t="str">
        <x:v>https://pubmed.ncbi.nlm.nih.gov/26642915/</x:v>
      </x:c>
      <x:c r="S111" s="148" t="str">
        <x:v>2026-07-27</x:v>
      </x:c>
    </x:row>
    <x:row r="112" ht="58" customHeight="1">
      <x:c r="A112" s="143" t="str">
        <x:v>CH-108</x:v>
      </x:c>
      <x:c r="B112" s="144" t="str">
        <x:v>機會</x:v>
      </x:c>
      <x:c r="C112" s="136" t="str">
        <x:v>跑者訓練：提升成績與突破 PB</x:v>
      </x:c>
      <x:c r="D112" s="136" t="str">
        <x:v>熱身與活動度</x:v>
      </x:c>
      <x:c r="E112" s="136" t="str">
        <x:v>為當天課表做好準備</x:v>
      </x:c>
      <x:c r="F112" s="136" t="str">
        <x:v>活動度要針對限制</x:v>
      </x:c>
      <x:c r="G112" s="136" t="str">
        <x:v>追求極大柔軟度不一定改善跑步；真正限制動作的部位才需介入。
行動：用簡單測試找出踝、髖或胸椎限制，少量持續練習。</x:v>
      </x:c>
      <x:c r="H112" s="136" t="str">
        <x:v>用簡單測試找出踝、髖或胸椎限制，少量持續練習。</x:v>
      </x:c>
      <x:c r="I112" s="136" t="str">
        <x:v>非跑步日</x:v>
      </x:c>
      <x:c r="J112" s="144" t="str">
        <x:v>中</x:v>
      </x:c>
      <x:c r="K112" s="144" t="str">
        <x:v>一般</x:v>
      </x:c>
      <x:c r="L112" s="136" t="str">
        <x:v>訓練值 +1</x:v>
      </x:c>
      <x:c r="M112" s="136" t="str">
        <x:v>依個人經驗、健康狀況與環境調整；不適時停止。</x:v>
      </x:c>
      <x:c r="N112" s="154" t="n">
        <x:f>LEN(G112)</x:f>
        <x:v>56</x:v>
      </x:c>
      <x:c r="O112" s="144" t="str">
        <x:v>S011</x:v>
      </x:c>
      <x:c r="P112" s="136" t="str">
        <x:v>Applied Physiology, Nutrition, and Metabolism／PubMed</x:v>
      </x:c>
      <x:c r="Q112" s="136" t="str">
        <x:v>Warm-up and stretching review</x:v>
      </x:c>
      <x:c r="R112" s="151" t="str">
        <x:v>https://pubmed.ncbi.nlm.nih.gov/26642915/</x:v>
      </x:c>
      <x:c r="S112" s="148" t="str">
        <x:v>2026-07-27</x:v>
      </x:c>
    </x:row>
    <x:row r="113" ht="58" customHeight="1">
      <x:c r="A113" s="143" t="str">
        <x:v>CH-109</x:v>
      </x:c>
      <x:c r="B113" s="144" t="str">
        <x:v>機會</x:v>
      </x:c>
      <x:c r="C113" s="136" t="str">
        <x:v>跑者訓練：提升成績與突破 PB</x:v>
      </x:c>
      <x:c r="D113" s="136" t="str">
        <x:v>熱身與活動度</x:v>
      </x:c>
      <x:c r="E113" s="136" t="str">
        <x:v>為當天課表做好準備</x:v>
      </x:c>
      <x:c r="F113" s="136" t="str">
        <x:v>滾筒是選配，不是修復按鈕</x:v>
      </x:c>
      <x:c r="G113" s="136" t="str">
        <x:v>滾筒可能短暫改善舒適度或活動度，但不能取代睡眠與負荷管理。
行動：每部位 30–90 秒，以可忍受壓力進行，不壓骨頭與急性傷處。</x:v>
      </x:c>
      <x:c r="H113" s="136" t="str">
        <x:v>每部位 30–90 秒，以可忍受壓力進行，不壓骨頭與急性傷處。</x:v>
      </x:c>
      <x:c r="I113" s="136" t="str">
        <x:v>恢復或熱身</x:v>
      </x:c>
      <x:c r="J113" s="144" t="str">
        <x:v>中</x:v>
      </x:c>
      <x:c r="K113" s="144" t="str">
        <x:v>留意</x:v>
      </x:c>
      <x:c r="L113" s="136" t="str">
        <x:v>完成安全調整：訓練值 +1；健康值 +1</x:v>
      </x:c>
      <x:c r="M113" s="136" t="str">
        <x:v>依個人經驗、健康狀況與環境調整；不適時停止。</x:v>
      </x:c>
      <x:c r="N113" s="154" t="n">
        <x:f>LEN(G113)</x:f>
        <x:v>64</x:v>
      </x:c>
      <x:c r="O113" s="144" t="str">
        <x:v>S055</x:v>
      </x:c>
      <x:c r="P113" s="136" t="str">
        <x:v>Medicine &amp; Science in Sports &amp; Exercise／PubMed</x:v>
      </x:c>
      <x:c r="Q113" s="136" t="str">
        <x:v>Foam rolling and recovery</x:v>
      </x:c>
      <x:c r="R113" s="151" t="str">
        <x:v>https://pubmed.ncbi.nlm.nih.gov/24343353/</x:v>
      </x:c>
      <x:c r="S113" s="148" t="str">
        <x:v>2026-07-27</x:v>
      </x:c>
    </x:row>
    <x:row r="114" ht="58" customHeight="1">
      <x:c r="A114" s="143" t="str">
        <x:v>CH-110</x:v>
      </x:c>
      <x:c r="B114" s="144" t="str">
        <x:v>機會</x:v>
      </x:c>
      <x:c r="C114" s="136" t="str">
        <x:v>跑者訓練：提升成績與突破 PB</x:v>
      </x:c>
      <x:c r="D114" s="136" t="str">
        <x:v>熱身與活動度</x:v>
      </x:c>
      <x:c r="E114" s="136" t="str">
        <x:v>為當天課表做好準備</x:v>
      </x:c>
      <x:c r="F114" s="136" t="str">
        <x:v>比賽熱身先彩排</x:v>
      </x:c>
      <x:c r="G114" s="136" t="str">
        <x:v>賽場廁所、寄物與起跑等待會改變可用時間。
行動：在訓練測驗中完整演練熱身流程，準備短版與長版。</x:v>
      </x:c>
      <x:c r="H114" s="136" t="str">
        <x:v>在訓練測驗中完整演練熱身流程，準備短版與長版。</x:v>
      </x:c>
      <x:c r="I114" s="136" t="str">
        <x:v>賽前 2–4 週</x:v>
      </x:c>
      <x:c r="J114" s="144" t="str">
        <x:v>中</x:v>
      </x:c>
      <x:c r="K114" s="144" t="str">
        <x:v>一般</x:v>
      </x:c>
      <x:c r="L114" s="136" t="str">
        <x:v>訓練值 +1</x:v>
      </x:c>
      <x:c r="M114" s="136" t="str">
        <x:v>依個人經驗、健康狀況與環境調整；不適時停止。</x:v>
      </x:c>
      <x:c r="N114" s="154" t="n">
        <x:f>LEN(G114)</x:f>
        <x:v>47</x:v>
      </x:c>
      <x:c r="O114" s="144" t="str">
        <x:v>S039</x:v>
      </x:c>
      <x:c r="P114" s="136" t="str">
        <x:v>World Athletics</x:v>
      </x:c>
      <x:c r="Q114" s="136" t="str">
        <x:v>Competition Medical Guidelines</x:v>
      </x:c>
      <x:c r="R114" s="151" t="str">
        <x:v>https://worldathletics.org/download/download?filename=a20d107f-c682-48be-8c54-b4c3764de329.pdf&amp;urlslug=World+Athletics+Competition+Medical+Guidelines+-+October+2020+Second+Edition</x:v>
      </x:c>
      <x:c r="S114" s="148" t="str">
        <x:v>2026-07-27</x:v>
      </x:c>
    </x:row>
    <x:row r="115" ht="58" customHeight="1">
      <x:c r="A115" s="143" t="str">
        <x:v>CH-111</x:v>
      </x:c>
      <x:c r="B115" s="144" t="str">
        <x:v>機會</x:v>
      </x:c>
      <x:c r="C115" s="136" t="str">
        <x:v>跑者訓練：提升成績與突破 PB</x:v>
      </x:c>
      <x:c r="D115" s="136" t="str">
        <x:v>配速與減量</x:v>
      </x:c>
      <x:c r="E115" s="136" t="str">
        <x:v>把體能換成比賽成績</x:v>
      </x:c>
      <x:c r="F115" s="136" t="str">
        <x:v>前段保守才有負分段機會</x:v>
      </x:c>
      <x:c r="G115" s="136" t="str">
        <x:v>多數長距離賽事開太快的代價，會在後段成倍出現。
行動：前 10–20% 稍低於目標用力感，穩定後再靠近計畫配速。</x:v>
      </x:c>
      <x:c r="H115" s="136" t="str">
        <x:v>前 10–20% 稍低於目標用力感，穩定後再靠近計畫配速。</x:v>
      </x:c>
      <x:c r="I115" s="136" t="str">
        <x:v>比賽起跑</x:v>
      </x:c>
      <x:c r="J115" s="144" t="str">
        <x:v>高</x:v>
      </x:c>
      <x:c r="K115" s="144" t="str">
        <x:v>一般</x:v>
      </x:c>
      <x:c r="L115" s="136" t="str">
        <x:v>訓練值 +2；PB 點數 +1</x:v>
      </x:c>
      <x:c r="M115" s="136" t="str">
        <x:v>依個人經驗、健康狀況與環境調整；不適時停止。</x:v>
      </x:c>
      <x:c r="N115" s="154" t="n">
        <x:f>LEN(G115)</x:f>
        <x:v>56</x:v>
      </x:c>
      <x:c r="O115" s="144" t="str">
        <x:v>S053</x:v>
      </x:c>
      <x:c r="P115" s="136" t="str">
        <x:v>Journal of Science and Medicine in Sport／PubMed</x:v>
      </x:c>
      <x:c r="Q115" s="136" t="str">
        <x:v>Training characteristics and marathon performance</x:v>
      </x:c>
      <x:c r="R115" s="151" t="str">
        <x:v>https://pubmed.ncbi.nlm.nih.gov/32421886/</x:v>
      </x:c>
      <x:c r="S115" s="148" t="str">
        <x:v>2026-07-27</x:v>
      </x:c>
    </x:row>
    <x:row r="116" ht="58" customHeight="1">
      <x:c r="A116" s="143" t="str">
        <x:v>CH-112</x:v>
      </x:c>
      <x:c r="B116" s="144" t="str">
        <x:v>機會</x:v>
      </x:c>
      <x:c r="C116" s="136" t="str">
        <x:v>跑者訓練：提升成績與突破 PB</x:v>
      </x:c>
      <x:c r="D116" s="136" t="str">
        <x:v>配速與減量</x:v>
      </x:c>
      <x:c r="E116" s="136" t="str">
        <x:v>把體能換成比賽成績</x:v>
      </x:c>
      <x:c r="F116" s="136" t="str">
        <x:v>第一公里別被人群拖走</x:v>
      </x:c>
      <x:c r="G116" s="136" t="str">
        <x:v>腎上腺素與跟跑會掩蓋用力感，開局常比想像快。
行動：先看錶或呼吸，讓別人超過；等節奏穩定再調整位置。</x:v>
      </x:c>
      <x:c r="H116" s="136" t="str">
        <x:v>先看錶或呼吸，讓別人超過；等節奏穩定再調整位置。</x:v>
      </x:c>
      <x:c r="I116" s="136" t="str">
        <x:v>5K 至全馬</x:v>
      </x:c>
      <x:c r="J116" s="144" t="str">
        <x:v>中</x:v>
      </x:c>
      <x:c r="K116" s="144" t="str">
        <x:v>一般</x:v>
      </x:c>
      <x:c r="L116" s="136" t="str">
        <x:v>訓練值 +1</x:v>
      </x:c>
      <x:c r="M116" s="136" t="str">
        <x:v>依個人經驗、健康狀況與環境調整；不適時停止。</x:v>
      </x:c>
      <x:c r="N116" s="154" t="n">
        <x:f>LEN(G116)</x:f>
        <x:v>50</x:v>
      </x:c>
      <x:c r="O116" s="144" t="str">
        <x:v>S020</x:v>
      </x:c>
      <x:c r="P116" s="136" t="str">
        <x:v>Sports Medicine／PubMed</x:v>
      </x:c>
      <x:c r="Q116" s="136" t="str">
        <x:v>Psychological determinants of endurance performance</x:v>
      </x:c>
      <x:c r="R116" s="151" t="str">
        <x:v>https://pubmed.ncbi.nlm.nih.gov/25771784/</x:v>
      </x:c>
      <x:c r="S116" s="148" t="str">
        <x:v>2026-07-27</x:v>
      </x:c>
    </x:row>
    <x:row r="117" ht="58" customHeight="1">
      <x:c r="A117" s="143" t="str">
        <x:v>CH-113</x:v>
      </x:c>
      <x:c r="B117" s="144" t="str">
        <x:v>機會</x:v>
      </x:c>
      <x:c r="C117" s="136" t="str">
        <x:v>跑者訓練：提升成績與突破 PB</x:v>
      </x:c>
      <x:c r="D117" s="136" t="str">
        <x:v>配速與減量</x:v>
      </x:c>
      <x:c r="E117" s="136" t="str">
        <x:v>把體能換成比賽成績</x:v>
      </x:c>
      <x:c r="F117" s="136" t="str">
        <x:v>把坡與風寫進配速表</x:v>
      </x:c>
      <x:c r="G117" s="136" t="str">
        <x:v>同一秒數在逆風或上坡代表更高能耗。
行動：以等努力通過困難段，在順風或下坡自然回收，不急著補秒。</x:v>
      </x:c>
      <x:c r="H117" s="136" t="str">
        <x:v>以等努力通過困難段，在順風或下坡自然回收，不急著補秒。</x:v>
      </x:c>
      <x:c r="I117" s="136" t="str">
        <x:v>賽道規劃</x:v>
      </x:c>
      <x:c r="J117" s="144" t="str">
        <x:v>中</x:v>
      </x:c>
      <x:c r="K117" s="144" t="str">
        <x:v>一般</x:v>
      </x:c>
      <x:c r="L117" s="136" t="str">
        <x:v>訓練值 +1</x:v>
      </x:c>
      <x:c r="M117" s="136" t="str">
        <x:v>依個人經驗、健康狀況與環境調整；不適時停止。</x:v>
      </x:c>
      <x:c r="N117" s="154" t="n">
        <x:f>LEN(G117)</x:f>
        <x:v>48</x:v>
      </x:c>
      <x:c r="O117" s="144" t="str">
        <x:v>S018</x:v>
      </x:c>
      <x:c r="P117" s="136" t="str">
        <x:v>國際奧會（IOC）／BJSM</x:v>
      </x:c>
      <x:c r="Q117" s="136" t="str">
        <x:v>Consensus on thermoregulatory and altitude challenges</x:v>
      </x:c>
      <x:c r="R117" s="151" t="str">
        <x:v>https://bjsm.bmj.com/content/57/1/8</x:v>
      </x:c>
      <x:c r="S117" s="148" t="str">
        <x:v>2026-07-27</x:v>
      </x:c>
    </x:row>
    <x:row r="118" ht="58" customHeight="1">
      <x:c r="A118" s="143" t="str">
        <x:v>CH-114</x:v>
      </x:c>
      <x:c r="B118" s="144" t="str">
        <x:v>機會</x:v>
      </x:c>
      <x:c r="C118" s="136" t="str">
        <x:v>跑者訓練：提升成績與突破 PB</x:v>
      </x:c>
      <x:c r="D118" s="136" t="str">
        <x:v>配速與減量</x:v>
      </x:c>
      <x:c r="E118" s="136" t="str">
        <x:v>把體能換成比賽成績</x:v>
      </x:c>
      <x:c r="F118" s="136" t="str">
        <x:v>逆風可跟跑但保持安全</x:v>
      </x:c>
      <x:c r="G118" s="136" t="str">
        <x:v>合法跟跑可降低風阻，但貼太近會影響視線與補給。
行動：保持反應距離，不突然切線，輪流帶風需先溝通。</x:v>
      </x:c>
      <x:c r="H118" s="136" t="str">
        <x:v>保持反應距離，不突然切線，輪流帶風需先溝通。</x:v>
      </x:c>
      <x:c r="I118" s="136" t="str">
        <x:v>風大賽事</x:v>
      </x:c>
      <x:c r="J118" s="144" t="str">
        <x:v>中</x:v>
      </x:c>
      <x:c r="K118" s="144" t="str">
        <x:v>一般</x:v>
      </x:c>
      <x:c r="L118" s="136" t="str">
        <x:v>訓練值 +1</x:v>
      </x:c>
      <x:c r="M118" s="136" t="str">
        <x:v>依個人經驗、健康狀況與環境調整；不適時停止。</x:v>
      </x:c>
      <x:c r="N118" s="154" t="n">
        <x:f>LEN(G118)</x:f>
        <x:v>49</x:v>
      </x:c>
      <x:c r="O118" s="144" t="str">
        <x:v>S018</x:v>
      </x:c>
      <x:c r="P118" s="136" t="str">
        <x:v>國際奧會（IOC）／BJSM</x:v>
      </x:c>
      <x:c r="Q118" s="136" t="str">
        <x:v>Consensus on thermoregulatory and altitude challenges</x:v>
      </x:c>
      <x:c r="R118" s="151" t="str">
        <x:v>https://bjsm.bmj.com/content/57/1/8</x:v>
      </x:c>
      <x:c r="S118" s="148" t="str">
        <x:v>2026-07-27</x:v>
      </x:c>
    </x:row>
    <x:row r="119" ht="58" customHeight="1">
      <x:c r="A119" s="143" t="str">
        <x:v>CH-115</x:v>
      </x:c>
      <x:c r="B119" s="144" t="str">
        <x:v>機會</x:v>
      </x:c>
      <x:c r="C119" s="136" t="str">
        <x:v>跑者訓練：提升成績與突破 PB</x:v>
      </x:c>
      <x:c r="D119" s="136" t="str">
        <x:v>配速與減量</x:v>
      </x:c>
      <x:c r="E119" s="136" t="str">
        <x:v>把體能換成比賽成績</x:v>
      </x:c>
      <x:c r="F119" s="136" t="str">
        <x:v>後段用體感校正目標</x:v>
      </x:c>
      <x:c r="G119" s="136" t="str">
        <x:v>天候、腸胃與當天狀態可能使原配速不再合理。
行動：依呼吸、步態與補給反應調整，寧可小幅降速也不要一次崩盤。</x:v>
      </x:c>
      <x:c r="H119" s="136" t="str">
        <x:v>依呼吸、步態與補給反應調整，寧可小幅降速也不要一次崩盤。</x:v>
      </x:c>
      <x:c r="I119" s="136" t="str">
        <x:v>比賽後半</x:v>
      </x:c>
      <x:c r="J119" s="144" t="str">
        <x:v>中</x:v>
      </x:c>
      <x:c r="K119" s="144" t="str">
        <x:v>一般</x:v>
      </x:c>
      <x:c r="L119" s="136" t="str">
        <x:v>訓練值 +1</x:v>
      </x:c>
      <x:c r="M119" s="136" t="str">
        <x:v>依個人經驗、健康狀況與環境調整；不適時停止。</x:v>
      </x:c>
      <x:c r="N119" s="154" t="n">
        <x:f>LEN(G119)</x:f>
        <x:v>53</x:v>
      </x:c>
      <x:c r="O119" s="144" t="str">
        <x:v>S019</x:v>
      </x:c>
      <x:c r="P119" s="136" t="str">
        <x:v>Sports Medicine／PubMed</x:v>
      </x:c>
      <x:c r="Q119" s="136" t="str">
        <x:v>Session RPE systematic review</x:v>
      </x:c>
      <x:c r="R119" s="151" t="str">
        <x:v>https://pubmed.ncbi.nlm.nih.gov/36361320/</x:v>
      </x:c>
      <x:c r="S119" s="148" t="str">
        <x:v>2026-07-27</x:v>
      </x:c>
    </x:row>
    <x:row r="120" ht="58" customHeight="1">
      <x:c r="A120" s="143" t="str">
        <x:v>CH-116</x:v>
      </x:c>
      <x:c r="B120" s="144" t="str">
        <x:v>機會</x:v>
      </x:c>
      <x:c r="C120" s="136" t="str">
        <x:v>跑者訓練：提升成績與突破 PB</x:v>
      </x:c>
      <x:c r="D120" s="136" t="str">
        <x:v>配速與減量</x:v>
      </x:c>
      <x:c r="E120" s="136" t="str">
        <x:v>把體能換成比賽成績</x:v>
      </x:c>
      <x:c r="F120" s="136" t="str">
        <x:v>減量是減總量、非完全停跑</x:v>
      </x:c>
      <x:c r="G120" s="136" t="str">
        <x:v>賽前降低里程並保留少量強度，通常有助於消除疲勞又維持腿感。
行動：逐步減少總量與長跑，短品質段保持熟悉但不造成痠痛。</x:v>
      </x:c>
      <x:c r="H120" s="136" t="str">
        <x:v>逐步減少總量與長跑，短品質段保持熟悉但不造成痠痛。</x:v>
      </x:c>
      <x:c r="I120" s="136" t="str">
        <x:v>賽前 1–3 週</x:v>
      </x:c>
      <x:c r="J120" s="144" t="str">
        <x:v>高</x:v>
      </x:c>
      <x:c r="K120" s="144" t="str">
        <x:v>一般</x:v>
      </x:c>
      <x:c r="L120" s="136" t="str">
        <x:v>訓練值 +2；PB 點數 +1</x:v>
      </x:c>
      <x:c r="M120" s="136" t="str">
        <x:v>依個人經驗、健康狀況與環境調整；不適時停止。</x:v>
      </x:c>
      <x:c r="N120" s="154" t="n">
        <x:f>LEN(G120)</x:f>
        <x:v>58</x:v>
      </x:c>
      <x:c r="O120" s="144" t="str">
        <x:v>S010</x:v>
      </x:c>
      <x:c r="P120" s="136" t="str">
        <x:v>Sports Medicine／PubMed</x:v>
      </x:c>
      <x:c r="Q120" s="136" t="str">
        <x:v>Tapering and endurance performance meta-analysis</x:v>
      </x:c>
      <x:c r="R120" s="151" t="str">
        <x:v>https://pubmed.ncbi.nlm.nih.gov/37163550/</x:v>
      </x:c>
      <x:c r="S120" s="148" t="str">
        <x:v>2026-07-27</x:v>
      </x:c>
    </x:row>
    <x:row r="121" ht="58" customHeight="1">
      <x:c r="A121" s="143" t="str">
        <x:v>CH-117</x:v>
      </x:c>
      <x:c r="B121" s="144" t="str">
        <x:v>機會</x:v>
      </x:c>
      <x:c r="C121" s="136" t="str">
        <x:v>跑者訓練：提升成績與突破 PB</x:v>
      </x:c>
      <x:c r="D121" s="136" t="str">
        <x:v>配速與減量</x:v>
      </x:c>
      <x:c r="E121" s="136" t="str">
        <x:v>把體能換成比賽成績</x:v>
      </x:c>
      <x:c r="F121" s="136" t="str">
        <x:v>減量期不要補欠課</x:v>
      </x:c>
      <x:c r="G121" s="136" t="str">
        <x:v>最後幾天的額外訓練無法快速增加體能，卻可能留下疲勞。
行動：把錯過的課放下，專注睡眠、補給與熟悉節奏。</x:v>
      </x:c>
      <x:c r="H121" s="136" t="str">
        <x:v>把錯過的課放下，專注睡眠、補給與熟悉節奏。</x:v>
      </x:c>
      <x:c r="I121" s="136" t="str">
        <x:v>賽前一週</x:v>
      </x:c>
      <x:c r="J121" s="144" t="str">
        <x:v>高</x:v>
      </x:c>
      <x:c r="K121" s="144" t="str">
        <x:v>一般</x:v>
      </x:c>
      <x:c r="L121" s="136" t="str">
        <x:v>訓練值 +2；PB 點數 +1</x:v>
      </x:c>
      <x:c r="M121" s="136" t="str">
        <x:v>依個人經驗、健康狀況與環境調整；不適時停止。</x:v>
      </x:c>
      <x:c r="N121" s="154" t="n">
        <x:f>LEN(G121)</x:f>
        <x:v>51</x:v>
      </x:c>
      <x:c r="O121" s="144" t="str">
        <x:v>S010</x:v>
      </x:c>
      <x:c r="P121" s="136" t="str">
        <x:v>Sports Medicine／PubMed</x:v>
      </x:c>
      <x:c r="Q121" s="136" t="str">
        <x:v>Tapering and endurance performance meta-analysis</x:v>
      </x:c>
      <x:c r="R121" s="151" t="str">
        <x:v>https://pubmed.ncbi.nlm.nih.gov/37163550/</x:v>
      </x:c>
      <x:c r="S121" s="148" t="str">
        <x:v>2026-07-27</x:v>
      </x:c>
    </x:row>
    <x:row r="122" ht="58" customHeight="1">
      <x:c r="A122" s="143" t="str">
        <x:v>CH-118</x:v>
      </x:c>
      <x:c r="B122" s="144" t="str">
        <x:v>機會</x:v>
      </x:c>
      <x:c r="C122" s="136" t="str">
        <x:v>跑者訓練：提升成績與突破 PB</x:v>
      </x:c>
      <x:c r="D122" s="136" t="str">
        <x:v>配速與減量</x:v>
      </x:c>
      <x:c r="E122" s="136" t="str">
        <x:v>把體能換成比賽成績</x:v>
      </x:c>
      <x:c r="F122" s="136" t="str">
        <x:v>裝備彩排要完整</x:v>
      </x:c>
      <x:c r="G122" s="136" t="str">
        <x:v>鞋、襪、衣物、號碼布、補給與攜帶方式需一起測試。
行動：至少在一堂長跑或比賽配速課中全套使用。</x:v>
      </x:c>
      <x:c r="H122" s="136" t="str">
        <x:v>至少在一堂長跑或比賽配速課中全套使用。</x:v>
      </x:c>
      <x:c r="I122" s="136" t="str">
        <x:v>賽前 2–6 週</x:v>
      </x:c>
      <x:c r="J122" s="144" t="str">
        <x:v>中</x:v>
      </x:c>
      <x:c r="K122" s="144" t="str">
        <x:v>一般</x:v>
      </x:c>
      <x:c r="L122" s="136" t="str">
        <x:v>訓練值 +1</x:v>
      </x:c>
      <x:c r="M122" s="136" t="str">
        <x:v>依個人經驗、健康狀況與環境調整；不適時停止。</x:v>
      </x:c>
      <x:c r="N122" s="154" t="n">
        <x:f>LEN(G122)</x:f>
        <x:v>47</x:v>
      </x:c>
      <x:c r="O122" s="144" t="str">
        <x:v>S039</x:v>
      </x:c>
      <x:c r="P122" s="136" t="str">
        <x:v>World Athletics</x:v>
      </x:c>
      <x:c r="Q122" s="136" t="str">
        <x:v>Competition Medical Guidelines</x:v>
      </x:c>
      <x:c r="R122" s="151" t="str">
        <x:v>https://worldathletics.org/download/download?filename=a20d107f-c682-48be-8c54-b4c3764de329.pdf&amp;urlslug=World+Athletics+Competition+Medical+Guidelines+-+October+2020+Second+Edition</x:v>
      </x:c>
      <x:c r="S122" s="148" t="str">
        <x:v>2026-07-27</x:v>
      </x:c>
    </x:row>
    <x:row r="123" ht="58" customHeight="1">
      <x:c r="A123" s="143" t="str">
        <x:v>CH-119</x:v>
      </x:c>
      <x:c r="B123" s="144" t="str">
        <x:v>機會</x:v>
      </x:c>
      <x:c r="C123" s="136" t="str">
        <x:v>跑者訓練：提升成績與突破 PB</x:v>
      </x:c>
      <x:c r="D123" s="136" t="str">
        <x:v>配速與減量</x:v>
      </x:c>
      <x:c r="E123" s="136" t="str">
        <x:v>把體能換成比賽成績</x:v>
      </x:c>
      <x:c r="F123" s="136" t="str">
        <x:v>GPS 有誤差，別追每秒</x:v>
      </x:c>
      <x:c r="G123" s="136" t="str">
        <x:v>高樓、彎道與樹蔭會讓即時配速飄動，頻繁加減速反而浪費。
行動：看每公里或手動圈速，搭配賽道標記與體感。</x:v>
      </x:c>
      <x:c r="H123" s="136" t="str">
        <x:v>看每公里或手動圈速，搭配賽道標記與體感。</x:v>
      </x:c>
      <x:c r="I123" s="136" t="str">
        <x:v>城市賽道</x:v>
      </x:c>
      <x:c r="J123" s="144" t="str">
        <x:v>中</x:v>
      </x:c>
      <x:c r="K123" s="144" t="str">
        <x:v>一般</x:v>
      </x:c>
      <x:c r="L123" s="136" t="str">
        <x:v>訓練值 +1</x:v>
      </x:c>
      <x:c r="M123" s="136" t="str">
        <x:v>依個人經驗、健康狀況與環境調整；不適時停止。</x:v>
      </x:c>
      <x:c r="N123" s="154" t="n">
        <x:f>LEN(G123)</x:f>
        <x:v>51</x:v>
      </x:c>
      <x:c r="O123" s="144" t="str">
        <x:v>S019</x:v>
      </x:c>
      <x:c r="P123" s="136" t="str">
        <x:v>Sports Medicine／PubMed</x:v>
      </x:c>
      <x:c r="Q123" s="136" t="str">
        <x:v>Session RPE systematic review</x:v>
      </x:c>
      <x:c r="R123" s="151" t="str">
        <x:v>https://pubmed.ncbi.nlm.nih.gov/36361320/</x:v>
      </x:c>
      <x:c r="S123" s="148" t="str">
        <x:v>2026-07-27</x:v>
      </x:c>
    </x:row>
    <x:row r="124" ht="58" customHeight="1">
      <x:c r="A124" s="143" t="str">
        <x:v>CH-120</x:v>
      </x:c>
      <x:c r="B124" s="144" t="str">
        <x:v>機會</x:v>
      </x:c>
      <x:c r="C124" s="136" t="str">
        <x:v>跑者訓練：提升成績與突破 PB</x:v>
      </x:c>
      <x:c r="D124" s="136" t="str">
        <x:v>配速與減量</x:v>
      </x:c>
      <x:c r="E124" s="136" t="str">
        <x:v>把體能換成比賽成績</x:v>
      </x:c>
      <x:c r="F124" s="136" t="str">
        <x:v>終點加速要建立在可控上</x:v>
      </x:c>
      <x:c r="G124" s="136" t="str">
        <x:v>最後衝刺只占很短時間，前段透支無法靠它補回。
行動：若最後 400–800 公尺姿勢與呼吸仍穩，再逐步加速。</x:v>
      </x:c>
      <x:c r="H124" s="136" t="str">
        <x:v>若最後 400–800 公尺姿勢與呼吸仍穩，再逐步加速。</x:v>
      </x:c>
      <x:c r="I124" s="136" t="str">
        <x:v>比賽末段</x:v>
      </x:c>
      <x:c r="J124" s="144" t="str">
        <x:v>中</x:v>
      </x:c>
      <x:c r="K124" s="144" t="str">
        <x:v>一般</x:v>
      </x:c>
      <x:c r="L124" s="136" t="str">
        <x:v>訓練值 +1</x:v>
      </x:c>
      <x:c r="M124" s="136" t="str">
        <x:v>依個人經驗、健康狀況與環境調整；不適時停止。</x:v>
      </x:c>
      <x:c r="N124" s="154" t="n">
        <x:f>LEN(G124)</x:f>
        <x:v>54</x:v>
      </x:c>
      <x:c r="O124" s="144" t="str">
        <x:v>S020</x:v>
      </x:c>
      <x:c r="P124" s="136" t="str">
        <x:v>Sports Medicine／PubMed</x:v>
      </x:c>
      <x:c r="Q124" s="136" t="str">
        <x:v>Psychological determinants of endurance performance</x:v>
      </x:c>
      <x:c r="R124" s="151" t="str">
        <x:v>https://pubmed.ncbi.nlm.nih.gov/25771784/</x:v>
      </x:c>
      <x:c r="S124" s="148" t="str">
        <x:v>2026-07-27</x:v>
      </x:c>
    </x:row>
    <x:row r="125" ht="58" customHeight="1">
      <x:c r="A125" s="143" t="str">
        <x:v>CH-121</x:v>
      </x:c>
      <x:c r="B125" s="144" t="str">
        <x:v>機會</x:v>
      </x:c>
      <x:c r="C125" s="136" t="str">
        <x:v>跑者訓練：提升成績與突破 PB</x:v>
      </x:c>
      <x:c r="D125" s="136" t="str">
        <x:v>5K／10K 專項</x:v>
      </x:c>
      <x:c r="E125" s="136" t="str">
        <x:v>把速度轉成可持續配速</x:v>
      </x:c>
      <x:c r="F125" s="136" t="str">
        <x:v>5K 配速課要分段完成</x:v>
      </x:c>
      <x:c r="G125" s="136" t="str">
        <x:v>目標配速很快，分段可在不力竭下累積專項時間。
行動：以短至中段重複，段間慢跑，先增加總距離再縮短恢復。</x:v>
      </x:c>
      <x:c r="H125" s="136" t="str">
        <x:v>以短至中段重複，段間慢跑，先增加總距離再縮短恢復。</x:v>
      </x:c>
      <x:c r="I125" s="136" t="str">
        <x:v>賽前 4–8 週</x:v>
      </x:c>
      <x:c r="J125" s="144" t="str">
        <x:v>中</x:v>
      </x:c>
      <x:c r="K125" s="144" t="str">
        <x:v>一般</x:v>
      </x:c>
      <x:c r="L125" s="136" t="str">
        <x:v>訓練值 +1</x:v>
      </x:c>
      <x:c r="M125" s="136" t="str">
        <x:v>依個人經驗、健康狀況與環境調整；不適時停止。</x:v>
      </x:c>
      <x:c r="N125" s="154" t="n">
        <x:f>LEN(G125)</x:f>
        <x:v>51</x:v>
      </x:c>
      <x:c r="O125" s="144" t="str">
        <x:v>S075</x:v>
      </x:c>
      <x:c r="P125" s="136" t="str">
        <x:v>Sports Medicine／PubMed</x:v>
      </x:c>
      <x:c r="Q125" s="136" t="str">
        <x:v>Interval training review</x:v>
      </x:c>
      <x:c r="R125" s="151" t="str">
        <x:v>https://pubmed.ncbi.nlm.nih.gov/11219499/</x:v>
      </x:c>
      <x:c r="S125" s="148" t="str">
        <x:v>2026-07-27</x:v>
      </x:c>
    </x:row>
    <x:row r="126" ht="58" customHeight="1">
      <x:c r="A126" s="143" t="str">
        <x:v>CH-122</x:v>
      </x:c>
      <x:c r="B126" s="144" t="str">
        <x:v>機會</x:v>
      </x:c>
      <x:c r="C126" s="136" t="str">
        <x:v>跑者訓練：提升成績與突破 PB</x:v>
      </x:c>
      <x:c r="D126" s="136" t="str">
        <x:v>5K／10K 專項</x:v>
      </x:c>
      <x:c r="E126" s="136" t="str">
        <x:v>把速度轉成可持續配速</x:v>
      </x:c>
      <x:c r="F126" s="136" t="str">
        <x:v>5K 是高強度但不是衝刺</x:v>
      </x:c>
      <x:c r="G126" s="136" t="str">
        <x:v>前一公里過快會快速累積疲勞，影響後兩公里以上。
行動：起跑控制在目標附近，最後一至兩公里再依餘裕加速。</x:v>
      </x:c>
      <x:c r="H126" s="136" t="str">
        <x:v>起跑控制在目標附近，最後一至兩公里再依餘裕加速。</x:v>
      </x:c>
      <x:c r="I126" s="136" t="str">
        <x:v>5K 比賽</x:v>
      </x:c>
      <x:c r="J126" s="144" t="str">
        <x:v>中</x:v>
      </x:c>
      <x:c r="K126" s="144" t="str">
        <x:v>一般</x:v>
      </x:c>
      <x:c r="L126" s="136" t="str">
        <x:v>訓練值 +1</x:v>
      </x:c>
      <x:c r="M126" s="136" t="str">
        <x:v>依個人經驗、健康狀況與環境調整；不適時停止。</x:v>
      </x:c>
      <x:c r="N126" s="154" t="n">
        <x:f>LEN(G126)</x:f>
        <x:v>51</x:v>
      </x:c>
      <x:c r="O126" s="144" t="str">
        <x:v>S020</x:v>
      </x:c>
      <x:c r="P126" s="136" t="str">
        <x:v>Sports Medicine／PubMed</x:v>
      </x:c>
      <x:c r="Q126" s="136" t="str">
        <x:v>Psychological determinants of endurance performance</x:v>
      </x:c>
      <x:c r="R126" s="151" t="str">
        <x:v>https://pubmed.ncbi.nlm.nih.gov/25771784/</x:v>
      </x:c>
      <x:c r="S126" s="148" t="str">
        <x:v>2026-07-27</x:v>
      </x:c>
    </x:row>
    <x:row r="127" ht="58" customHeight="1">
      <x:c r="A127" s="143" t="str">
        <x:v>CH-123</x:v>
      </x:c>
      <x:c r="B127" s="144" t="str">
        <x:v>機會</x:v>
      </x:c>
      <x:c r="C127" s="136" t="str">
        <x:v>跑者訓練：提升成績與突破 PB</x:v>
      </x:c>
      <x:c r="D127" s="136" t="str">
        <x:v>5K／10K 專項</x:v>
      </x:c>
      <x:c r="E127" s="136" t="str">
        <x:v>把速度轉成可持續配速</x:v>
      </x:c>
      <x:c r="F127" s="136" t="str">
        <x:v>10K 需要閾值底盤</x:v>
      </x:c>
      <x:c r="G127" s="136" t="str">
        <x:v>10K 表現同時依賴速度與接近閾值的耐力。
行動：每週搭配一堂閾值與一堂速度或間歇，其他日維持輕鬆。</x:v>
      </x:c>
      <x:c r="H127" s="136" t="str">
        <x:v>每週搭配一堂閾值與一堂速度或間歇，其他日維持輕鬆。</x:v>
      </x:c>
      <x:c r="I127" s="136" t="str">
        <x:v>10K 專項期</x:v>
      </x:c>
      <x:c r="J127" s="144" t="str">
        <x:v>中</x:v>
      </x:c>
      <x:c r="K127" s="144" t="str">
        <x:v>一般</x:v>
      </x:c>
      <x:c r="L127" s="136" t="str">
        <x:v>訓練值 +1</x:v>
      </x:c>
      <x:c r="M127" s="136" t="str">
        <x:v>依個人經驗、健康狀況與環境調整；不適時停止。</x:v>
      </x:c>
      <x:c r="N127" s="154" t="n">
        <x:f>LEN(G127)</x:f>
        <x:v>50</x:v>
      </x:c>
      <x:c r="O127" s="144" t="str">
        <x:v>S008</x:v>
      </x:c>
      <x:c r="P127" s="136" t="str">
        <x:v>Sports Medicine／PubMed</x:v>
      </x:c>
      <x:c r="Q127" s="136" t="str">
        <x:v>Threshold training and endurance performance</x:v>
      </x:c>
      <x:c r="R127" s="151" t="str">
        <x:v>https://pubmed.ncbi.nlm.nih.gov/36900796/</x:v>
      </x:c>
      <x:c r="S127" s="148" t="str">
        <x:v>2026-07-27</x:v>
      </x:c>
    </x:row>
    <x:row r="128" ht="58" customHeight="1">
      <x:c r="A128" s="143" t="str">
        <x:v>CH-124</x:v>
      </x:c>
      <x:c r="B128" s="144" t="str">
        <x:v>機會</x:v>
      </x:c>
      <x:c r="C128" s="136" t="str">
        <x:v>跑者訓練：提升成績與突破 PB</x:v>
      </x:c>
      <x:c r="D128" s="136" t="str">
        <x:v>5K／10K 專項</x:v>
      </x:c>
      <x:c r="E128" s="136" t="str">
        <x:v>把速度轉成可持續配速</x:v>
      </x:c>
      <x:c r="F128" s="136" t="str">
        <x:v>短賽熱身要更完整</x:v>
      </x:c>
      <x:c r="G128" s="136" t="str">
        <x:v>5K 起跑後很快進入高強度，沒有太多時間慢慢升溫。
行動：慢跑、動態活動與加速跑後，保持身體溫暖至起跑。</x:v>
      </x:c>
      <x:c r="H128" s="136" t="str">
        <x:v>慢跑、動態活動與加速跑後，保持身體溫暖至起跑。</x:v>
      </x:c>
      <x:c r="I128" s="136" t="str">
        <x:v>5K／10K 賽前</x:v>
      </x:c>
      <x:c r="J128" s="144" t="str">
        <x:v>中</x:v>
      </x:c>
      <x:c r="K128" s="144" t="str">
        <x:v>一般</x:v>
      </x:c>
      <x:c r="L128" s="136" t="str">
        <x:v>訓練值 +1</x:v>
      </x:c>
      <x:c r="M128" s="136" t="str">
        <x:v>依個人經驗、健康狀況與環境調整；不適時停止。</x:v>
      </x:c>
      <x:c r="N128" s="154" t="n">
        <x:f>LEN(G128)</x:f>
        <x:v>52</x:v>
      </x:c>
      <x:c r="O128" s="144" t="str">
        <x:v>S011</x:v>
      </x:c>
      <x:c r="P128" s="136" t="str">
        <x:v>Applied Physiology, Nutrition, and Metabolism／PubMed</x:v>
      </x:c>
      <x:c r="Q128" s="136" t="str">
        <x:v>Warm-up and stretching review</x:v>
      </x:c>
      <x:c r="R128" s="151" t="str">
        <x:v>https://pubmed.ncbi.nlm.nih.gov/26642915/</x:v>
      </x:c>
      <x:c r="S128" s="148" t="str">
        <x:v>2026-07-27</x:v>
      </x:c>
    </x:row>
    <x:row r="129" ht="58" customHeight="1">
      <x:c r="A129" s="143" t="str">
        <x:v>CH-125</x:v>
      </x:c>
      <x:c r="B129" s="144" t="str">
        <x:v>機會</x:v>
      </x:c>
      <x:c r="C129" s="136" t="str">
        <x:v>跑者訓練：提升成績與突破 PB</x:v>
      </x:c>
      <x:c r="D129" s="136" t="str">
        <x:v>5K／10K 專項</x:v>
      </x:c>
      <x:c r="E129" s="136" t="str">
        <x:v>把速度轉成可持續配速</x:v>
      </x:c>
      <x:c r="F129" s="136" t="str">
        <x:v>依能力站進正確起跑區</x:v>
      </x:c>
      <x:c r="G129" s="136" t="str">
        <x:v>過前會被超車、過後會受阻，兩者都打亂節奏。
行動：以近期成績誠實選區，前幾百公尺不蛇行超車。</x:v>
      </x:c>
      <x:c r="H129" s="136" t="str">
        <x:v>以近期成績誠實選區，前幾百公尺不蛇行超車。</x:v>
      </x:c>
      <x:c r="I129" s="136" t="str">
        <x:v>大型路跑</x:v>
      </x:c>
      <x:c r="J129" s="144" t="str">
        <x:v>中</x:v>
      </x:c>
      <x:c r="K129" s="144" t="str">
        <x:v>一般</x:v>
      </x:c>
      <x:c r="L129" s="136" t="str">
        <x:v>訓練值 +1</x:v>
      </x:c>
      <x:c r="M129" s="136" t="str">
        <x:v>依個人經驗、健康狀況與環境調整；不適時停止。</x:v>
      </x:c>
      <x:c r="N129" s="154" t="n">
        <x:f>LEN(G129)</x:f>
        <x:v>46</x:v>
      </x:c>
      <x:c r="O129" s="144" t="str">
        <x:v>S039</x:v>
      </x:c>
      <x:c r="P129" s="136" t="str">
        <x:v>World Athletics</x:v>
      </x:c>
      <x:c r="Q129" s="136" t="str">
        <x:v>Competition Medical Guidelines</x:v>
      </x:c>
      <x:c r="R129" s="151" t="str">
        <x:v>https://worldathletics.org/download/download?filename=a20d107f-c682-48be-8c54-b4c3764de329.pdf&amp;urlslug=World+Athletics+Competition+Medical+Guidelines+-+October+2020+Second+Edition</x:v>
      </x:c>
      <x:c r="S129" s="148" t="str">
        <x:v>2026-07-27</x:v>
      </x:c>
    </x:row>
    <x:row r="130" ht="58" customHeight="1">
      <x:c r="A130" s="143" t="str">
        <x:v>CH-126</x:v>
      </x:c>
      <x:c r="B130" s="144" t="str">
        <x:v>機會</x:v>
      </x:c>
      <x:c r="C130" s="136" t="str">
        <x:v>跑者訓練：提升成績與突破 PB</x:v>
      </x:c>
      <x:c r="D130" s="136" t="str">
        <x:v>5K／10K 專項</x:v>
      </x:c>
      <x:c r="E130" s="136" t="str">
        <x:v>把速度轉成可持續配速</x:v>
      </x:c>
      <x:c r="F130" s="136" t="str">
        <x:v>分段檢查，不逐秒追錶</x:v>
      </x:c>
      <x:c r="G130" s="136" t="str">
        <x:v>短賽的 GPS 波動會引發不必要加減速。
行動：在每公里、操場圈或固定地標檢查，其他時間專注節奏。</x:v>
      </x:c>
      <x:c r="H130" s="136" t="str">
        <x:v>在每公里、操場圈或固定地標檢查，其他時間專注節奏。</x:v>
      </x:c>
      <x:c r="I130" s="136" t="str">
        <x:v>5K／10K 比賽</x:v>
      </x:c>
      <x:c r="J130" s="144" t="str">
        <x:v>中</x:v>
      </x:c>
      <x:c r="K130" s="144" t="str">
        <x:v>一般</x:v>
      </x:c>
      <x:c r="L130" s="136" t="str">
        <x:v>訓練值 +1</x:v>
      </x:c>
      <x:c r="M130" s="136" t="str">
        <x:v>依個人經驗、健康狀況與環境調整；不適時停止。</x:v>
      </x:c>
      <x:c r="N130" s="154" t="n">
        <x:f>LEN(G130)</x:f>
        <x:v>49</x:v>
      </x:c>
      <x:c r="O130" s="144" t="str">
        <x:v>S019</x:v>
      </x:c>
      <x:c r="P130" s="136" t="str">
        <x:v>Sports Medicine／PubMed</x:v>
      </x:c>
      <x:c r="Q130" s="136" t="str">
        <x:v>Session RPE systematic review</x:v>
      </x:c>
      <x:c r="R130" s="151" t="str">
        <x:v>https://pubmed.ncbi.nlm.nih.gov/36361320/</x:v>
      </x:c>
      <x:c r="S130" s="148" t="str">
        <x:v>2026-07-27</x:v>
      </x:c>
    </x:row>
    <x:row r="131" ht="58" customHeight="1">
      <x:c r="A131" s="143" t="str">
        <x:v>CH-127</x:v>
      </x:c>
      <x:c r="B131" s="144" t="str">
        <x:v>機會</x:v>
      </x:c>
      <x:c r="C131" s="136" t="str">
        <x:v>跑者訓練：提升成績與突破 PB</x:v>
      </x:c>
      <x:c r="D131" s="136" t="str">
        <x:v>5K／10K 專項</x:v>
      </x:c>
      <x:c r="E131" s="136" t="str">
        <x:v>把速度轉成可持續配速</x:v>
      </x:c>
      <x:c r="F131" s="136" t="str">
        <x:v>操場配速先學會內外道差異</x:v>
      </x:c>
      <x:c r="G131" s="136" t="str">
        <x:v>外道距離較長，切入或超車也會改變實際距離。
行動：依場地規則使用跑道，按標準圈距計算，不突然變換跑線。</x:v>
      </x:c>
      <x:c r="H131" s="136" t="str">
        <x:v>依場地規則使用跑道，按標準圈距計算，不突然變換跑線。</x:v>
      </x:c>
      <x:c r="I131" s="136" t="str">
        <x:v>操場課</x:v>
      </x:c>
      <x:c r="J131" s="144" t="str">
        <x:v>中</x:v>
      </x:c>
      <x:c r="K131" s="144" t="str">
        <x:v>一般</x:v>
      </x:c>
      <x:c r="L131" s="136" t="str">
        <x:v>訓練值 +1</x:v>
      </x:c>
      <x:c r="M131" s="136" t="str">
        <x:v>依個人經驗、健康狀況與環境調整；不適時停止。</x:v>
      </x:c>
      <x:c r="N131" s="154" t="n">
        <x:f>LEN(G131)</x:f>
        <x:v>51</x:v>
      </x:c>
      <x:c r="O131" s="144" t="str">
        <x:v>S022</x:v>
      </x:c>
      <x:c r="P131" s="136" t="str">
        <x:v>American Academy of Orthopaedic Surgeons（AAOS）</x:v>
      </x:c>
      <x:c r="Q131" s="136" t="str">
        <x:v>Tips for a Safe Running Program</x:v>
      </x:c>
      <x:c r="R131" s="151" t="str">
        <x:v>https://orthoinfo.aaos.org/en/staying-healthy/tips-for-a-safe-running-program/</x:v>
      </x:c>
      <x:c r="S131" s="148" t="str">
        <x:v>2026-07-27</x:v>
      </x:c>
    </x:row>
    <x:row r="132" ht="58" customHeight="1">
      <x:c r="A132" s="143" t="str">
        <x:v>CH-128</x:v>
      </x:c>
      <x:c r="B132" s="144" t="str">
        <x:v>機會</x:v>
      </x:c>
      <x:c r="C132" s="136" t="str">
        <x:v>跑者訓練：提升成績與突破 PB</x:v>
      </x:c>
      <x:c r="D132" s="136" t="str">
        <x:v>5K／10K 專項</x:v>
      </x:c>
      <x:c r="E132" s="136" t="str">
        <x:v>把速度轉成可持續配速</x:v>
      </x:c>
      <x:c r="F132" s="136" t="str">
        <x:v>高強度後給足恢復</x:v>
      </x:c>
      <x:c r="G132" s="136" t="str">
        <x:v>5K／10K 專項課雖短，代謝與神經負荷仍高。
行動：下一天安排休息或輕鬆跑，等動作與睡眠恢復再做下一堂品質課。</x:v>
      </x:c>
      <x:c r="H132" s="136" t="str">
        <x:v>下一天安排休息或輕鬆跑，等動作與睡眠恢復再做下一堂品質課。</x:v>
      </x:c>
      <x:c r="I132" s="136" t="str">
        <x:v>專項課後</x:v>
      </x:c>
      <x:c r="J132" s="144" t="str">
        <x:v>中</x:v>
      </x:c>
      <x:c r="K132" s="144" t="str">
        <x:v>一般</x:v>
      </x:c>
      <x:c r="L132" s="136" t="str">
        <x:v>訓練值 +1</x:v>
      </x:c>
      <x:c r="M132" s="136" t="str">
        <x:v>依個人經驗、健康狀況與環境調整；不適時停止。</x:v>
      </x:c>
      <x:c r="N132" s="154" t="n">
        <x:f>LEN(G132)</x:f>
        <x:v>56</x:v>
      </x:c>
      <x:c r="O132" s="144" t="str">
        <x:v>S003</x:v>
      </x:c>
      <x:c r="P132" s="136" t="str">
        <x:v>國際奧會（IOC）／BJSM</x:v>
      </x:c>
      <x:c r="Q132" s="136" t="str">
        <x:v>How much is too much? Part 1: load and injury risk</x:v>
      </x:c>
      <x:c r="R132" s="151" t="str">
        <x:v>https://bjsm.bmj.com/content/50/17/1030</x:v>
      </x:c>
      <x:c r="S132" s="148" t="str">
        <x:v>2026-07-27</x:v>
      </x:c>
    </x:row>
    <x:row r="133" ht="58" customHeight="1">
      <x:c r="A133" s="143" t="str">
        <x:v>CH-129</x:v>
      </x:c>
      <x:c r="B133" s="144" t="str">
        <x:v>機會</x:v>
      </x:c>
      <x:c r="C133" s="136" t="str">
        <x:v>跑者訓練：提升成績與突破 PB</x:v>
      </x:c>
      <x:c r="D133" s="136" t="str">
        <x:v>5K／10K 專項</x:v>
      </x:c>
      <x:c r="E133" s="136" t="str">
        <x:v>把速度轉成可持續配速</x:v>
      </x:c>
      <x:c r="F133" s="136" t="str">
        <x:v>專項期不要全年化</x:v>
      </x:c>
      <x:c r="G133" s="136" t="str">
        <x:v>長期只做快速課會壓縮有氧量與恢復。
行動：將 5K／10K 配速集中在賽前數週，其他時期以基礎、閾值與加速跑維持。</x:v>
      </x:c>
      <x:c r="H133" s="136" t="str">
        <x:v>將 5K／10K 配速集中在賽前數週，其他時期以基礎、閾值與加速跑維持。</x:v>
      </x:c>
      <x:c r="I133" s="136" t="str">
        <x:v>年度規劃</x:v>
      </x:c>
      <x:c r="J133" s="144" t="str">
        <x:v>中</x:v>
      </x:c>
      <x:c r="K133" s="144" t="str">
        <x:v>一般</x:v>
      </x:c>
      <x:c r="L133" s="136" t="str">
        <x:v>訓練值 +1</x:v>
      </x:c>
      <x:c r="M133" s="136" t="str">
        <x:v>依個人經驗、健康狀況與環境調整；不適時停止。</x:v>
      </x:c>
      <x:c r="N133" s="154" t="n">
        <x:f>LEN(G133)</x:f>
        <x:v>57</x:v>
      </x:c>
      <x:c r="O133" s="144" t="str">
        <x:v>S005</x:v>
      </x:c>
      <x:c r="P133" s="136" t="str">
        <x:v>Sports Medicine／PubMed</x:v>
      </x:c>
      <x:c r="Q133" s="136" t="str">
        <x:v>Polarized training systematic review and meta-analysis</x:v>
      </x:c>
      <x:c r="R133" s="151" t="str">
        <x:v>https://pubmed.ncbi.nlm.nih.gov/29863593/</x:v>
      </x:c>
      <x:c r="S133" s="148" t="str">
        <x:v>2026-07-27</x:v>
      </x:c>
    </x:row>
    <x:row r="134" ht="58" customHeight="1">
      <x:c r="A134" s="143" t="str">
        <x:v>CH-130</x:v>
      </x:c>
      <x:c r="B134" s="144" t="str">
        <x:v>機會</x:v>
      </x:c>
      <x:c r="C134" s="136" t="str">
        <x:v>跑者訓練：提升成績與突破 PB</x:v>
      </x:c>
      <x:c r="D134" s="136" t="str">
        <x:v>5K／10K 專項</x:v>
      </x:c>
      <x:c r="E134" s="136" t="str">
        <x:v>把速度轉成可持續配速</x:v>
      </x:c>
      <x:c r="F134" s="136" t="str">
        <x:v>測驗賽不能每週辦</x:v>
      </x:c>
      <x:c r="G134" s="136" t="str">
        <x:v>頻繁全力測驗會增加疲勞，難以累積訓練。
行動：以 4–8 週一次為參考，中間用分段課與基準路線追蹤。</x:v>
      </x:c>
      <x:c r="H134" s="136" t="str">
        <x:v>以 4–8 週一次為參考，中間用分段課與基準路線追蹤。</x:v>
      </x:c>
      <x:c r="I134" s="136" t="str">
        <x:v>進度檢查</x:v>
      </x:c>
      <x:c r="J134" s="144" t="str">
        <x:v>中</x:v>
      </x:c>
      <x:c r="K134" s="144" t="str">
        <x:v>一般</x:v>
      </x:c>
      <x:c r="L134" s="136" t="str">
        <x:v>訓練值 +1</x:v>
      </x:c>
      <x:c r="M134" s="136" t="str">
        <x:v>依個人經驗、健康狀況與環境調整；不適時停止。</x:v>
      </x:c>
      <x:c r="N134" s="154" t="n">
        <x:f>LEN(G134)</x:f>
        <x:v>50</x:v>
      </x:c>
      <x:c r="O134" s="144" t="str">
        <x:v>S003</x:v>
      </x:c>
      <x:c r="P134" s="136" t="str">
        <x:v>國際奧會（IOC）／BJSM</x:v>
      </x:c>
      <x:c r="Q134" s="136" t="str">
        <x:v>How much is too much? Part 1: load and injury risk</x:v>
      </x:c>
      <x:c r="R134" s="151" t="str">
        <x:v>https://bjsm.bmj.com/content/50/17/1030</x:v>
      </x:c>
      <x:c r="S134" s="148" t="str">
        <x:v>2026-07-27</x:v>
      </x:c>
    </x:row>
    <x:row r="135" ht="58" customHeight="1">
      <x:c r="A135" s="143" t="str">
        <x:v>CH-131</x:v>
      </x:c>
      <x:c r="B135" s="144" t="str">
        <x:v>機會</x:v>
      </x:c>
      <x:c r="C135" s="136" t="str">
        <x:v>跑者訓練：提升成績與突破 PB</x:v>
      </x:c>
      <x:c r="D135" s="136" t="str">
        <x:v>半馬／全馬專項</x:v>
      </x:c>
      <x:c r="E135" s="136" t="str">
        <x:v>讓目標配速撐到終點</x:v>
      </x:c>
      <x:c r="F135" s="136" t="str">
        <x:v>馬拉松配速要在疲勞可控時練</x:v>
      </x:c>
      <x:c r="G135" s="136" t="str">
        <x:v>專項配速能建立節奏與補給協調，但總量過大會拖累恢復。
行動：從短段或長跑中少量加入，再逐步延長。</x:v>
      </x:c>
      <x:c r="H135" s="136" t="str">
        <x:v>從短段或長跑中少量加入，再逐步延長。</x:v>
      </x:c>
      <x:c r="I135" s="136" t="str">
        <x:v>賽前 6–12 週</x:v>
      </x:c>
      <x:c r="J135" s="144" t="str">
        <x:v>中</x:v>
      </x:c>
      <x:c r="K135" s="144" t="str">
        <x:v>一般</x:v>
      </x:c>
      <x:c r="L135" s="136" t="str">
        <x:v>訓練值 +1</x:v>
      </x:c>
      <x:c r="M135" s="136" t="str">
        <x:v>依個人經驗、健康狀況與環境調整；不適時停止。</x:v>
      </x:c>
      <x:c r="N135" s="154" t="n">
        <x:f>LEN(G135)</x:f>
        <x:v>48</x:v>
      </x:c>
      <x:c r="O135" s="144" t="str">
        <x:v>S053</x:v>
      </x:c>
      <x:c r="P135" s="136" t="str">
        <x:v>Journal of Science and Medicine in Sport／PubMed</x:v>
      </x:c>
      <x:c r="Q135" s="136" t="str">
        <x:v>Training characteristics and marathon performance</x:v>
      </x:c>
      <x:c r="R135" s="151" t="str">
        <x:v>https://pubmed.ncbi.nlm.nih.gov/32421886/</x:v>
      </x:c>
      <x:c r="S135" s="148" t="str">
        <x:v>2026-07-27</x:v>
      </x:c>
    </x:row>
    <x:row r="136" ht="58" customHeight="1">
      <x:c r="A136" s="143" t="str">
        <x:v>CH-132</x:v>
      </x:c>
      <x:c r="B136" s="144" t="str">
        <x:v>機會</x:v>
      </x:c>
      <x:c r="C136" s="136" t="str">
        <x:v>跑者訓練：提升成績與突破 PB</x:v>
      </x:c>
      <x:c r="D136" s="136" t="str">
        <x:v>半馬／全馬專項</x:v>
      </x:c>
      <x:c r="E136" s="136" t="str">
        <x:v>讓目標配速撐到終點</x:v>
      </x:c>
      <x:c r="F136" s="136" t="str">
        <x:v>半馬速度以閾值為核心</x:v>
      </x:c>
      <x:c r="G136" s="136" t="str">
        <x:v>半馬配速通常接近但低於閾值，需兼顧可持續性。
行動：用長閾值分段與半馬配速段交替，避免每次都跑成測驗。</x:v>
      </x:c>
      <x:c r="H136" s="136" t="str">
        <x:v>用長閾值分段與半馬配速段交替，避免每次都跑成測驗。</x:v>
      </x:c>
      <x:c r="I136" s="136" t="str">
        <x:v>半馬專項期</x:v>
      </x:c>
      <x:c r="J136" s="144" t="str">
        <x:v>中</x:v>
      </x:c>
      <x:c r="K136" s="144" t="str">
        <x:v>一般</x:v>
      </x:c>
      <x:c r="L136" s="136" t="str">
        <x:v>訓練值 +1</x:v>
      </x:c>
      <x:c r="M136" s="136" t="str">
        <x:v>依個人經驗、健康狀況與環境調整；不適時停止。</x:v>
      </x:c>
      <x:c r="N136" s="154" t="n">
        <x:f>LEN(G136)</x:f>
        <x:v>51</x:v>
      </x:c>
      <x:c r="O136" s="144" t="str">
        <x:v>S008</x:v>
      </x:c>
      <x:c r="P136" s="136" t="str">
        <x:v>Sports Medicine／PubMed</x:v>
      </x:c>
      <x:c r="Q136" s="136" t="str">
        <x:v>Threshold training and endurance performance</x:v>
      </x:c>
      <x:c r="R136" s="151" t="str">
        <x:v>https://pubmed.ncbi.nlm.nih.gov/36900796/</x:v>
      </x:c>
      <x:c r="S136" s="148" t="str">
        <x:v>2026-07-27</x:v>
      </x:c>
    </x:row>
    <x:row r="137" ht="58" customHeight="1">
      <x:c r="A137" s="143" t="str">
        <x:v>CH-133</x:v>
      </x:c>
      <x:c r="B137" s="144" t="str">
        <x:v>機會</x:v>
      </x:c>
      <x:c r="C137" s="136" t="str">
        <x:v>跑者訓練：提升成績與突破 PB</x:v>
      </x:c>
      <x:c r="D137" s="136" t="str">
        <x:v>半馬／全馬專項</x:v>
      </x:c>
      <x:c r="E137" s="136" t="str">
        <x:v>讓目標配速撐到終點</x:v>
      </x:c>
      <x:c r="F137" s="136" t="str">
        <x:v>長跑必須練補給節奏</x:v>
      </x:c>
      <x:c r="G137" s="136" t="str">
        <x:v>全馬失速常同時受到能量、液體與配速影響。
行動：按比賽預定時間點吃喝，記錄每小時碳水與腸胃反應。</x:v>
      </x:c>
      <x:c r="H137" s="136" t="str">
        <x:v>按比賽預定時間點吃喝，記錄每小時碳水與腸胃反應。</x:v>
      </x:c>
      <x:c r="I137" s="136" t="str">
        <x:v>全馬長跑</x:v>
      </x:c>
      <x:c r="J137" s="144" t="str">
        <x:v>高</x:v>
      </x:c>
      <x:c r="K137" s="144" t="str">
        <x:v>一般</x:v>
      </x:c>
      <x:c r="L137" s="136" t="str">
        <x:v>訓練值 +2；PB 點數 +1</x:v>
      </x:c>
      <x:c r="M137" s="136" t="str">
        <x:v>依個人經驗、健康狀況與環境調整；不適時停止。</x:v>
      </x:c>
      <x:c r="N137" s="154" t="n">
        <x:f>LEN(G137)</x:f>
        <x:v>48</x:v>
      </x:c>
      <x:c r="O137" s="144" t="str">
        <x:v>S054</x:v>
      </x:c>
      <x:c r="P137" s="136" t="str">
        <x:v>Sports Medicine／PubMed</x:v>
      </x:c>
      <x:c r="Q137" s="136" t="str">
        <x:v>Nutrition for marathon running</x:v>
      </x:c>
      <x:c r="R137" s="151" t="str">
        <x:v>https://pubmed.ncbi.nlm.nih.gov/17465604/</x:v>
      </x:c>
      <x:c r="S137" s="148" t="str">
        <x:v>2026-07-27</x:v>
      </x:c>
    </x:row>
    <x:row r="138" ht="58" customHeight="1">
      <x:c r="A138" s="143" t="str">
        <x:v>CH-134</x:v>
      </x:c>
      <x:c r="B138" s="144" t="str">
        <x:v>機會</x:v>
      </x:c>
      <x:c r="C138" s="136" t="str">
        <x:v>跑者訓練：提升成績與突破 PB</x:v>
      </x:c>
      <x:c r="D138" s="136" t="str">
        <x:v>半馬／全馬專項</x:v>
      </x:c>
      <x:c r="E138" s="136" t="str">
        <x:v>讓目標配速撐到終點</x:v>
      </x:c>
      <x:c r="F138" s="136" t="str">
        <x:v>專項長跑後不要硬補里程</x:v>
      </x:c>
      <x:c r="G138" s="136" t="str">
        <x:v>含配速段的長跑兼具距離與強度，恢復成本高。
行動：完成核心目標即可，隔天低負荷並確保進食與睡眠。</x:v>
      </x:c>
      <x:c r="H138" s="136" t="str">
        <x:v>完成核心目標即可，隔天低負荷並確保進食與睡眠。</x:v>
      </x:c>
      <x:c r="I138" s="136" t="str">
        <x:v>馬拉松專項課後</x:v>
      </x:c>
      <x:c r="J138" s="144" t="str">
        <x:v>中</x:v>
      </x:c>
      <x:c r="K138" s="144" t="str">
        <x:v>一般</x:v>
      </x:c>
      <x:c r="L138" s="136" t="str">
        <x:v>訓練值 +1</x:v>
      </x:c>
      <x:c r="M138" s="136" t="str">
        <x:v>依個人經驗、健康狀況與環境調整；不適時停止。</x:v>
      </x:c>
      <x:c r="N138" s="154" t="n">
        <x:f>LEN(G138)</x:f>
        <x:v>48</x:v>
      </x:c>
      <x:c r="O138" s="144" t="str">
        <x:v>S003</x:v>
      </x:c>
      <x:c r="P138" s="136" t="str">
        <x:v>國際奧會（IOC）／BJSM</x:v>
      </x:c>
      <x:c r="Q138" s="136" t="str">
        <x:v>How much is too much? Part 1: load and injury risk</x:v>
      </x:c>
      <x:c r="R138" s="151" t="str">
        <x:v>https://bjsm.bmj.com/content/50/17/1030</x:v>
      </x:c>
      <x:c r="S138" s="148" t="str">
        <x:v>2026-07-27</x:v>
      </x:c>
    </x:row>
    <x:row r="139" ht="58" customHeight="1">
      <x:c r="A139" s="143" t="str">
        <x:v>CH-135</x:v>
      </x:c>
      <x:c r="B139" s="144" t="str">
        <x:v>機會</x:v>
      </x:c>
      <x:c r="C139" s="136" t="str">
        <x:v>跑者訓練：提升成績與突破 PB</x:v>
      </x:c>
      <x:c r="D139" s="136" t="str">
        <x:v>半馬／全馬專項</x:v>
      </x:c>
      <x:c r="E139" s="136" t="str">
        <x:v>讓目標配速撐到終點</x:v>
      </x:c>
      <x:c r="F139" s="136" t="str">
        <x:v>漸速長跑先慢後快</x:v>
      </x:c>
      <x:c r="G139" s="136" t="str">
        <x:v>前段控制可保留後段穩定輸出，模擬比賽節奏管理。
行動：最後 20–40 分鐘才接近目標配速，前提是動作仍穩定。</x:v>
      </x:c>
      <x:c r="H139" s="136" t="str">
        <x:v>最後 20–40 分鐘才接近目標配速，前提是動作仍穩定。</x:v>
      </x:c>
      <x:c r="I139" s="136" t="str">
        <x:v>有基礎的跑者</x:v>
      </x:c>
      <x:c r="J139" s="144" t="str">
        <x:v>中</x:v>
      </x:c>
      <x:c r="K139" s="144" t="str">
        <x:v>一般</x:v>
      </x:c>
      <x:c r="L139" s="136" t="str">
        <x:v>訓練值 +1</x:v>
      </x:c>
      <x:c r="M139" s="136" t="str">
        <x:v>依個人經驗、健康狀況與環境調整；不適時停止。</x:v>
      </x:c>
      <x:c r="N139" s="154" t="n">
        <x:f>LEN(G139)</x:f>
        <x:v>55</x:v>
      </x:c>
      <x:c r="O139" s="144" t="str">
        <x:v>S053</x:v>
      </x:c>
      <x:c r="P139" s="136" t="str">
        <x:v>Journal of Science and Medicine in Sport／PubMed</x:v>
      </x:c>
      <x:c r="Q139" s="136" t="str">
        <x:v>Training characteristics and marathon performance</x:v>
      </x:c>
      <x:c r="R139" s="151" t="str">
        <x:v>https://pubmed.ncbi.nlm.nih.gov/32421886/</x:v>
      </x:c>
      <x:c r="S139" s="148" t="str">
        <x:v>2026-07-27</x:v>
      </x:c>
    </x:row>
    <x:row r="140" ht="58" customHeight="1">
      <x:c r="A140" s="143" t="str">
        <x:v>CH-136</x:v>
      </x:c>
      <x:c r="B140" s="144" t="str">
        <x:v>機會</x:v>
      </x:c>
      <x:c r="C140" s="136" t="str">
        <x:v>跑者訓練：提升成績與突破 PB</x:v>
      </x:c>
      <x:c r="D140" s="136" t="str">
        <x:v>半馬／全馬專項</x:v>
      </x:c>
      <x:c r="E140" s="136" t="str">
        <x:v>讓目標配速撐到終點</x:v>
      </x:c>
      <x:c r="F140" s="136" t="str">
        <x:v>肌肉耐力不只看心肺</x:v>
      </x:c>
      <x:c r="G140" s="136" t="str">
        <x:v>全馬後段可能心率不高但腿部失去推進，需結合長跑與肌力。
行動：規律做小腿、臀腿肌力，長跑逐步增加專項時間。</x:v>
      </x:c>
      <x:c r="H140" s="136" t="str">
        <x:v>規律做小腿、臀腿肌力，長跑逐步增加專項時間。</x:v>
      </x:c>
      <x:c r="I140" s="136" t="str">
        <x:v>全馬準備期</x:v>
      </x:c>
      <x:c r="J140" s="144" t="str">
        <x:v>中</x:v>
      </x:c>
      <x:c r="K140" s="144" t="str">
        <x:v>一般</x:v>
      </x:c>
      <x:c r="L140" s="136" t="str">
        <x:v>訓練值 +1</x:v>
      </x:c>
      <x:c r="M140" s="136" t="str">
        <x:v>依個人經驗、健康狀況與環境調整；不適時停止。</x:v>
      </x:c>
      <x:c r="N140" s="154" t="n">
        <x:f>LEN(G140)</x:f>
        <x:v>53</x:v>
      </x:c>
      <x:c r="O140" s="144" t="str">
        <x:v>S009</x:v>
      </x:c>
      <x:c r="P140" s="136" t="str">
        <x:v>Sports Medicine／PubMed</x:v>
      </x:c>
      <x:c r="Q140" s="136" t="str">
        <x:v>Strength training and running economy meta-analysis</x:v>
      </x:c>
      <x:c r="R140" s="151" t="str">
        <x:v>https://pubmed.ncbi.nlm.nih.gov/38165636/</x:v>
      </x:c>
      <x:c r="S140" s="148" t="str">
        <x:v>2026-07-27</x:v>
      </x:c>
    </x:row>
    <x:row r="141" ht="58" customHeight="1">
      <x:c r="A141" s="143" t="str">
        <x:v>CH-137</x:v>
      </x:c>
      <x:c r="B141" s="144" t="str">
        <x:v>機會</x:v>
      </x:c>
      <x:c r="C141" s="136" t="str">
        <x:v>跑者訓練：提升成績與突破 PB</x:v>
      </x:c>
      <x:c r="D141" s="136" t="str">
        <x:v>半馬／全馬專項</x:v>
      </x:c>
      <x:c r="E141" s="136" t="str">
        <x:v>讓目標配速撐到終點</x:v>
      </x:c>
      <x:c r="F141" s="136" t="str">
        <x:v>全馬通常需要更長減量</x:v>
      </x:c>
      <x:c r="G141" s="136" t="str">
        <x:v>長跑累積的疲勞需要時間消退，最後一週才突然降量可能不足。
行動：依經驗於賽前 2–3 週逐步減少總量，保留短配速刺激。</x:v>
      </x:c>
      <x:c r="H141" s="136" t="str">
        <x:v>依經驗於賽前 2–3 週逐步減少總量，保留短配速刺激。</x:v>
      </x:c>
      <x:c r="I141" s="136" t="str">
        <x:v>全馬賽前</x:v>
      </x:c>
      <x:c r="J141" s="144" t="str">
        <x:v>中</x:v>
      </x:c>
      <x:c r="K141" s="144" t="str">
        <x:v>一般</x:v>
      </x:c>
      <x:c r="L141" s="136" t="str">
        <x:v>訓練值 +1</x:v>
      </x:c>
      <x:c r="M141" s="136" t="str">
        <x:v>依個人經驗、健康狀況與環境調整；不適時停止。</x:v>
      </x:c>
      <x:c r="N141" s="154" t="n">
        <x:f>LEN(G141)</x:f>
        <x:v>59</x:v>
      </x:c>
      <x:c r="O141" s="144" t="str">
        <x:v>S010</x:v>
      </x:c>
      <x:c r="P141" s="136" t="str">
        <x:v>Sports Medicine／PubMed</x:v>
      </x:c>
      <x:c r="Q141" s="136" t="str">
        <x:v>Tapering and endurance performance meta-analysis</x:v>
      </x:c>
      <x:c r="R141" s="151" t="str">
        <x:v>https://pubmed.ncbi.nlm.nih.gov/37163550/</x:v>
      </x:c>
      <x:c r="S141" s="148" t="str">
        <x:v>2026-07-27</x:v>
      </x:c>
    </x:row>
    <x:row r="142" ht="58" customHeight="1">
      <x:c r="A142" s="143" t="str">
        <x:v>CH-138</x:v>
      </x:c>
      <x:c r="B142" s="144" t="str">
        <x:v>機會</x:v>
      </x:c>
      <x:c r="C142" s="136" t="str">
        <x:v>跑者訓練：提升成績與突破 PB</x:v>
      </x:c>
      <x:c r="D142" s="136" t="str">
        <x:v>半馬／全馬專項</x:v>
      </x:c>
      <x:c r="E142" s="136" t="str">
        <x:v>讓目標配速撐到終點</x:v>
      </x:c>
      <x:c r="F142" s="136" t="str">
        <x:v>先累積睡眠，不賭前一晚</x:v>
      </x:c>
      <x:c r="G142" s="136" t="str">
        <x:v>賽前焦慮可能影響單晚睡眠；前幾天的穩定作息更可靠。
行動：賽前一週固定就寢與起床時間，避免臨時大幅提前。</x:v>
      </x:c>
      <x:c r="H142" s="136" t="str">
        <x:v>賽前一週固定就寢與起床時間，避免臨時大幅提前。</x:v>
      </x:c>
      <x:c r="I142" s="136" t="str">
        <x:v>賽前一週</x:v>
      </x:c>
      <x:c r="J142" s="144" t="str">
        <x:v>中</x:v>
      </x:c>
      <x:c r="K142" s="144" t="str">
        <x:v>一般</x:v>
      </x:c>
      <x:c r="L142" s="136" t="str">
        <x:v>訓練值 +1</x:v>
      </x:c>
      <x:c r="M142" s="136" t="str">
        <x:v>依個人經驗、健康狀況與環境調整；不適時停止。</x:v>
      </x:c>
      <x:c r="N142" s="154" t="n">
        <x:f>LEN(G142)</x:f>
        <x:v>52</x:v>
      </x:c>
      <x:c r="O142" s="144" t="str">
        <x:v>S041</x:v>
      </x:c>
      <x:c r="P142" s="136" t="str">
        <x:v>CDC</x:v>
      </x:c>
      <x:c r="Q142" s="136" t="str">
        <x:v>About Sleep</x:v>
      </x:c>
      <x:c r="R142" s="151" t="str">
        <x:v>https://www.cdc.gov/sleep/about/index.html</x:v>
      </x:c>
      <x:c r="S142" s="148" t="str">
        <x:v>2026-07-27</x:v>
      </x:c>
    </x:row>
    <x:row r="143" ht="58" customHeight="1">
      <x:c r="A143" s="143" t="str">
        <x:v>CH-139</x:v>
      </x:c>
      <x:c r="B143" s="144" t="str">
        <x:v>機會</x:v>
      </x:c>
      <x:c r="C143" s="136" t="str">
        <x:v>跑者訓練：提升成績與突破 PB</x:v>
      </x:c>
      <x:c r="D143" s="136" t="str">
        <x:v>半馬／全馬專項</x:v>
      </x:c>
      <x:c r="E143" s="136" t="str">
        <x:v>讓目標配速撐到終點</x:v>
      </x:c>
      <x:c r="F143" s="136" t="str">
        <x:v>前半程要比感覺更保守</x:v>
      </x:c>
      <x:c r="G143" s="136" t="str">
        <x:v>全馬前段常覺得太輕鬆，但超速成本會在 30 公里後出現。
行動：按目標與天候守配速，不因人群或下坡追回秒數。</x:v>
      </x:c>
      <x:c r="H143" s="136" t="str">
        <x:v>按目標與天候守配速，不因人群或下坡追回秒數。</x:v>
      </x:c>
      <x:c r="I143" s="136" t="str">
        <x:v>全馬比賽</x:v>
      </x:c>
      <x:c r="J143" s="144" t="str">
        <x:v>高</x:v>
      </x:c>
      <x:c r="K143" s="144" t="str">
        <x:v>一般</x:v>
      </x:c>
      <x:c r="L143" s="136" t="str">
        <x:v>訓練值 +2；PB 點數 +1</x:v>
      </x:c>
      <x:c r="M143" s="136" t="str">
        <x:v>依個人經驗、健康狀況與環境調整；不適時停止。</x:v>
      </x:c>
      <x:c r="N143" s="154" t="n">
        <x:f>LEN(G143)</x:f>
        <x:v>54</x:v>
      </x:c>
      <x:c r="O143" s="144" t="str">
        <x:v>S053</x:v>
      </x:c>
      <x:c r="P143" s="136" t="str">
        <x:v>Journal of Science and Medicine in Sport／PubMed</x:v>
      </x:c>
      <x:c r="Q143" s="136" t="str">
        <x:v>Training characteristics and marathon performance</x:v>
      </x:c>
      <x:c r="R143" s="151" t="str">
        <x:v>https://pubmed.ncbi.nlm.nih.gov/32421886/</x:v>
      </x:c>
      <x:c r="S143" s="148" t="str">
        <x:v>2026-07-27</x:v>
      </x:c>
    </x:row>
    <x:row r="144" ht="58" customHeight="1">
      <x:c r="A144" s="143" t="str">
        <x:v>CH-140</x:v>
      </x:c>
      <x:c r="B144" s="144" t="str">
        <x:v>機會</x:v>
      </x:c>
      <x:c r="C144" s="136" t="str">
        <x:v>跑者訓練：提升成績與突破 PB</x:v>
      </x:c>
      <x:c r="D144" s="136" t="str">
        <x:v>半馬／全馬專項</x:v>
      </x:c>
      <x:c r="E144" s="136" t="str">
        <x:v>讓目標配速撐到終點</x:v>
      </x:c>
      <x:c r="F144" s="136" t="str">
        <x:v>碳水計畫要完整彩排</x:v>
      </x:c>
      <x:c r="G144" s="136" t="str">
        <x:v>補給量、產品、濃度與喝水方式都會影響腸胃。
行動：至少在兩次長跑中照比賽時程執行，失敗後一次只改一項。</x:v>
      </x:c>
      <x:c r="H144" s="136" t="str">
        <x:v>至少在兩次長跑中照比賽時程執行，失敗後一次只改一項。</x:v>
      </x:c>
      <x:c r="I144" s="136" t="str">
        <x:v>賽前 3–8 週</x:v>
      </x:c>
      <x:c r="J144" s="144" t="str">
        <x:v>高</x:v>
      </x:c>
      <x:c r="K144" s="144" t="str">
        <x:v>一般</x:v>
      </x:c>
      <x:c r="L144" s="136" t="str">
        <x:v>訓練值 +2；PB 點數 +1</x:v>
      </x:c>
      <x:c r="M144" s="136" t="str">
        <x:v>依個人經驗、健康狀況與環境調整；不適時停止。</x:v>
      </x:c>
      <x:c r="N144" s="154" t="n">
        <x:f>LEN(G144)</x:f>
        <x:v>51</x:v>
      </x:c>
      <x:c r="O144" s="144" t="str">
        <x:v>S013</x:v>
      </x:c>
      <x:c r="P144" s="136" t="str">
        <x:v>World Athletics</x:v>
      </x:c>
      <x:c r="Q144" s="136" t="str">
        <x:v>Contemporary Nutrition Strategies for Distance Runners</x:v>
      </x:c>
      <x:c r="R144" s="151" t="str">
        <x:v>https://worldathletics.org/download/download?filename=6babe10a-9969-407e-b0cd-f7d96df50f51.pdf&amp;urlslug=Contemporary+Nutrition+Strategies+to+Optimize+Performance+in+Distance+Runners+and+Race+Walkers</x:v>
      </x:c>
      <x:c r="S144" s="148" t="str">
        <x:v>2026-07-27</x:v>
      </x:c>
    </x:row>
    <x:row r="145" ht="58" customHeight="1">
      <x:c r="A145" s="143" t="str">
        <x:v>CH-141</x:v>
      </x:c>
      <x:c r="B145" s="144" t="str">
        <x:v>機會</x:v>
      </x:c>
      <x:c r="C145" s="136" t="str">
        <x:v>跑者訓練：提升成績與突破 PB</x:v>
      </x:c>
      <x:c r="D145" s="136" t="str">
        <x:v>碳水與賽前補給</x:v>
      </x:c>
      <x:c r="E145" s="136" t="str">
        <x:v>把能量送到需要的時刻</x:v>
      </x:c>
      <x:c r="F145" s="136" t="str">
        <x:v>超過一小時可考慮賽前碳水</x:v>
      </x:c>
      <x:c r="G145" s="136" t="str">
        <x:v>長時間或高強度運動前有足夠碳水，有助於維持品質。
行動：在運動前數小時吃熟悉、易消化的一餐，份量依個人耐受調整。</x:v>
      </x:c>
      <x:c r="H145" s="136" t="str">
        <x:v>在運動前數小時吃熟悉、易消化的一餐，份量依個人耐受調整。</x:v>
      </x:c>
      <x:c r="I145" s="136" t="str">
        <x:v>長跑或比賽前</x:v>
      </x:c>
      <x:c r="J145" s="144" t="str">
        <x:v>中</x:v>
      </x:c>
      <x:c r="K145" s="144" t="str">
        <x:v>一般</x:v>
      </x:c>
      <x:c r="L145" s="136" t="str">
        <x:v>訓練值 +1</x:v>
      </x:c>
      <x:c r="M145" s="136" t="str">
        <x:v>依個人經驗、健康狀況與環境調整；不適時停止。</x:v>
      </x:c>
      <x:c r="N145" s="154" t="n">
        <x:f>LEN(G145)</x:f>
        <x:v>56</x:v>
      </x:c>
      <x:c r="O145" s="144" t="str">
        <x:v>S013</x:v>
      </x:c>
      <x:c r="P145" s="136" t="str">
        <x:v>World Athletics</x:v>
      </x:c>
      <x:c r="Q145" s="136" t="str">
        <x:v>Contemporary Nutrition Strategies for Distance Runners</x:v>
      </x:c>
      <x:c r="R145" s="151" t="str">
        <x:v>https://worldathletics.org/download/download?filename=6babe10a-9969-407e-b0cd-f7d96df50f51.pdf&amp;urlslug=Contemporary+Nutrition+Strategies+to+Optimize+Performance+in+Distance+Runners+and+Race+Walkers</x:v>
      </x:c>
      <x:c r="S145" s="148" t="str">
        <x:v>2026-07-27</x:v>
      </x:c>
    </x:row>
    <x:row r="146" ht="58" customHeight="1">
      <x:c r="A146" s="143" t="str">
        <x:v>CH-142</x:v>
      </x:c>
      <x:c r="B146" s="144" t="str">
        <x:v>機會</x:v>
      </x:c>
      <x:c r="C146" s="136" t="str">
        <x:v>跑者訓練：提升成績與突破 PB</x:v>
      </x:c>
      <x:c r="D146" s="136" t="str">
        <x:v>碳水與賽前補給</x:v>
      </x:c>
      <x:c r="E146" s="136" t="str">
        <x:v>把能量送到需要的時刻</x:v>
      </x:c>
      <x:c r="F146" s="136" t="str">
        <x:v>腸胃也需要訓練</x:v>
      </x:c>
      <x:c r="G146" s="136" t="str">
        <x:v>比賽中吃得下並非天生，反覆練習可提高耐受。
行動：每週在一堂長課固定演練種類、克數與喝水方式。</x:v>
      </x:c>
      <x:c r="H146" s="136" t="str">
        <x:v>每週在一堂長課固定演練種類、克數與喝水方式。</x:v>
      </x:c>
      <x:c r="I146" s="136" t="str">
        <x:v>專項長跑</x:v>
      </x:c>
      <x:c r="J146" s="144" t="str">
        <x:v>高</x:v>
      </x:c>
      <x:c r="K146" s="144" t="str">
        <x:v>一般</x:v>
      </x:c>
      <x:c r="L146" s="136" t="str">
        <x:v>訓練值 +2；PB 點數 +1</x:v>
      </x:c>
      <x:c r="M146" s="136" t="str">
        <x:v>依個人經驗、健康狀況與環境調整；不適時停止。</x:v>
      </x:c>
      <x:c r="N146" s="154" t="n">
        <x:f>LEN(G146)</x:f>
        <x:v>47</x:v>
      </x:c>
      <x:c r="O146" s="144" t="str">
        <x:v>S013</x:v>
      </x:c>
      <x:c r="P146" s="136" t="str">
        <x:v>World Athletics</x:v>
      </x:c>
      <x:c r="Q146" s="136" t="str">
        <x:v>Contemporary Nutrition Strategies for Distance Runners</x:v>
      </x:c>
      <x:c r="R146" s="151" t="str">
        <x:v>https://worldathletics.org/download/download?filename=6babe10a-9969-407e-b0cd-f7d96df50f51.pdf&amp;urlslug=Contemporary+Nutrition+Strategies+to+Optimize+Performance+in+Distance+Runners+and+Race+Walkers</x:v>
      </x:c>
      <x:c r="S146" s="148" t="str">
        <x:v>2026-07-27</x:v>
      </x:c>
    </x:row>
    <x:row r="147" ht="58" customHeight="1">
      <x:c r="A147" s="143" t="str">
        <x:v>CH-143</x:v>
      </x:c>
      <x:c r="B147" s="144" t="str">
        <x:v>機會</x:v>
      </x:c>
      <x:c r="C147" s="136" t="str">
        <x:v>跑者訓練：提升成績與突破 PB</x:v>
      </x:c>
      <x:c r="D147" s="136" t="str">
        <x:v>碳水與賽前補給</x:v>
      </x:c>
      <x:c r="E147" s="136" t="str">
        <x:v>把能量送到需要的時刻</x:v>
      </x:c>
      <x:c r="F147" s="136" t="str">
        <x:v>賽前降低纖維要個人化</x:v>
      </x:c>
      <x:c r="G147" s="136" t="str">
        <x:v>部分跑者在賽前短期減少高纖、高脂與大量生食，可降低腸胃負擔。
行動：只在曾有症狀者測試，避免長期不必要限制。</x:v>
      </x:c>
      <x:c r="H147" s="136" t="str">
        <x:v>只在曾有症狀者測試，避免長期不必要限制。</x:v>
      </x:c>
      <x:c r="I147" s="136" t="str">
        <x:v>賽前 12–24 小時</x:v>
      </x:c>
      <x:c r="J147" s="144" t="str">
        <x:v>中</x:v>
      </x:c>
      <x:c r="K147" s="144" t="str">
        <x:v>一般</x:v>
      </x:c>
      <x:c r="L147" s="136" t="str">
        <x:v>訓練值 +1</x:v>
      </x:c>
      <x:c r="M147" s="136" t="str">
        <x:v>依個人經驗、健康狀況與環境調整；不適時停止。</x:v>
      </x:c>
      <x:c r="N147" s="154" t="n">
        <x:f>LEN(G147)</x:f>
        <x:v>54</x:v>
      </x:c>
      <x:c r="O147" s="144" t="str">
        <x:v>S062</x:v>
      </x:c>
      <x:c r="P147" s="136" t="str">
        <x:v>World Athletics</x:v>
      </x:c>
      <x:c r="Q147" s="136" t="str">
        <x:v>Dietary Practices Adopted by Track-and-Field Athletes</x:v>
      </x:c>
      <x:c r="R147" s="151" t="str">
        <x:v>https://worldathletics.org/download/download?filename=fc05d994-f5fc-403c-8469-c3329294526c.pdf&amp;urlslug=Dietary+Practices+Adopted+by+Track-and-Field+Athletes%3A+Gluten-Free%2C+Low+FODMAP%2C+Vegetarian%2C+and+Fasting</x:v>
      </x:c>
      <x:c r="S147" s="148" t="str">
        <x:v>2026-07-27</x:v>
      </x:c>
    </x:row>
    <x:row r="148" ht="58" customHeight="1">
      <x:c r="A148" s="143" t="str">
        <x:v>CH-144</x:v>
      </x:c>
      <x:c r="B148" s="144" t="str">
        <x:v>機會</x:v>
      </x:c>
      <x:c r="C148" s="136" t="str">
        <x:v>跑者訓練：提升成績與突破 PB</x:v>
      </x:c>
      <x:c r="D148" s="136" t="str">
        <x:v>碳水與賽前補給</x:v>
      </x:c>
      <x:c r="E148" s="136" t="str">
        <x:v>把能量送到需要的時刻</x:v>
      </x:c>
      <x:c r="F148" s="136" t="str">
        <x:v>早餐越熟悉越好</x:v>
      </x:c>
      <x:c r="G148" s="136" t="str">
        <x:v>新餐點的風險往往大於理論上的完美營養。
行動：用訓練日彩排相同食物、份量與起床後時間。</x:v>
      </x:c>
      <x:c r="H148" s="136" t="str">
        <x:v>用訓練日彩排相同食物、份量與起床後時間。</x:v>
      </x:c>
      <x:c r="I148" s="136" t="str">
        <x:v>比賽早餐</x:v>
      </x:c>
      <x:c r="J148" s="144" t="str">
        <x:v>中</x:v>
      </x:c>
      <x:c r="K148" s="144" t="str">
        <x:v>一般</x:v>
      </x:c>
      <x:c r="L148" s="136" t="str">
        <x:v>訓練值 +1</x:v>
      </x:c>
      <x:c r="M148" s="136" t="str">
        <x:v>依個人經驗、健康狀況與環境調整；不適時停止。</x:v>
      </x:c>
      <x:c r="N148" s="154" t="n">
        <x:f>LEN(G148)</x:f>
        <x:v>43</x:v>
      </x:c>
      <x:c r="O148" s="144" t="str">
        <x:v>S013</x:v>
      </x:c>
      <x:c r="P148" s="136" t="str">
        <x:v>World Athletics</x:v>
      </x:c>
      <x:c r="Q148" s="136" t="str">
        <x:v>Contemporary Nutrition Strategies for Distance Runners</x:v>
      </x:c>
      <x:c r="R148" s="151" t="str">
        <x:v>https://worldathletics.org/download/download?filename=6babe10a-9969-407e-b0cd-f7d96df50f51.pdf&amp;urlslug=Contemporary+Nutrition+Strategies+to+Optimize+Performance+in+Distance+Runners+and+Race+Walkers</x:v>
      </x:c>
      <x:c r="S148" s="148" t="str">
        <x:v>2026-07-27</x:v>
      </x:c>
    </x:row>
    <x:row r="149" ht="58" customHeight="1">
      <x:c r="A149" s="143" t="str">
        <x:v>CH-145</x:v>
      </x:c>
      <x:c r="B149" s="144" t="str">
        <x:v>機會</x:v>
      </x:c>
      <x:c r="C149" s="136" t="str">
        <x:v>跑者訓練：提升成績與突破 PB</x:v>
      </x:c>
      <x:c r="D149" s="136" t="str">
        <x:v>碳水與賽前補給</x:v>
      </x:c>
      <x:c r="E149" s="136" t="str">
        <x:v>把能量送到需要的時刻</x:v>
      </x:c>
      <x:c r="F149" s="136" t="str">
        <x:v>每小時 30–60 克是常見起點</x:v>
      </x:c>
      <x:c r="G149" s="136" t="str">
        <x:v>中長時間耐力運動常以每小時 30–60 克碳水起步，再依時長與耐受調整。
行動：從低量練起並計入飲料、果膠與食物的總碳水。</x:v>
      </x:c>
      <x:c r="H149" s="136" t="str">
        <x:v>從低量練起並計入飲料、果膠與食物的總碳水。</x:v>
      </x:c>
      <x:c r="I149" s="136" t="str">
        <x:v>約 1–2.5 小時運動</x:v>
      </x:c>
      <x:c r="J149" s="144" t="str">
        <x:v>高</x:v>
      </x:c>
      <x:c r="K149" s="144" t="str">
        <x:v>一般</x:v>
      </x:c>
      <x:c r="L149" s="136" t="str">
        <x:v>訓練值 +2；PB 點數 +1</x:v>
      </x:c>
      <x:c r="M149" s="136" t="str">
        <x:v>依個人經驗、健康狀況與環境調整；不適時停止。</x:v>
      </x:c>
      <x:c r="N149" s="154" t="n">
        <x:f>LEN(G149)</x:f>
        <x:v>61</x:v>
      </x:c>
      <x:c r="O149" s="144" t="str">
        <x:v>S013</x:v>
      </x:c>
      <x:c r="P149" s="136" t="str">
        <x:v>World Athletics</x:v>
      </x:c>
      <x:c r="Q149" s="136" t="str">
        <x:v>Contemporary Nutrition Strategies for Distance Runners</x:v>
      </x:c>
      <x:c r="R149" s="151" t="str">
        <x:v>https://worldathletics.org/download/download?filename=6babe10a-9969-407e-b0cd-f7d96df50f51.pdf&amp;urlslug=Contemporary+Nutrition+Strategies+to+Optimize+Performance+in+Distance+Runners+and+Race+Walkers</x:v>
      </x:c>
      <x:c r="S149" s="148" t="str">
        <x:v>2026-07-27</x:v>
      </x:c>
    </x:row>
    <x:row r="150" ht="58" customHeight="1">
      <x:c r="A150" s="143" t="str">
        <x:v>CH-146</x:v>
      </x:c>
      <x:c r="B150" s="144" t="str">
        <x:v>機會</x:v>
      </x:c>
      <x:c r="C150" s="136" t="str">
        <x:v>跑者訓練：提升成績與突破 PB</x:v>
      </x:c>
      <x:c r="D150" s="136" t="str">
        <x:v>碳水與賽前補給</x:v>
      </x:c>
      <x:c r="E150" s="136" t="str">
        <x:v>把能量送到需要的時刻</x:v>
      </x:c>
      <x:c r="F150" s="136" t="str">
        <x:v>超長時間高碳水需先適應</x:v>
      </x:c>
      <x:c r="G150" s="136" t="str">
        <x:v>更長賽事有些跑者可使用更高攝取量，但需混合碳水來源與腸胃訓練。
行動：逐週小幅增加，未練過不要在比賽直接挑戰高量。</x:v>
      </x:c>
      <x:c r="H150" s="136" t="str">
        <x:v>逐週小幅增加，未練過不要在比賽直接挑戰高量。</x:v>
      </x:c>
      <x:c r="I150" s="136" t="str">
        <x:v>超過 2.5 小時</x:v>
      </x:c>
      <x:c r="J150" s="144" t="str">
        <x:v>高</x:v>
      </x:c>
      <x:c r="K150" s="144" t="str">
        <x:v>留意</x:v>
      </x:c>
      <x:c r="L150" s="136" t="str">
        <x:v>完成安全調整：訓練值 +1；健康值 +1</x:v>
      </x:c>
      <x:c r="M150" s="136" t="str">
        <x:v>依個人經驗、健康狀況與環境調整；不適時停止。</x:v>
      </x:c>
      <x:c r="N150" s="154" t="n">
        <x:f>LEN(G150)</x:f>
        <x:v>57</x:v>
      </x:c>
      <x:c r="O150" s="144" t="str">
        <x:v>S061</x:v>
      </x:c>
      <x:c r="P150" s="136" t="str">
        <x:v>World Athletics</x:v>
      </x:c>
      <x:c r="Q150" s="136" t="str">
        <x:v>Nutrition for Ultramarathon Running</x:v>
      </x:c>
      <x:c r="R150" s="151" t="str">
        <x:v>https://worldathletics.org/download/download?filename=60b9a7fd-effa-4234-b4ab-daf4021aadf3.pdf&amp;urlslug=Nutrition+for+Ultramarathon+Running%3A+Trail%2C+Track%2C+and+Road</x:v>
      </x:c>
      <x:c r="S150" s="148" t="str">
        <x:v>2026-07-27</x:v>
      </x:c>
    </x:row>
    <x:row r="151" ht="58" customHeight="1">
      <x:c r="A151" s="143" t="str">
        <x:v>CH-147</x:v>
      </x:c>
      <x:c r="B151" s="144" t="str">
        <x:v>機會</x:v>
      </x:c>
      <x:c r="C151" s="136" t="str">
        <x:v>跑者訓練：提升成績與突破 PB</x:v>
      </x:c>
      <x:c r="D151" s="136" t="str">
        <x:v>碳水與賽前補給</x:v>
      </x:c>
      <x:c r="E151" s="136" t="str">
        <x:v>把能量送到需要的時刻</x:v>
      </x:c>
      <x:c r="F151" s="136" t="str">
        <x:v>能量膠通常搭配水</x:v>
      </x:c>
      <x:c r="G151" s="136" t="str">
        <x:v>高濃度碳水若沒有足夠液體，部分人較容易噁心或腹脹。
行動：依產品說明配水，避免同時灌下高濃度運動飲料。</x:v>
      </x:c>
      <x:c r="H151" s="136" t="str">
        <x:v>依產品說明配水，避免同時灌下高濃度運動飲料。</x:v>
      </x:c>
      <x:c r="I151" s="136" t="str">
        <x:v>比賽中</x:v>
      </x:c>
      <x:c r="J151" s="144" t="str">
        <x:v>中</x:v>
      </x:c>
      <x:c r="K151" s="144" t="str">
        <x:v>一般</x:v>
      </x:c>
      <x:c r="L151" s="136" t="str">
        <x:v>訓練值 +1</x:v>
      </x:c>
      <x:c r="M151" s="136" t="str">
        <x:v>依個人經驗、健康狀況與環境調整；不適時停止。</x:v>
      </x:c>
      <x:c r="N151" s="154" t="n">
        <x:f>LEN(G151)</x:f>
        <x:v>51</x:v>
      </x:c>
      <x:c r="O151" s="144" t="str">
        <x:v>S013</x:v>
      </x:c>
      <x:c r="P151" s="136" t="str">
        <x:v>World Athletics</x:v>
      </x:c>
      <x:c r="Q151" s="136" t="str">
        <x:v>Contemporary Nutrition Strategies for Distance Runners</x:v>
      </x:c>
      <x:c r="R151" s="151" t="str">
        <x:v>https://worldathletics.org/download/download?filename=6babe10a-9969-407e-b0cd-f7d96df50f51.pdf&amp;urlslug=Contemporary+Nutrition+Strategies+to+Optimize+Performance+in+Distance+Runners+and+Race+Walkers</x:v>
      </x:c>
      <x:c r="S151" s="148" t="str">
        <x:v>2026-07-27</x:v>
      </x:c>
    </x:row>
    <x:row r="152" ht="58" customHeight="1">
      <x:c r="A152" s="143" t="str">
        <x:v>CH-148</x:v>
      </x:c>
      <x:c r="B152" s="144" t="str">
        <x:v>機會</x:v>
      </x:c>
      <x:c r="C152" s="136" t="str">
        <x:v>跑者訓練：提升成績與突破 PB</x:v>
      </x:c>
      <x:c r="D152" s="136" t="str">
        <x:v>碳水與賽前補給</x:v>
      </x:c>
      <x:c r="E152" s="136" t="str">
        <x:v>把能量送到需要的時刻</x:v>
      </x:c>
      <x:c r="F152" s="136" t="str">
        <x:v>飲料與膠要一起計算</x:v>
      </x:c>
      <x:c r="G152" s="136" t="str">
        <x:v>只數能量膠會低估總碳水與液體濃度。
行動：做一張每 15–30 分鐘的補給表，標記碳水克數、液體與鈉。</x:v>
      </x:c>
      <x:c r="H152" s="136" t="str">
        <x:v>做一張每 15–30 分鐘的補給表，標記碳水克數、液體與鈉。</x:v>
      </x:c>
      <x:c r="I152" s="136" t="str">
        <x:v>賽前規劃</x:v>
      </x:c>
      <x:c r="J152" s="144" t="str">
        <x:v>中</x:v>
      </x:c>
      <x:c r="K152" s="144" t="str">
        <x:v>一般</x:v>
      </x:c>
      <x:c r="L152" s="136" t="str">
        <x:v>訓練值 +1</x:v>
      </x:c>
      <x:c r="M152" s="136" t="str">
        <x:v>依個人經驗、健康狀況與環境調整；不適時停止。</x:v>
      </x:c>
      <x:c r="N152" s="154" t="n">
        <x:f>LEN(G152)</x:f>
        <x:v>51</x:v>
      </x:c>
      <x:c r="O152" s="144" t="str">
        <x:v>S014</x:v>
      </x:c>
      <x:c r="P152" s="136" t="str">
        <x:v>World Athletics</x:v>
      </x:c>
      <x:c r="Q152" s="136" t="str">
        <x:v>Fluid Needs for Training, Competition, and Recovery</x:v>
      </x:c>
      <x:c r="R152" s="151" t="str">
        <x:v>https://worldathletics.org/download/download?filename=ef30aa1b-f972-4f15-84a0-5c131e13b2c9.pdf&amp;urlslug=Fluid+Needs+for+Training%2C+Competition%2C+and+Recovery+in+Track-and-Field+Athletes</x:v>
      </x:c>
      <x:c r="S152" s="148" t="str">
        <x:v>2026-07-27</x:v>
      </x:c>
    </x:row>
    <x:row r="153" ht="58" customHeight="1">
      <x:c r="A153" s="143" t="str">
        <x:v>CH-149</x:v>
      </x:c>
      <x:c r="B153" s="144" t="str">
        <x:v>機會</x:v>
      </x:c>
      <x:c r="C153" s="136" t="str">
        <x:v>跑者訓練：提升成績與突破 PB</x:v>
      </x:c>
      <x:c r="D153" s="136" t="str">
        <x:v>碳水與賽前補給</x:v>
      </x:c>
      <x:c r="E153" s="136" t="str">
        <x:v>把能量送到需要的時刻</x:v>
      </x:c>
      <x:c r="F153" s="136" t="str">
        <x:v>碳水超補不是暴食大餐</x:v>
      </x:c>
      <x:c r="G153" s="136" t="str">
        <x:v>賽前增加碳水應搭配降低訓練量，並以可消化食物分散到多餐。
行動：賽前 1–2 天提高主食比例，避免同時大增脂肪與纖維。</x:v>
      </x:c>
      <x:c r="H153" s="136" t="str">
        <x:v>賽前 1–2 天提高主食比例，避免同時大增脂肪與纖維。</x:v>
      </x:c>
      <x:c r="I153" s="136" t="str">
        <x:v>長距離賽前</x:v>
      </x:c>
      <x:c r="J153" s="144" t="str">
        <x:v>中</x:v>
      </x:c>
      <x:c r="K153" s="144" t="str">
        <x:v>一般</x:v>
      </x:c>
      <x:c r="L153" s="136" t="str">
        <x:v>訓練值 +1</x:v>
      </x:c>
      <x:c r="M153" s="136" t="str">
        <x:v>依個人經驗、健康狀況與環境調整；不適時停止。</x:v>
      </x:c>
      <x:c r="N153" s="154" t="n">
        <x:f>LEN(G153)</x:f>
        <x:v>59</x:v>
      </x:c>
      <x:c r="O153" s="144" t="str">
        <x:v>S054</x:v>
      </x:c>
      <x:c r="P153" s="136" t="str">
        <x:v>Sports Medicine／PubMed</x:v>
      </x:c>
      <x:c r="Q153" s="136" t="str">
        <x:v>Nutrition for marathon running</x:v>
      </x:c>
      <x:c r="R153" s="151" t="str">
        <x:v>https://pubmed.ncbi.nlm.nih.gov/17465604/</x:v>
      </x:c>
      <x:c r="S153" s="148" t="str">
        <x:v>2026-07-27</x:v>
      </x:c>
    </x:row>
    <x:row r="154" ht="58" customHeight="1">
      <x:c r="A154" s="143" t="str">
        <x:v>CH-150</x:v>
      </x:c>
      <x:c r="B154" s="144" t="str">
        <x:v>機會</x:v>
      </x:c>
      <x:c r="C154" s="136" t="str">
        <x:v>跑者訓練：提升成績與突破 PB</x:v>
      </x:c>
      <x:c r="D154" s="136" t="str">
        <x:v>碳水與賽前補給</x:v>
      </x:c>
      <x:c r="E154" s="136" t="str">
        <x:v>把能量送到需要的時刻</x:v>
      </x:c>
      <x:c r="F154" s="136" t="str">
        <x:v>比賽不首試補充品</x:v>
      </x:c>
      <x:c r="G154" s="136" t="str">
        <x:v>咖啡因、硝酸鹽或運動食品可能有劑量、腸胃與睡眠差異。
行動：先確認必要性、第三方檢測與個人反應；不把補充品當基本飲食替代品。</x:v>
      </x:c>
      <x:c r="H154" s="136" t="str">
        <x:v>先確認必要性、第三方檢測與個人反應；不把補充品當基本飲食替代品。</x:v>
      </x:c>
      <x:c r="I154" s="136" t="str">
        <x:v>補給選擇</x:v>
      </x:c>
      <x:c r="J154" s="144" t="str">
        <x:v>高</x:v>
      </x:c>
      <x:c r="K154" s="144" t="str">
        <x:v>留意</x:v>
      </x:c>
      <x:c r="L154" s="136" t="str">
        <x:v>完成安全調整：訓練值 +1；健康值 +1</x:v>
      </x:c>
      <x:c r="M154" s="136" t="str">
        <x:v>依個人經驗、健康狀況與環境調整；不適時停止。</x:v>
      </x:c>
      <x:c r="N154" s="154" t="n">
        <x:f>LEN(G154)</x:f>
        <x:v>62</x:v>
      </x:c>
      <x:c r="O154" s="144" t="str">
        <x:v>S065</x:v>
      </x:c>
      <x:c r="P154" s="136" t="str">
        <x:v>國際奧會（IOC）／BJSM</x:v>
      </x:c>
      <x:c r="Q154" s="136" t="str">
        <x:v>Dietary supplements and the high-performance athlete</x:v>
      </x:c>
      <x:c r="R154" s="151" t="str">
        <x:v>https://bjsm.bmj.com/content/52/7/439</x:v>
      </x:c>
      <x:c r="S154" s="148" t="str">
        <x:v>2026-07-27</x:v>
      </x:c>
    </x:row>
    <x:row r="155" ht="58" customHeight="1">
      <x:c r="A155" s="143" t="str">
        <x:v>CH-151</x:v>
      </x:c>
      <x:c r="B155" s="144" t="str">
        <x:v>機會</x:v>
      </x:c>
      <x:c r="C155" s="136" t="str">
        <x:v>跑者訓練：提升成績與突破 PB</x:v>
      </x:c>
      <x:c r="D155" s="136" t="str">
        <x:v>水分與電解質</x:v>
      </x:c>
      <x:c r="E155" s="136" t="str">
        <x:v>喝得剛好而非越多越好</x:v>
      </x:c>
      <x:c r="F155" s="136" t="str">
        <x:v>先量自己的出汗率</x:v>
      </x:c>
      <x:c r="G155" s="136" t="str">
        <x:v>水分需求受氣溫、速度、體型與個人出汗影響，沒有單一固定值。
行動：選典型課表量跑前後體重與飲水量，估算每小時流失。</x:v>
      </x:c>
      <x:c r="H155" s="136" t="str">
        <x:v>選典型課表量跑前後體重與飲水量，估算每小時流失。</x:v>
      </x:c>
      <x:c r="I155" s="136" t="str">
        <x:v>補水規劃</x:v>
      </x:c>
      <x:c r="J155" s="144" t="str">
        <x:v>高</x:v>
      </x:c>
      <x:c r="K155" s="144" t="str">
        <x:v>一般</x:v>
      </x:c>
      <x:c r="L155" s="136" t="str">
        <x:v>訓練值 +2；PB 點數 +1</x:v>
      </x:c>
      <x:c r="M155" s="136" t="str">
        <x:v>依個人經驗、健康狀況與環境調整；不適時停止。</x:v>
      </x:c>
      <x:c r="N155" s="154" t="n">
        <x:f>LEN(G155)</x:f>
        <x:v>57</x:v>
      </x:c>
      <x:c r="O155" s="144" t="str">
        <x:v>S014</x:v>
      </x:c>
      <x:c r="P155" s="136" t="str">
        <x:v>World Athletics</x:v>
      </x:c>
      <x:c r="Q155" s="136" t="str">
        <x:v>Fluid Needs for Training, Competition, and Recovery</x:v>
      </x:c>
      <x:c r="R155" s="151" t="str">
        <x:v>https://worldathletics.org/download/download?filename=ef30aa1b-f972-4f15-84a0-5c131e13b2c9.pdf&amp;urlslug=Fluid+Needs+for+Training%2C+Competition%2C+and+Recovery+in+Track-and-Field+Athletes</x:v>
      </x:c>
      <x:c r="S155" s="148" t="str">
        <x:v>2026-07-27</x:v>
      </x:c>
    </x:row>
    <x:row r="156" ht="58" customHeight="1">
      <x:c r="A156" s="143" t="str">
        <x:v>CH-152</x:v>
      </x:c>
      <x:c r="B156" s="144" t="str">
        <x:v>機會</x:v>
      </x:c>
      <x:c r="C156" s="136" t="str">
        <x:v>跑者訓練：提升成績與突破 PB</x:v>
      </x:c>
      <x:c r="D156" s="136" t="str">
        <x:v>水分與電解質</x:v>
      </x:c>
      <x:c r="E156" s="136" t="str">
        <x:v>喝得剛好而非越多越好</x:v>
      </x:c>
      <x:c r="F156" s="136" t="str">
        <x:v>固定猛灌可能比少喝更危險</x:v>
      </x:c>
      <x:c r="G156" s="136" t="str">
        <x:v>飲水超過流失量可能造成運動相關低鈉血症。
行動：依口渴、補給點與出汗率制定範圍，不為清空水壺強迫喝。</x:v>
      </x:c>
      <x:c r="H156" s="136" t="str">
        <x:v>依口渴、補給點與出汗率制定範圍，不為清空水壺強迫喝。</x:v>
      </x:c>
      <x:c r="I156" s="136" t="str">
        <x:v>長距離運動</x:v>
      </x:c>
      <x:c r="J156" s="144" t="str">
        <x:v>高</x:v>
      </x:c>
      <x:c r="K156" s="144" t="str">
        <x:v>留意</x:v>
      </x:c>
      <x:c r="L156" s="136" t="str">
        <x:v>完成安全調整：訓練值 +1；健康值 +1</x:v>
      </x:c>
      <x:c r="M156" s="136" t="str">
        <x:v>依個人經驗、健康狀況與環境調整；不適時停止。</x:v>
      </x:c>
      <x:c r="N156" s="154" t="n">
        <x:f>LEN(G156)</x:f>
        <x:v>50</x:v>
      </x:c>
      <x:c r="O156" s="144" t="str">
        <x:v>S037</x:v>
      </x:c>
      <x:c r="P156" s="136" t="str">
        <x:v>NATA</x:v>
      </x:c>
      <x:c r="Q156" s="136" t="str">
        <x:v>Fluid Replacement for the Physically Active</x:v>
      </x:c>
      <x:c r="R156" s="151" t="str">
        <x:v>https://www.nata.org/sites/default/files/2025-08/fluid_replacement_for_the_physically_active.pdf</x:v>
      </x:c>
      <x:c r="S156" s="148" t="str">
        <x:v>2026-07-27</x:v>
      </x:c>
    </x:row>
    <x:row r="157" ht="58" customHeight="1">
      <x:c r="A157" s="143" t="str">
        <x:v>CH-153</x:v>
      </x:c>
      <x:c r="B157" s="144" t="str">
        <x:v>機會</x:v>
      </x:c>
      <x:c r="C157" s="136" t="str">
        <x:v>跑者訓練：提升成績與突破 PB</x:v>
      </x:c>
      <x:c r="D157" s="136" t="str">
        <x:v>水分與電解質</x:v>
      </x:c>
      <x:c r="E157" s="136" t="str">
        <x:v>喝得剛好而非越多越好</x:v>
      </x:c>
      <x:c r="F157" s="136" t="str">
        <x:v>起跑前維持正常水合</x:v>
      </x:c>
      <x:c r="G157" s="136" t="str">
        <x:v>臨時大量灌水無法建立額外儲備，反而增加頻尿與稀釋風險。
行動：前一天正常吃喝，賽前依口渴與尿色補充，不追求完全透明尿。</x:v>
      </x:c>
      <x:c r="H157" s="136" t="str">
        <x:v>前一天正常吃喝，賽前依口渴與尿色補充，不追求完全透明尿。</x:v>
      </x:c>
      <x:c r="I157" s="136" t="str">
        <x:v>賽前</x:v>
      </x:c>
      <x:c r="J157" s="144" t="str">
        <x:v>中</x:v>
      </x:c>
      <x:c r="K157" s="144" t="str">
        <x:v>一般</x:v>
      </x:c>
      <x:c r="L157" s="136" t="str">
        <x:v>訓練值 +1</x:v>
      </x:c>
      <x:c r="M157" s="136" t="str">
        <x:v>依個人經驗、健康狀況與環境調整；不適時停止。</x:v>
      </x:c>
      <x:c r="N157" s="154" t="n">
        <x:f>LEN(G157)</x:f>
        <x:v>59</x:v>
      </x:c>
      <x:c r="O157" s="144" t="str">
        <x:v>S014</x:v>
      </x:c>
      <x:c r="P157" s="136" t="str">
        <x:v>World Athletics</x:v>
      </x:c>
      <x:c r="Q157" s="136" t="str">
        <x:v>Fluid Needs for Training, Competition, and Recovery</x:v>
      </x:c>
      <x:c r="R157" s="151" t="str">
        <x:v>https://worldathletics.org/download/download?filename=ef30aa1b-f972-4f15-84a0-5c131e13b2c9.pdf&amp;urlslug=Fluid+Needs+for+Training%2C+Competition%2C+and+Recovery+in+Track-and-Field+Athletes</x:v>
      </x:c>
      <x:c r="S157" s="148" t="str">
        <x:v>2026-07-27</x:v>
      </x:c>
    </x:row>
    <x:row r="158" ht="58" customHeight="1">
      <x:c r="A158" s="143" t="str">
        <x:v>CH-154</x:v>
      </x:c>
      <x:c r="B158" s="144" t="str">
        <x:v>機會</x:v>
      </x:c>
      <x:c r="C158" s="136" t="str">
        <x:v>跑者訓練：提升成績與突破 PB</x:v>
      </x:c>
      <x:c r="D158" s="136" t="str">
        <x:v>水分與電解質</x:v>
      </x:c>
      <x:c r="E158" s="136" t="str">
        <x:v>喝得剛好而非越多越好</x:v>
      </x:c>
      <x:c r="F158" s="136" t="str">
        <x:v>炎熱天要同時調整配速</x:v>
      </x:c>
      <x:c r="G158" s="136" t="str">
        <x:v>補水無法完全抵消高溫帶來的心血管與熱負荷。
行動：增加補給機會的同時降低速度、縮短時長或改時段。</x:v>
      </x:c>
      <x:c r="H158" s="136" t="str">
        <x:v>增加補給機會的同時降低速度、縮短時長或改時段。</x:v>
      </x:c>
      <x:c r="I158" s="136" t="str">
        <x:v>高溫高濕</x:v>
      </x:c>
      <x:c r="J158" s="144" t="str">
        <x:v>高</x:v>
      </x:c>
      <x:c r="K158" s="144" t="str">
        <x:v>一般</x:v>
      </x:c>
      <x:c r="L158" s="136" t="str">
        <x:v>訓練值 +2；PB 點數 +1</x:v>
      </x:c>
      <x:c r="M158" s="136" t="str">
        <x:v>依個人經驗、健康狀況與環境調整；不適時停止。</x:v>
      </x:c>
      <x:c r="N158" s="154" t="n">
        <x:f>LEN(G158)</x:f>
        <x:v>48</x:v>
      </x:c>
      <x:c r="O158" s="144" t="str">
        <x:v>S018</x:v>
      </x:c>
      <x:c r="P158" s="136" t="str">
        <x:v>國際奧會（IOC）／BJSM</x:v>
      </x:c>
      <x:c r="Q158" s="136" t="str">
        <x:v>Consensus on thermoregulatory and altitude challenges</x:v>
      </x:c>
      <x:c r="R158" s="151" t="str">
        <x:v>https://bjsm.bmj.com/content/57/1/8</x:v>
      </x:c>
      <x:c r="S158" s="148" t="str">
        <x:v>2026-07-27</x:v>
      </x:c>
    </x:row>
    <x:row r="159" ht="58" customHeight="1">
      <x:c r="A159" s="143" t="str">
        <x:v>CH-155</x:v>
      </x:c>
      <x:c r="B159" s="144" t="str">
        <x:v>機會</x:v>
      </x:c>
      <x:c r="C159" s="136" t="str">
        <x:v>跑者訓練：提升成績與突破 PB</x:v>
      </x:c>
      <x:c r="D159" s="136" t="str">
        <x:v>水分與電解質</x:v>
      </x:c>
      <x:c r="E159" s="136" t="str">
        <x:v>喝得剛好而非越多越好</x:v>
      </x:c>
      <x:c r="F159" s="136" t="str">
        <x:v>體重變化只能作為參考</x:v>
      </x:c>
      <x:c r="G159" s="136" t="str">
        <x:v>跑後體重下降可估算流失，但糖原、食物與排尿也會影響。
行動：用多次相似課表建立範圍，不因單次數字過度補水。</x:v>
      </x:c>
      <x:c r="H159" s="136" t="str">
        <x:v>用多次相似課表建立範圍，不因單次數字過度補水。</x:v>
      </x:c>
      <x:c r="I159" s="136" t="str">
        <x:v>長跑後</x:v>
      </x:c>
      <x:c r="J159" s="144" t="str">
        <x:v>中</x:v>
      </x:c>
      <x:c r="K159" s="144" t="str">
        <x:v>一般</x:v>
      </x:c>
      <x:c r="L159" s="136" t="str">
        <x:v>訓練值 +1</x:v>
      </x:c>
      <x:c r="M159" s="136" t="str">
        <x:v>依個人經驗、健康狀況與環境調整；不適時停止。</x:v>
      </x:c>
      <x:c r="N159" s="154" t="n">
        <x:f>LEN(G159)</x:f>
        <x:v>53</x:v>
      </x:c>
      <x:c r="O159" s="144" t="str">
        <x:v>S014</x:v>
      </x:c>
      <x:c r="P159" s="136" t="str">
        <x:v>World Athletics</x:v>
      </x:c>
      <x:c r="Q159" s="136" t="str">
        <x:v>Fluid Needs for Training, Competition, and Recovery</x:v>
      </x:c>
      <x:c r="R159" s="151" t="str">
        <x:v>https://worldathletics.org/download/download?filename=ef30aa1b-f972-4f15-84a0-5c131e13b2c9.pdf&amp;urlslug=Fluid+Needs+for+Training%2C+Competition%2C+and+Recovery+in+Track-and-Field+Athletes</x:v>
      </x:c>
      <x:c r="S159" s="148" t="str">
        <x:v>2026-07-27</x:v>
      </x:c>
    </x:row>
    <x:row r="160" ht="58" customHeight="1">
      <x:c r="A160" s="143" t="str">
        <x:v>CH-156</x:v>
      </x:c>
      <x:c r="B160" s="144" t="str">
        <x:v>機會</x:v>
      </x:c>
      <x:c r="C160" s="136" t="str">
        <x:v>跑者訓練：提升成績與突破 PB</x:v>
      </x:c>
      <x:c r="D160" s="136" t="str">
        <x:v>水分與電解質</x:v>
      </x:c>
      <x:c r="E160" s="136" t="str">
        <x:v>喝得剛好而非越多越好</x:v>
      </x:c>
      <x:c r="F160" s="136" t="str">
        <x:v>鈉需求要看汗量與時長</x:v>
      </x:c>
      <x:c r="G160" s="136" t="str">
        <x:v>大量出汗、長時間運動或鹹汗跑者可能需要更多鈉，但不是每人都要鹽錠。
行動：先從含鈉飲料或食物評估，避免未測試高劑量鹽錠。</x:v>
      </x:c>
      <x:c r="H160" s="136" t="str">
        <x:v>先從含鈉飲料或食物評估，避免未測試高劑量鹽錠。</x:v>
      </x:c>
      <x:c r="I160" s="136" t="str">
        <x:v>炎熱長賽</x:v>
      </x:c>
      <x:c r="J160" s="144" t="str">
        <x:v>中</x:v>
      </x:c>
      <x:c r="K160" s="144" t="str">
        <x:v>一般</x:v>
      </x:c>
      <x:c r="L160" s="136" t="str">
        <x:v>訓練值 +1</x:v>
      </x:c>
      <x:c r="M160" s="136" t="str">
        <x:v>依個人經驗、健康狀況與環境調整；不適時停止。</x:v>
      </x:c>
      <x:c r="N160" s="154" t="n">
        <x:f>LEN(G160)</x:f>
        <x:v>60</x:v>
      </x:c>
      <x:c r="O160" s="144" t="str">
        <x:v>S037</x:v>
      </x:c>
      <x:c r="P160" s="136" t="str">
        <x:v>NATA</x:v>
      </x:c>
      <x:c r="Q160" s="136" t="str">
        <x:v>Fluid Replacement for the Physically Active</x:v>
      </x:c>
      <x:c r="R160" s="151" t="str">
        <x:v>https://www.nata.org/sites/default/files/2025-08/fluid_replacement_for_the_physically_active.pdf</x:v>
      </x:c>
      <x:c r="S160" s="148" t="str">
        <x:v>2026-07-27</x:v>
      </x:c>
    </x:row>
    <x:row r="161" ht="58" customHeight="1">
      <x:c r="A161" s="143" t="str">
        <x:v>CH-157</x:v>
      </x:c>
      <x:c r="B161" s="144" t="str">
        <x:v>機會</x:v>
      </x:c>
      <x:c r="C161" s="136" t="str">
        <x:v>跑者訓練：提升成績與突破 PB</x:v>
      </x:c>
      <x:c r="D161" s="136" t="str">
        <x:v>水分與電解質</x:v>
      </x:c>
      <x:c r="E161" s="136" t="str">
        <x:v>喝得剛好而非越多越好</x:v>
      </x:c>
      <x:c r="F161" s="136" t="str">
        <x:v>冷天仍會失水</x:v>
      </x:c>
      <x:c r="G161" s="136" t="str">
        <x:v>低溫降低口渴感，但呼吸、衣物與運動仍會造成水分流失。
行動：照預定補給點小量飲用，並觀察尿量與頭暈等反應。</x:v>
      </x:c>
      <x:c r="H161" s="136" t="str">
        <x:v>照預定補給點小量飲用，並觀察尿量與頭暈等反應。</x:v>
      </x:c>
      <x:c r="I161" s="136" t="str">
        <x:v>冬季長跑</x:v>
      </x:c>
      <x:c r="J161" s="144" t="str">
        <x:v>中</x:v>
      </x:c>
      <x:c r="K161" s="144" t="str">
        <x:v>一般</x:v>
      </x:c>
      <x:c r="L161" s="136" t="str">
        <x:v>訓練值 +1</x:v>
      </x:c>
      <x:c r="M161" s="136" t="str">
        <x:v>依個人經驗、健康狀況與環境調整；不適時停止。</x:v>
      </x:c>
      <x:c r="N161" s="154" t="n">
        <x:f>LEN(G161)</x:f>
        <x:v>53</x:v>
      </x:c>
      <x:c r="O161" s="144" t="str">
        <x:v>S018</x:v>
      </x:c>
      <x:c r="P161" s="136" t="str">
        <x:v>國際奧會（IOC）／BJSM</x:v>
      </x:c>
      <x:c r="Q161" s="136" t="str">
        <x:v>Consensus on thermoregulatory and altitude challenges</x:v>
      </x:c>
      <x:c r="R161" s="151" t="str">
        <x:v>https://bjsm.bmj.com/content/57/1/8</x:v>
      </x:c>
      <x:c r="S161" s="148" t="str">
        <x:v>2026-07-27</x:v>
      </x:c>
    </x:row>
    <x:row r="162" ht="58" customHeight="1">
      <x:c r="A162" s="143" t="str">
        <x:v>CH-158</x:v>
      </x:c>
      <x:c r="B162" s="144" t="str">
        <x:v>機會</x:v>
      </x:c>
      <x:c r="C162" s="136" t="str">
        <x:v>跑者訓練：提升成績與突破 PB</x:v>
      </x:c>
      <x:c r="D162" s="136" t="str">
        <x:v>水分與電解質</x:v>
      </x:c>
      <x:c r="E162" s="136" t="str">
        <x:v>喝得剛好而非越多越好</x:v>
      </x:c>
      <x:c r="F162" s="136" t="str">
        <x:v>跑前後量重建立個人資料</x:v>
      </x:c>
      <x:c r="G162" s="136" t="str">
        <x:v>同一路線與天候下重複量測，能比網路公式更接近個人需求。
行動：記錄氣溫、濕度、時長、飲水與體重變化。</x:v>
      </x:c>
      <x:c r="H162" s="136" t="str">
        <x:v>記錄氣溫、濕度、時長、飲水與體重變化。</x:v>
      </x:c>
      <x:c r="I162" s="136" t="str">
        <x:v>不同季節</x:v>
      </x:c>
      <x:c r="J162" s="144" t="str">
        <x:v>中</x:v>
      </x:c>
      <x:c r="K162" s="144" t="str">
        <x:v>一般</x:v>
      </x:c>
      <x:c r="L162" s="136" t="str">
        <x:v>訓練值 +1</x:v>
      </x:c>
      <x:c r="M162" s="136" t="str">
        <x:v>依個人經驗、健康狀況與環境調整；不適時停止。</x:v>
      </x:c>
      <x:c r="N162" s="154" t="n">
        <x:f>LEN(G162)</x:f>
        <x:v>50</x:v>
      </x:c>
      <x:c r="O162" s="144" t="str">
        <x:v>S014</x:v>
      </x:c>
      <x:c r="P162" s="136" t="str">
        <x:v>World Athletics</x:v>
      </x:c>
      <x:c r="Q162" s="136" t="str">
        <x:v>Fluid Needs for Training, Competition, and Recovery</x:v>
      </x:c>
      <x:c r="R162" s="151" t="str">
        <x:v>https://worldathletics.org/download/download?filename=ef30aa1b-f972-4f15-84a0-5c131e13b2c9.pdf&amp;urlslug=Fluid+Needs+for+Training%2C+Competition%2C+and+Recovery+in+Track-and-Field+Athletes</x:v>
      </x:c>
      <x:c r="S162" s="148" t="str">
        <x:v>2026-07-27</x:v>
      </x:c>
    </x:row>
    <x:row r="163" ht="58" customHeight="1">
      <x:c r="A163" s="143" t="str">
        <x:v>CH-159</x:v>
      </x:c>
      <x:c r="B163" s="144" t="str">
        <x:v>機會</x:v>
      </x:c>
      <x:c r="C163" s="136" t="str">
        <x:v>跑者訓練：提升成績與突破 PB</x:v>
      </x:c>
      <x:c r="D163" s="136" t="str">
        <x:v>水分與電解質</x:v>
      </x:c>
      <x:c r="E163" s="136" t="str">
        <x:v>喝得剛好而非越多越好</x:v>
      </x:c>
      <x:c r="F163" s="136" t="str">
        <x:v>透明尿不是唯一目標</x:v>
      </x:c>
      <x:c r="G163" s="136" t="str">
        <x:v>追求尿色完全透明可能導致過量飲水；深色尿也可能受食物與藥物影響。
行動：結合口渴、排尿頻率、體重與整體狀態判斷。</x:v>
      </x:c>
      <x:c r="H163" s="136" t="str">
        <x:v>結合口渴、排尿頻率、體重與整體狀態判斷。</x:v>
      </x:c>
      <x:c r="I163" s="136" t="str">
        <x:v>日常水合</x:v>
      </x:c>
      <x:c r="J163" s="144" t="str">
        <x:v>中</x:v>
      </x:c>
      <x:c r="K163" s="144" t="str">
        <x:v>一般</x:v>
      </x:c>
      <x:c r="L163" s="136" t="str">
        <x:v>訓練值 +1</x:v>
      </x:c>
      <x:c r="M163" s="136" t="str">
        <x:v>依個人經驗、健康狀況與環境調整；不適時停止。</x:v>
      </x:c>
      <x:c r="N163" s="154" t="n">
        <x:f>LEN(G163)</x:f>
        <x:v>56</x:v>
      </x:c>
      <x:c r="O163" s="144" t="str">
        <x:v>S014</x:v>
      </x:c>
      <x:c r="P163" s="136" t="str">
        <x:v>World Athletics</x:v>
      </x:c>
      <x:c r="Q163" s="136" t="str">
        <x:v>Fluid Needs for Training, Competition, and Recovery</x:v>
      </x:c>
      <x:c r="R163" s="151" t="str">
        <x:v>https://worldathletics.org/download/download?filename=ef30aa1b-f972-4f15-84a0-5c131e13b2c9.pdf&amp;urlslug=Fluid+Needs+for+Training%2C+Competition%2C+and+Recovery+in+Track-and-Field+Athletes</x:v>
      </x:c>
      <x:c r="S163" s="148" t="str">
        <x:v>2026-07-27</x:v>
      </x:c>
    </x:row>
    <x:row r="164" ht="58" customHeight="1">
      <x:c r="A164" s="143" t="str">
        <x:v>CH-160</x:v>
      </x:c>
      <x:c r="B164" s="144" t="str">
        <x:v>機會</x:v>
      </x:c>
      <x:c r="C164" s="136" t="str">
        <x:v>跑者訓練：提升成績與突破 PB</x:v>
      </x:c>
      <x:c r="D164" s="136" t="str">
        <x:v>水分與電解質</x:v>
      </x:c>
      <x:c r="E164" s="136" t="str">
        <x:v>喝得剛好而非越多越好</x:v>
      </x:c>
      <x:c r="F164" s="136" t="str">
        <x:v>頭痛噁心不一定只是缺水</x:v>
      </x:c>
      <x:c r="G164" s="136" t="str">
        <x:v>長賽中的頭痛、噁心、腫脹或意識改變，也可能是低鈉或熱傷害。
行動：立即停止、不要強迫灌水，向賽事醫療求助。
注意：意識改變、抽搐或嚴重症狀請立即啟動緊急救護。</x:v>
      </x:c>
      <x:c r="H164" s="136" t="str">
        <x:v>立即停止、不要強迫灌水，向賽事醫療求助。</x:v>
      </x:c>
      <x:c r="I164" s="136" t="str">
        <x:v>長賽出現異常</x:v>
      </x:c>
      <x:c r="J164" s="144" t="str">
        <x:v>高</x:v>
      </x:c>
      <x:c r="K164" s="144" t="str">
        <x:v>緊急</x:v>
      </x:c>
      <x:c r="L164" s="136" t="str">
        <x:v>辨識警訊並停止：健康值 +2；本回合休息</x:v>
      </x:c>
      <x:c r="M164" s="136" t="str">
        <x:v>意識改變、抽搐或嚴重症狀請立即啟動緊急救護。</x:v>
      </x:c>
      <x:c r="N164" s="154" t="n">
        <x:f>LEN(G164)</x:f>
        <x:v>79</x:v>
      </x:c>
      <x:c r="O164" s="144" t="str">
        <x:v>S037</x:v>
      </x:c>
      <x:c r="P164" s="136" t="str">
        <x:v>NATA</x:v>
      </x:c>
      <x:c r="Q164" s="136" t="str">
        <x:v>Fluid Replacement for the Physically Active</x:v>
      </x:c>
      <x:c r="R164" s="151" t="str">
        <x:v>https://www.nata.org/sites/default/files/2025-08/fluid_replacement_for_the_physically_active.pdf</x:v>
      </x:c>
      <x:c r="S164" s="148" t="str">
        <x:v>2026-07-27</x:v>
      </x:c>
    </x:row>
    <x:row r="165" ht="58" customHeight="1">
      <x:c r="A165" s="143" t="str">
        <x:v>CH-161</x:v>
      </x:c>
      <x:c r="B165" s="144" t="str">
        <x:v>機會</x:v>
      </x:c>
      <x:c r="C165" s="136" t="str">
        <x:v>跑者訓練：提升成績與突破 PB</x:v>
      </x:c>
      <x:c r="D165" s="136" t="str">
        <x:v>蛋白質與恢復飲食</x:v>
      </x:c>
      <x:c r="E165" s="136" t="str">
        <x:v>修復同時補回能量</x:v>
      </x:c>
      <x:c r="F165" s="136" t="str">
        <x:v>每餐平均分配蛋白質</x:v>
      </x:c>
      <x:c r="G165" s="136" t="str">
        <x:v>把蛋白質分散到一日多餐，較有利於反覆提供修復原料。
行動：三餐加點心都安排一份優質蛋白質，而非只在晚餐集中。</x:v>
      </x:c>
      <x:c r="H165" s="136" t="str">
        <x:v>三餐加點心都安排一份優質蛋白質，而非只在晚餐集中。</x:v>
      </x:c>
      <x:c r="I165" s="136" t="str">
        <x:v>日常飲食</x:v>
      </x:c>
      <x:c r="J165" s="144" t="str">
        <x:v>中</x:v>
      </x:c>
      <x:c r="K165" s="144" t="str">
        <x:v>一般</x:v>
      </x:c>
      <x:c r="L165" s="136" t="str">
        <x:v>訓練值 +1</x:v>
      </x:c>
      <x:c r="M165" s="136" t="str">
        <x:v>依個人經驗、健康狀況與環境調整；不適時停止。</x:v>
      </x:c>
      <x:c r="N165" s="154" t="n">
        <x:f>LEN(G165)</x:f>
        <x:v>54</x:v>
      </x:c>
      <x:c r="O165" s="144" t="str">
        <x:v>S015</x:v>
      </x:c>
      <x:c r="P165" s="136" t="str">
        <x:v>World Athletics</x:v>
      </x:c>
      <x:c r="Q165" s="136" t="str">
        <x:v>Dietary Protein for Training Adaptation</x:v>
      </x:c>
      <x:c r="R165" s="151" t="str">
        <x:v>https://worldathletics.org/download/download?filename=c873b6da-a0fb-4625-ace2-fc9a3cf0ebe3.pdf&amp;urlslug=Dietary+Protein+for+Training+Adaptation+and+Body+Composition+Manipulation+in+Track+and+Field+Athletes</x:v>
      </x:c>
      <x:c r="S165" s="148" t="str">
        <x:v>2026-07-27</x:v>
      </x:c>
    </x:row>
    <x:row r="166" ht="58" customHeight="1">
      <x:c r="A166" s="143" t="str">
        <x:v>CH-162</x:v>
      </x:c>
      <x:c r="B166" s="144" t="str">
        <x:v>機會</x:v>
      </x:c>
      <x:c r="C166" s="136" t="str">
        <x:v>跑者訓練：提升成績與突破 PB</x:v>
      </x:c>
      <x:c r="D166" s="136" t="str">
        <x:v>蛋白質與恢復飲食</x:v>
      </x:c>
      <x:c r="E166" s="136" t="str">
        <x:v>修復同時補回能量</x:v>
      </x:c>
      <x:c r="F166" s="136" t="str">
        <x:v>運動後先吃得到的完整餐</x:v>
      </x:c>
      <x:c r="G166" s="136" t="str">
        <x:v>多數跑者不需要昂貴產品；碳水加蛋白質的日常食物即可。
行動：在方便時間內吃正餐，若延遲再用牛奶、豆漿、優格或三明治過渡。</x:v>
      </x:c>
      <x:c r="H166" s="136" t="str">
        <x:v>在方便時間內吃正餐，若延遲再用牛奶、豆漿、優格或三明治過渡。</x:v>
      </x:c>
      <x:c r="I166" s="136" t="str">
        <x:v>跑後</x:v>
      </x:c>
      <x:c r="J166" s="144" t="str">
        <x:v>中</x:v>
      </x:c>
      <x:c r="K166" s="144" t="str">
        <x:v>一般</x:v>
      </x:c>
      <x:c r="L166" s="136" t="str">
        <x:v>訓練值 +1</x:v>
      </x:c>
      <x:c r="M166" s="136" t="str">
        <x:v>依個人經驗、健康狀況與環境調整；不適時停止。</x:v>
      </x:c>
      <x:c r="N166" s="154" t="n">
        <x:f>LEN(G166)</x:f>
        <x:v>60</x:v>
      </x:c>
      <x:c r="O166" s="144" t="str">
        <x:v>S015</x:v>
      </x:c>
      <x:c r="P166" s="136" t="str">
        <x:v>World Athletics</x:v>
      </x:c>
      <x:c r="Q166" s="136" t="str">
        <x:v>Dietary Protein for Training Adaptation</x:v>
      </x:c>
      <x:c r="R166" s="151" t="str">
        <x:v>https://worldathletics.org/download/download?filename=c873b6da-a0fb-4625-ace2-fc9a3cf0ebe3.pdf&amp;urlslug=Dietary+Protein+for+Training+Adaptation+and+Body+Composition+Manipulation+in+Track+and+Field+Athletes</x:v>
      </x:c>
      <x:c r="S166" s="148" t="str">
        <x:v>2026-07-27</x:v>
      </x:c>
    </x:row>
    <x:row r="167" ht="58" customHeight="1">
      <x:c r="A167" s="143" t="str">
        <x:v>CH-163</x:v>
      </x:c>
      <x:c r="B167" s="144" t="str">
        <x:v>機會</x:v>
      </x:c>
      <x:c r="C167" s="136" t="str">
        <x:v>跑者訓練：提升成績與突破 PB</x:v>
      </x:c>
      <x:c r="D167" s="136" t="str">
        <x:v>蛋白質與恢復飲食</x:v>
      </x:c>
      <x:c r="E167" s="136" t="str">
        <x:v>修復同時補回能量</x:v>
      </x:c>
      <x:c r="F167" s="136" t="str">
        <x:v>蛋白質不能取代碳水</x:v>
      </x:c>
      <x:c r="G167" s="136" t="str">
        <x:v>耐力訓練後既要修復肌肉，也要補回肝糖。
行動：恢復餐同時包含主食與蛋白質，不用低碳高蛋白硬撐下一堂課。</x:v>
      </x:c>
      <x:c r="H167" s="136" t="str">
        <x:v>恢復餐同時包含主食與蛋白質，不用低碳高蛋白硬撐下一堂課。</x:v>
      </x:c>
      <x:c r="I167" s="136" t="str">
        <x:v>長跑或間歇後</x:v>
      </x:c>
      <x:c r="J167" s="144" t="str">
        <x:v>高</x:v>
      </x:c>
      <x:c r="K167" s="144" t="str">
        <x:v>一般</x:v>
      </x:c>
      <x:c r="L167" s="136" t="str">
        <x:v>訓練值 +2；PB 點數 +1</x:v>
      </x:c>
      <x:c r="M167" s="136" t="str">
        <x:v>依個人經驗、健康狀況與環境調整；不適時停止。</x:v>
      </x:c>
      <x:c r="N167" s="154" t="n">
        <x:f>LEN(G167)</x:f>
        <x:v>51</x:v>
      </x:c>
      <x:c r="O167" s="144" t="str">
        <x:v>S012</x:v>
      </x:c>
      <x:c r="P167" s="136" t="str">
        <x:v>World Athletics</x:v>
      </x:c>
      <x:c r="Q167" s="136" t="str">
        <x:v>Nutrition for Athletics — Consensus Statement</x:v>
      </x:c>
      <x:c r="R167" s="151" t="str">
        <x:v>https://worldathletics.org/download/download?filename=23fb9de0-6699-4d5b-b075-42f5da5518f5.pdf&amp;urlslug=Nutrition%2Bfor%2BAthletics%2B-%2B2019%2BIAAF%2BConsensus%2BStatement</x:v>
      </x:c>
      <x:c r="S167" s="148" t="str">
        <x:v>2026-07-27</x:v>
      </x:c>
    </x:row>
    <x:row r="168" ht="58" customHeight="1">
      <x:c r="A168" s="143" t="str">
        <x:v>CH-164</x:v>
      </x:c>
      <x:c r="B168" s="144" t="str">
        <x:v>機會</x:v>
      </x:c>
      <x:c r="C168" s="136" t="str">
        <x:v>跑者訓練：提升成績與突破 PB</x:v>
      </x:c>
      <x:c r="D168" s="136" t="str">
        <x:v>蛋白質與恢復飲食</x:v>
      </x:c>
      <x:c r="E168" s="136" t="str">
        <x:v>修復同時補回能量</x:v>
      </x:c>
      <x:c r="F168" s="136" t="str">
        <x:v>長跑後先補液體與鹽分</x:v>
      </x:c>
      <x:c r="G168" s="136" t="str">
        <x:v>大量出汗後，只吃乾的蛋白棒可能不足以恢復水合。
行動：搭配液體、含鈉餐點與碳水，依體重變化分次補充。</x:v>
      </x:c>
      <x:c r="H168" s="136" t="str">
        <x:v>搭配液體、含鈉餐點與碳水，依體重變化分次補充。</x:v>
      </x:c>
      <x:c r="I168" s="136" t="str">
        <x:v>炎熱長跑後</x:v>
      </x:c>
      <x:c r="J168" s="144" t="str">
        <x:v>中</x:v>
      </x:c>
      <x:c r="K168" s="144" t="str">
        <x:v>一般</x:v>
      </x:c>
      <x:c r="L168" s="136" t="str">
        <x:v>訓練值 +1</x:v>
      </x:c>
      <x:c r="M168" s="136" t="str">
        <x:v>依個人經驗、健康狀況與環境調整；不適時停止。</x:v>
      </x:c>
      <x:c r="N168" s="154" t="n">
        <x:f>LEN(G168)</x:f>
        <x:v>50</x:v>
      </x:c>
      <x:c r="O168" s="144" t="str">
        <x:v>S014</x:v>
      </x:c>
      <x:c r="P168" s="136" t="str">
        <x:v>World Athletics</x:v>
      </x:c>
      <x:c r="Q168" s="136" t="str">
        <x:v>Fluid Needs for Training, Competition, and Recovery</x:v>
      </x:c>
      <x:c r="R168" s="151" t="str">
        <x:v>https://worldathletics.org/download/download?filename=ef30aa1b-f972-4f15-84a0-5c131e13b2c9.pdf&amp;urlslug=Fluid+Needs+for+Training%2C+Competition%2C+and+Recovery+in+Track-and-Field+Athletes</x:v>
      </x:c>
      <x:c r="S168" s="148" t="str">
        <x:v>2026-07-27</x:v>
      </x:c>
    </x:row>
    <x:row r="169" ht="58" customHeight="1">
      <x:c r="A169" s="143" t="str">
        <x:v>CH-165</x:v>
      </x:c>
      <x:c r="B169" s="144" t="str">
        <x:v>機會</x:v>
      </x:c>
      <x:c r="C169" s="136" t="str">
        <x:v>跑者訓練：提升成績與突破 PB</x:v>
      </x:c>
      <x:c r="D169" s="136" t="str">
        <x:v>蛋白質與恢復飲食</x:v>
      </x:c>
      <x:c r="E169" s="136" t="str">
        <x:v>修復同時補回能量</x:v>
      </x:c>
      <x:c r="F169" s="136" t="str">
        <x:v>植物蛋白也能完成任務</x:v>
      </x:c>
      <x:c r="G169" s="136" t="str">
        <x:v>豆類、豆製品、全穀與堅果可組合提供蛋白質，但總量與多樣性要足夠。
行動：每餐加入豆腐、豆漿、豆類或其他高蛋白主食，必要時諮詢營養師。</x:v>
      </x:c>
      <x:c r="H169" s="136" t="str">
        <x:v>每餐加入豆腐、豆漿、豆類或其他高蛋白主食，必要時諮詢營養師。</x:v>
      </x:c>
      <x:c r="I169" s="136" t="str">
        <x:v>素食跑者</x:v>
      </x:c>
      <x:c r="J169" s="144" t="str">
        <x:v>中</x:v>
      </x:c>
      <x:c r="K169" s="144" t="str">
        <x:v>一般</x:v>
      </x:c>
      <x:c r="L169" s="136" t="str">
        <x:v>訓練值 +1</x:v>
      </x:c>
      <x:c r="M169" s="136" t="str">
        <x:v>依個人經驗、健康狀況與環境調整；不適時停止。</x:v>
      </x:c>
      <x:c r="N169" s="154" t="n">
        <x:f>LEN(G169)</x:f>
        <x:v>66</x:v>
      </x:c>
      <x:c r="O169" s="144" t="str">
        <x:v>S015</x:v>
      </x:c>
      <x:c r="P169" s="136" t="str">
        <x:v>World Athletics</x:v>
      </x:c>
      <x:c r="Q169" s="136" t="str">
        <x:v>Dietary Protein for Training Adaptation</x:v>
      </x:c>
      <x:c r="R169" s="151" t="str">
        <x:v>https://worldathletics.org/download/download?filename=c873b6da-a0fb-4625-ace2-fc9a3cf0ebe3.pdf&amp;urlslug=Dietary+Protein+for+Training+Adaptation+and+Body+Composition+Manipulation+in+Track+and+Field+Athletes</x:v>
      </x:c>
      <x:c r="S169" s="148" t="str">
        <x:v>2026-07-27</x:v>
      </x:c>
    </x:row>
    <x:row r="170" ht="58" customHeight="1">
      <x:c r="A170" s="143" t="str">
        <x:v>CH-166</x:v>
      </x:c>
      <x:c r="B170" s="144" t="str">
        <x:v>機會</x:v>
      </x:c>
      <x:c r="C170" s="136" t="str">
        <x:v>跑者訓練：提升成績與突破 PB</x:v>
      </x:c>
      <x:c r="D170" s="136" t="str">
        <x:v>蛋白質與恢復飲食</x:v>
      </x:c>
      <x:c r="E170" s="136" t="str">
        <x:v>修復同時補回能量</x:v>
      </x:c>
      <x:c r="F170" s="136" t="str">
        <x:v>總能量不足會壓過恢復</x:v>
      </x:c>
      <x:c r="G170" s="136" t="str">
        <x:v>若長期吃不夠，再精準的蛋白質時機也難以修復與適應。
行動：觀察體重、月經、情緒、睡眠與反覆傷病，確保三餐與訓練補給。</x:v>
      </x:c>
      <x:c r="H170" s="136" t="str">
        <x:v>觀察體重、月經、情緒、睡眠與反覆傷病，確保三餐與訓練補給。</x:v>
      </x:c>
      <x:c r="I170" s="136" t="str">
        <x:v>高量期</x:v>
      </x:c>
      <x:c r="J170" s="144" t="str">
        <x:v>高</x:v>
      </x:c>
      <x:c r="K170" s="144" t="str">
        <x:v>留意</x:v>
      </x:c>
      <x:c r="L170" s="136" t="str">
        <x:v>完成安全調整：訓練值 +1；健康值 +1</x:v>
      </x:c>
      <x:c r="M170" s="136" t="str">
        <x:v>依個人經驗、健康狀況與環境調整；不適時停止。</x:v>
      </x:c>
      <x:c r="N170" s="154" t="n">
        <x:f>LEN(G170)</x:f>
        <x:v>58</x:v>
      </x:c>
      <x:c r="O170" s="144" t="str">
        <x:v>S043</x:v>
      </x:c>
      <x:c r="P170" s="136" t="str">
        <x:v>World Athletics</x:v>
      </x:c>
      <x:c r="Q170" s="136" t="str">
        <x:v>Energy Availability in Athletics</x:v>
      </x:c>
      <x:c r="R170" s="151" t="str">
        <x:v>https://worldathletics.org/download/download?filename=2d963a63-c730-48c6-8f15-9b7014bc8dda.pdf&amp;urlslug=Energy+Availability+in+Athletics%3A+Health%2C+Performance%2C+and+Physique</x:v>
      </x:c>
      <x:c r="S170" s="148" t="str">
        <x:v>2026-07-27</x:v>
      </x:c>
    </x:row>
    <x:row r="171" ht="58" customHeight="1">
      <x:c r="A171" s="143" t="str">
        <x:v>CH-167</x:v>
      </x:c>
      <x:c r="B171" s="144" t="str">
        <x:v>機會</x:v>
      </x:c>
      <x:c r="C171" s="136" t="str">
        <x:v>跑者訓練：提升成績與突破 PB</x:v>
      </x:c>
      <x:c r="D171" s="136" t="str">
        <x:v>蛋白質與恢復飲食</x:v>
      </x:c>
      <x:c r="E171" s="136" t="str">
        <x:v>修復同時補回能量</x:v>
      </x:c>
      <x:c r="F171" s="136" t="str">
        <x:v>膠原蛋白不是傷痛保證</x:v>
      </x:c>
      <x:c r="G171" s="136" t="str">
        <x:v>部分補充品研究仍有限，不能取代漸進負荷與完整營養。
行動：先確保總蛋白、維生素 C 與能量充足，再由專業人員評估是否需要。</x:v>
      </x:c>
      <x:c r="H171" s="136" t="str">
        <x:v>先確保總蛋白、維生素 C 與能量充足，再由專業人員評估是否需要。</x:v>
      </x:c>
      <x:c r="I171" s="136" t="str">
        <x:v>肌腱復健</x:v>
      </x:c>
      <x:c r="J171" s="144" t="str">
        <x:v>中</x:v>
      </x:c>
      <x:c r="K171" s="144" t="str">
        <x:v>留意</x:v>
      </x:c>
      <x:c r="L171" s="136" t="str">
        <x:v>完成安全調整：訓練值 +1；健康值 +1</x:v>
      </x:c>
      <x:c r="M171" s="136" t="str">
        <x:v>依個人經驗、健康狀況與環境調整；不適時停止。</x:v>
      </x:c>
      <x:c r="N171" s="154" t="n">
        <x:f>LEN(G171)</x:f>
        <x:v>61</x:v>
      </x:c>
      <x:c r="O171" s="144" t="str">
        <x:v>S045</x:v>
      </x:c>
      <x:c r="P171" s="136" t="str">
        <x:v>World Athletics</x:v>
      </x:c>
      <x:c r="Q171" s="136" t="str">
        <x:v>Nutrition for Prevention and Treatment of Injuries</x:v>
      </x:c>
      <x:c r="R171" s="151" t="str">
        <x:v>https://worldathletics.org/download/download?filename=077c2d7a-619f-45dc-8c0a-7ffd450bc22a.pdf&amp;urlslug=Nutrition+for+the+Prevention+and+Treatment+of+Injuries+in+Track+and+Field+Athletes</x:v>
      </x:c>
      <x:c r="S171" s="148" t="str">
        <x:v>2026-07-27</x:v>
      </x:c>
    </x:row>
    <x:row r="172" ht="58" customHeight="1">
      <x:c r="A172" s="143" t="str">
        <x:v>CH-168</x:v>
      </x:c>
      <x:c r="B172" s="144" t="str">
        <x:v>機會</x:v>
      </x:c>
      <x:c r="C172" s="136" t="str">
        <x:v>跑者訓練：提升成績與突破 PB</x:v>
      </x:c>
      <x:c r="D172" s="136" t="str">
        <x:v>蛋白質與恢復飲食</x:v>
      </x:c>
      <x:c r="E172" s="136" t="str">
        <x:v>修復同時補回能量</x:v>
      </x:c>
      <x:c r="F172" s="136" t="str">
        <x:v>酒精會干擾恢復選擇</x:v>
      </x:c>
      <x:c r="G172" s="136" t="str">
        <x:v>大量飲酒可能影響睡眠、補液與肌肉修復。
行動：關鍵課或比賽後優先進食與補水；飲酒越少越有利恢復。</x:v>
      </x:c>
      <x:c r="H172" s="136" t="str">
        <x:v>關鍵課或比賽後優先進食與補水；飲酒越少越有利恢復。</x:v>
      </x:c>
      <x:c r="I172" s="136" t="str">
        <x:v>跑後聚餐</x:v>
      </x:c>
      <x:c r="J172" s="144" t="str">
        <x:v>中</x:v>
      </x:c>
      <x:c r="K172" s="144" t="str">
        <x:v>一般</x:v>
      </x:c>
      <x:c r="L172" s="136" t="str">
        <x:v>訓練值 +1</x:v>
      </x:c>
      <x:c r="M172" s="136" t="str">
        <x:v>依個人經驗、健康狀況與環境調整；不適時停止。</x:v>
      </x:c>
      <x:c r="N172" s="154" t="n">
        <x:f>LEN(G172)</x:f>
        <x:v>48</x:v>
      </x:c>
      <x:c r="O172" s="144" t="str">
        <x:v>S012</x:v>
      </x:c>
      <x:c r="P172" s="136" t="str">
        <x:v>World Athletics</x:v>
      </x:c>
      <x:c r="Q172" s="136" t="str">
        <x:v>Nutrition for Athletics — Consensus Statement</x:v>
      </x:c>
      <x:c r="R172" s="151" t="str">
        <x:v>https://worldathletics.org/download/download?filename=23fb9de0-6699-4d5b-b075-42f5da5518f5.pdf&amp;urlslug=Nutrition%2Bfor%2BAthletics%2B-%2B2019%2BIAAF%2BConsensus%2BStatement</x:v>
      </x:c>
      <x:c r="S172" s="148" t="str">
        <x:v>2026-07-27</x:v>
      </x:c>
    </x:row>
    <x:row r="173" ht="58" customHeight="1">
      <x:c r="A173" s="143" t="str">
        <x:v>CH-169</x:v>
      </x:c>
      <x:c r="B173" s="144" t="str">
        <x:v>機會</x:v>
      </x:c>
      <x:c r="C173" s="136" t="str">
        <x:v>跑者訓練：提升成績與突破 PB</x:v>
      </x:c>
      <x:c r="D173" s="136" t="str">
        <x:v>蛋白質與恢復飲食</x:v>
      </x:c>
      <x:c r="E173" s="136" t="str">
        <x:v>修復同時補回能量</x:v>
      </x:c>
      <x:c r="F173" s="136" t="str">
        <x:v>食物優先補微量營養素</x:v>
      </x:c>
      <x:c r="G173" s="136" t="str">
        <x:v>單靠綜合維他命無法補足能量與均衡飲食。
行動：每日攝取多樣蔬果、全穀、乳品或替代品與蛋白質來源。</x:v>
      </x:c>
      <x:c r="H173" s="136" t="str">
        <x:v>每日攝取多樣蔬果、全穀、乳品或替代品與蛋白質來源。</x:v>
      </x:c>
      <x:c r="I173" s="136" t="str">
        <x:v>日常恢復</x:v>
      </x:c>
      <x:c r="J173" s="144" t="str">
        <x:v>中</x:v>
      </x:c>
      <x:c r="K173" s="144" t="str">
        <x:v>一般</x:v>
      </x:c>
      <x:c r="L173" s="136" t="str">
        <x:v>訓練值 +1</x:v>
      </x:c>
      <x:c r="M173" s="136" t="str">
        <x:v>依個人經驗、健康狀況與環境調整；不適時停止。</x:v>
      </x:c>
      <x:c r="N173" s="154" t="n">
        <x:f>LEN(G173)</x:f>
        <x:v>48</x:v>
      </x:c>
      <x:c r="O173" s="144" t="str">
        <x:v>S012</x:v>
      </x:c>
      <x:c r="P173" s="136" t="str">
        <x:v>World Athletics</x:v>
      </x:c>
      <x:c r="Q173" s="136" t="str">
        <x:v>Nutrition for Athletics — Consensus Statement</x:v>
      </x:c>
      <x:c r="R173" s="151" t="str">
        <x:v>https://worldathletics.org/download/download?filename=23fb9de0-6699-4d5b-b075-42f5da5518f5.pdf&amp;urlslug=Nutrition%2Bfor%2BAthletics%2B-%2B2019%2BIAAF%2BConsensus%2BStatement</x:v>
      </x:c>
      <x:c r="S173" s="148" t="str">
        <x:v>2026-07-27</x:v>
      </x:c>
    </x:row>
    <x:row r="174" ht="58" customHeight="1">
      <x:c r="A174" s="143" t="str">
        <x:v>CH-170</x:v>
      </x:c>
      <x:c r="B174" s="144" t="str">
        <x:v>機會</x:v>
      </x:c>
      <x:c r="C174" s="136" t="str">
        <x:v>跑者訓練：提升成績與突破 PB</x:v>
      </x:c>
      <x:c r="D174" s="136" t="str">
        <x:v>蛋白質與恢復飲食</x:v>
      </x:c>
      <x:c r="E174" s="136" t="str">
        <x:v>修復同時補回能量</x:v>
      </x:c>
      <x:c r="F174" s="136" t="str">
        <x:v>恢復點心要便於執行</x:v>
      </x:c>
      <x:c r="G174" s="136" t="str">
        <x:v>最好的補給是你能在通勤、夜跑後穩定吃到的組合。
行動：預先準備香蕉加牛奶、飯糰加豆漿等碳水＋蛋白質選項。</x:v>
      </x:c>
      <x:c r="H174" s="136" t="str">
        <x:v>預先準備香蕉加牛奶、飯糰加豆漿等碳水＋蛋白質選項。</x:v>
      </x:c>
      <x:c r="I174" s="136" t="str">
        <x:v>忙碌日</x:v>
      </x:c>
      <x:c r="J174" s="144" t="str">
        <x:v>中</x:v>
      </x:c>
      <x:c r="K174" s="144" t="str">
        <x:v>一般</x:v>
      </x:c>
      <x:c r="L174" s="136" t="str">
        <x:v>訓練值 +1</x:v>
      </x:c>
      <x:c r="M174" s="136" t="str">
        <x:v>依個人經驗、健康狀況與環境調整；不適時停止。</x:v>
      </x:c>
      <x:c r="N174" s="154" t="n">
        <x:f>LEN(G174)</x:f>
        <x:v>52</x:v>
      </x:c>
      <x:c r="O174" s="144" t="str">
        <x:v>S015</x:v>
      </x:c>
      <x:c r="P174" s="136" t="str">
        <x:v>World Athletics</x:v>
      </x:c>
      <x:c r="Q174" s="136" t="str">
        <x:v>Dietary Protein for Training Adaptation</x:v>
      </x:c>
      <x:c r="R174" s="151" t="str">
        <x:v>https://worldathletics.org/download/download?filename=c873b6da-a0fb-4625-ace2-fc9a3cf0ebe3.pdf&amp;urlslug=Dietary+Protein+for+Training+Adaptation+and+Body+Composition+Manipulation+in+Track+and+Field+Athletes</x:v>
      </x:c>
      <x:c r="S174" s="148" t="str">
        <x:v>2026-07-27</x:v>
      </x:c>
    </x:row>
    <x:row r="175" ht="58" customHeight="1">
      <x:c r="A175" s="143" t="str">
        <x:v>CH-171</x:v>
      </x:c>
      <x:c r="B175" s="144" t="str">
        <x:v>機會</x:v>
      </x:c>
      <x:c r="C175" s="136" t="str">
        <x:v>跑者訓練：提升成績與突破 PB</x:v>
      </x:c>
      <x:c r="D175" s="136" t="str">
        <x:v>睡眠與恢復</x:v>
      </x:c>
      <x:c r="E175" s="136" t="str">
        <x:v>讓訓練轉化成適應</x:v>
      </x:c>
      <x:c r="F175" s="136" t="str">
        <x:v>成人多數需要至少七小時</x:v>
      </x:c>
      <x:c r="G175" s="136" t="str">
        <x:v>睡眠需求有個別差異，但長期不足會影響專注、情緒與恢復。
行動：固定起床時間，逐步把就寢提前 15–30 分鐘。</x:v>
      </x:c>
      <x:c r="H175" s="136" t="str">
        <x:v>固定起床時間，逐步把就寢提前 15–30 分鐘。</x:v>
      </x:c>
      <x:c r="I175" s="136" t="str">
        <x:v>高量訓練期</x:v>
      </x:c>
      <x:c r="J175" s="144" t="str">
        <x:v>高</x:v>
      </x:c>
      <x:c r="K175" s="144" t="str">
        <x:v>一般</x:v>
      </x:c>
      <x:c r="L175" s="136" t="str">
        <x:v>訓練值 +2；PB 點數 +1</x:v>
      </x:c>
      <x:c r="M175" s="136" t="str">
        <x:v>依個人經驗、健康狀況與環境調整；不適時停止。</x:v>
      </x:c>
      <x:c r="N175" s="154" t="n">
        <x:f>LEN(G175)</x:f>
        <x:v>55</x:v>
      </x:c>
      <x:c r="O175" s="144" t="str">
        <x:v>S041</x:v>
      </x:c>
      <x:c r="P175" s="136" t="str">
        <x:v>CDC</x:v>
      </x:c>
      <x:c r="Q175" s="136" t="str">
        <x:v>About Sleep</x:v>
      </x:c>
      <x:c r="R175" s="151" t="str">
        <x:v>https://www.cdc.gov/sleep/about/index.html</x:v>
      </x:c>
      <x:c r="S175" s="148" t="str">
        <x:v>2026-07-27</x:v>
      </x:c>
    </x:row>
    <x:row r="176" ht="58" customHeight="1">
      <x:c r="A176" s="143" t="str">
        <x:v>CH-172</x:v>
      </x:c>
      <x:c r="B176" s="144" t="str">
        <x:v>機會</x:v>
      </x:c>
      <x:c r="C176" s="136" t="str">
        <x:v>跑者訓練：提升成績與突破 PB</x:v>
      </x:c>
      <x:c r="D176" s="136" t="str">
        <x:v>睡眠與恢復</x:v>
      </x:c>
      <x:c r="E176" s="136" t="str">
        <x:v>讓訓練轉化成適應</x:v>
      </x:c>
      <x:c r="F176" s="136" t="str">
        <x:v>規律作息比週末暴睡穩定</x:v>
      </x:c>
      <x:c r="G176" s="136" t="str">
        <x:v>每天大幅改變睡眠時間會擾亂節律。
行動：平日與假日起床時間盡量接近，缺眠以短期補眠配合提早就寢。</x:v>
      </x:c>
      <x:c r="H176" s="136" t="str">
        <x:v>平日與假日起床時間盡量接近，缺眠以短期補眠配合提早就寢。</x:v>
      </x:c>
      <x:c r="I176" s="136" t="str">
        <x:v>日常</x:v>
      </x:c>
      <x:c r="J176" s="144" t="str">
        <x:v>中</x:v>
      </x:c>
      <x:c r="K176" s="144" t="str">
        <x:v>一般</x:v>
      </x:c>
      <x:c r="L176" s="136" t="str">
        <x:v>訓練值 +1</x:v>
      </x:c>
      <x:c r="M176" s="136" t="str">
        <x:v>依個人經驗、健康狀況與環境調整；不適時停止。</x:v>
      </x:c>
      <x:c r="N176" s="154" t="n">
        <x:f>LEN(G176)</x:f>
        <x:v>48</x:v>
      </x:c>
      <x:c r="O176" s="144" t="str">
        <x:v>S041</x:v>
      </x:c>
      <x:c r="P176" s="136" t="str">
        <x:v>CDC</x:v>
      </x:c>
      <x:c r="Q176" s="136" t="str">
        <x:v>About Sleep</x:v>
      </x:c>
      <x:c r="R176" s="151" t="str">
        <x:v>https://www.cdc.gov/sleep/about/index.html</x:v>
      </x:c>
      <x:c r="S176" s="148" t="str">
        <x:v>2026-07-27</x:v>
      </x:c>
    </x:row>
    <x:row r="177" ht="58" customHeight="1">
      <x:c r="A177" s="143" t="str">
        <x:v>CH-173</x:v>
      </x:c>
      <x:c r="B177" s="144" t="str">
        <x:v>機會</x:v>
      </x:c>
      <x:c r="C177" s="136" t="str">
        <x:v>跑者訓練：提升成績與突破 PB</x:v>
      </x:c>
      <x:c r="D177" s="136" t="str">
        <x:v>睡眠與恢復</x:v>
      </x:c>
      <x:c r="E177" s="136" t="str">
        <x:v>讓訓練轉化成適應</x:v>
      </x:c>
      <x:c r="F177" s="136" t="str">
        <x:v>賽前一晚睡差不必恐慌</x:v>
      </x:c>
      <x:c r="G177" s="136" t="str">
        <x:v>單晚睡眠不是唯一決定因素，焦慮反而可能加重失眠。
行動：專注前幾天的睡眠銀行與已完成的準備，照平常流程上床。</x:v>
      </x:c>
      <x:c r="H177" s="136" t="str">
        <x:v>專注前幾天的睡眠銀行與已完成的準備，照平常流程上床。</x:v>
      </x:c>
      <x:c r="I177" s="136" t="str">
        <x:v>賽前夜</x:v>
      </x:c>
      <x:c r="J177" s="144" t="str">
        <x:v>中</x:v>
      </x:c>
      <x:c r="K177" s="144" t="str">
        <x:v>一般</x:v>
      </x:c>
      <x:c r="L177" s="136" t="str">
        <x:v>訓練值 +1</x:v>
      </x:c>
      <x:c r="M177" s="136" t="str">
        <x:v>依個人經驗、健康狀況與環境調整；不適時停止。</x:v>
      </x:c>
      <x:c r="N177" s="154" t="n">
        <x:f>LEN(G177)</x:f>
        <x:v>54</x:v>
      </x:c>
      <x:c r="O177" s="144" t="str">
        <x:v>S041</x:v>
      </x:c>
      <x:c r="P177" s="136" t="str">
        <x:v>CDC</x:v>
      </x:c>
      <x:c r="Q177" s="136" t="str">
        <x:v>About Sleep</x:v>
      </x:c>
      <x:c r="R177" s="151" t="str">
        <x:v>https://www.cdc.gov/sleep/about/index.html</x:v>
      </x:c>
      <x:c r="S177" s="148" t="str">
        <x:v>2026-07-27</x:v>
      </x:c>
    </x:row>
    <x:row r="178" ht="58" customHeight="1">
      <x:c r="A178" s="143" t="str">
        <x:v>CH-174</x:v>
      </x:c>
      <x:c r="B178" s="144" t="str">
        <x:v>機會</x:v>
      </x:c>
      <x:c r="C178" s="136" t="str">
        <x:v>跑者訓練：提升成績與突破 PB</x:v>
      </x:c>
      <x:c r="D178" s="136" t="str">
        <x:v>睡眠與恢復</x:v>
      </x:c>
      <x:c r="E178" s="136" t="str">
        <x:v>讓訓練轉化成適應</x:v>
      </x:c>
      <x:c r="F178" s="136" t="str">
        <x:v>短午睡可補精神</x:v>
      </x:c>
      <x:c r="G178" s="136" t="str">
        <x:v>20–30 分鐘短睡可能改善警覺，又較少進入深睡後昏沉。
行動：安排在下午較早時段，避免影響晚間入睡。</x:v>
      </x:c>
      <x:c r="H178" s="136" t="str">
        <x:v>安排在下午較早時段，避免影響晚間入睡。</x:v>
      </x:c>
      <x:c r="I178" s="136" t="str">
        <x:v>睡眠不足日</x:v>
      </x:c>
      <x:c r="J178" s="144" t="str">
        <x:v>中</x:v>
      </x:c>
      <x:c r="K178" s="144" t="str">
        <x:v>一般</x:v>
      </x:c>
      <x:c r="L178" s="136" t="str">
        <x:v>訓練值 +1</x:v>
      </x:c>
      <x:c r="M178" s="136" t="str">
        <x:v>依個人經驗、健康狀況與環境調整；不適時停止。</x:v>
      </x:c>
      <x:c r="N178" s="154" t="n">
        <x:f>LEN(G178)</x:f>
        <x:v>51</x:v>
      </x:c>
      <x:c r="O178" s="144" t="str">
        <x:v>S041</x:v>
      </x:c>
      <x:c r="P178" s="136" t="str">
        <x:v>CDC</x:v>
      </x:c>
      <x:c r="Q178" s="136" t="str">
        <x:v>About Sleep</x:v>
      </x:c>
      <x:c r="R178" s="151" t="str">
        <x:v>https://www.cdc.gov/sleep/about/index.html</x:v>
      </x:c>
      <x:c r="S178" s="148" t="str">
        <x:v>2026-07-27</x:v>
      </x:c>
    </x:row>
    <x:row r="179" ht="58" customHeight="1">
      <x:c r="A179" s="143" t="str">
        <x:v>CH-175</x:v>
      </x:c>
      <x:c r="B179" s="144" t="str">
        <x:v>機會</x:v>
      </x:c>
      <x:c r="C179" s="136" t="str">
        <x:v>跑者訓練：提升成績與突破 PB</x:v>
      </x:c>
      <x:c r="D179" s="136" t="str">
        <x:v>睡眠與恢復</x:v>
      </x:c>
      <x:c r="E179" s="136" t="str">
        <x:v>讓訓練轉化成適應</x:v>
      </x:c>
      <x:c r="F179" s="136" t="str">
        <x:v>咖啡因也有截止時間</x:v>
      </x:c>
      <x:c r="G179" s="136" t="str">
        <x:v>咖啡因半衰期較長，晚間攝取可能延後入睡。
行動：記錄最後一杯時間與睡眠反應，夜跑不一定要用含咖啡因補給。</x:v>
      </x:c>
      <x:c r="H179" s="136" t="str">
        <x:v>記錄最後一杯時間與睡眠反應，夜跑不一定要用含咖啡因補給。</x:v>
      </x:c>
      <x:c r="I179" s="136" t="str">
        <x:v>下午與晚間</x:v>
      </x:c>
      <x:c r="J179" s="144" t="str">
        <x:v>中</x:v>
      </x:c>
      <x:c r="K179" s="144" t="str">
        <x:v>一般</x:v>
      </x:c>
      <x:c r="L179" s="136" t="str">
        <x:v>訓練值 +1</x:v>
      </x:c>
      <x:c r="M179" s="136" t="str">
        <x:v>依個人經驗、健康狀況與環境調整；不適時停止。</x:v>
      </x:c>
      <x:c r="N179" s="154" t="n">
        <x:f>LEN(G179)</x:f>
        <x:v>52</x:v>
      </x:c>
      <x:c r="O179" s="144" t="str">
        <x:v>S016</x:v>
      </x:c>
      <x:c r="P179" s="136" t="str">
        <x:v>World Athletics</x:v>
      </x:c>
      <x:c r="Q179" s="136" t="str">
        <x:v>Sports Foods and Dietary Supplements</x:v>
      </x:c>
      <x:c r="R179" s="151" t="str">
        <x:v>https://worldathletics.org/download/download?filename=05a42d7a-446e-4613-999a-b0c834a7c93e.pdf&amp;urlslug=Sports+Foods+and+Dietary+Supplements+for+Optimal+Function+and+Performance+Enhancement+in+Track-and-Field+Athletes</x:v>
      </x:c>
      <x:c r="S179" s="148" t="str">
        <x:v>2026-07-27</x:v>
      </x:c>
    </x:row>
    <x:row r="180" ht="58" customHeight="1">
      <x:c r="A180" s="143" t="str">
        <x:v>CH-176</x:v>
      </x:c>
      <x:c r="B180" s="144" t="str">
        <x:v>機會</x:v>
      </x:c>
      <x:c r="C180" s="136" t="str">
        <x:v>跑者訓練：提升成績與突破 PB</x:v>
      </x:c>
      <x:c r="D180" s="136" t="str">
        <x:v>睡眠與恢復</x:v>
      </x:c>
      <x:c r="E180" s="136" t="str">
        <x:v>讓訓練轉化成適應</x:v>
      </x:c>
      <x:c r="F180" s="136" t="str">
        <x:v>睡前降低光與工作刺激</x:v>
      </x:c>
      <x:c r="G180" s="136" t="str">
        <x:v>明亮螢幕與高壓工作會讓大腦較難切換到休息。
行動：睡前 30–60 分鐘調暗環境，建立固定收尾流程。</x:v>
      </x:c>
      <x:c r="H180" s="136" t="str">
        <x:v>睡前 30–60 分鐘調暗環境，建立固定收尾流程。</x:v>
      </x:c>
      <x:c r="I180" s="136" t="str">
        <x:v>睡前</x:v>
      </x:c>
      <x:c r="J180" s="144" t="str">
        <x:v>中</x:v>
      </x:c>
      <x:c r="K180" s="144" t="str">
        <x:v>一般</x:v>
      </x:c>
      <x:c r="L180" s="136" t="str">
        <x:v>訓練值 +1</x:v>
      </x:c>
      <x:c r="M180" s="136" t="str">
        <x:v>依個人經驗、健康狀況與環境調整；不適時停止。</x:v>
      </x:c>
      <x:c r="N180" s="154" t="n">
        <x:f>LEN(G180)</x:f>
        <x:v>50</x:v>
      </x:c>
      <x:c r="O180" s="144" t="str">
        <x:v>S041</x:v>
      </x:c>
      <x:c r="P180" s="136" t="str">
        <x:v>CDC</x:v>
      </x:c>
      <x:c r="Q180" s="136" t="str">
        <x:v>About Sleep</x:v>
      </x:c>
      <x:c r="R180" s="151" t="str">
        <x:v>https://www.cdc.gov/sleep/about/index.html</x:v>
      </x:c>
      <x:c r="S180" s="148" t="str">
        <x:v>2026-07-27</x:v>
      </x:c>
    </x:row>
    <x:row r="181" ht="58" customHeight="1">
      <x:c r="A181" s="143" t="str">
        <x:v>CH-177</x:v>
      </x:c>
      <x:c r="B181" s="144" t="str">
        <x:v>機會</x:v>
      </x:c>
      <x:c r="C181" s="136" t="str">
        <x:v>跑者訓練：提升成績與突破 PB</x:v>
      </x:c>
      <x:c r="D181" s="136" t="str">
        <x:v>睡眠與恢復</x:v>
      </x:c>
      <x:c r="E181" s="136" t="str">
        <x:v>讓訓練轉化成適應</x:v>
      </x:c>
      <x:c r="F181" s="136" t="str">
        <x:v>晚間高強度要看個人反應</x:v>
      </x:c>
      <x:c r="G181" s="136" t="str">
        <x:v>有些人夜間快跑後較難降溫與入睡，另一些人不受影響。
行動：連續記錄課表時間與入睡，必要時把品質課提前。</x:v>
      </x:c>
      <x:c r="H181" s="136" t="str">
        <x:v>連續記錄課表時間與入睡，必要時把品質課提前。</x:v>
      </x:c>
      <x:c r="I181" s="136" t="str">
        <x:v>夜跑者</x:v>
      </x:c>
      <x:c r="J181" s="144" t="str">
        <x:v>中</x:v>
      </x:c>
      <x:c r="K181" s="144" t="str">
        <x:v>一般</x:v>
      </x:c>
      <x:c r="L181" s="136" t="str">
        <x:v>訓練值 +1</x:v>
      </x:c>
      <x:c r="M181" s="136" t="str">
        <x:v>依個人經驗、健康狀況與環境調整；不適時停止。</x:v>
      </x:c>
      <x:c r="N181" s="154" t="n">
        <x:f>LEN(G181)</x:f>
        <x:v>51</x:v>
      </x:c>
      <x:c r="O181" s="144" t="str">
        <x:v>S041</x:v>
      </x:c>
      <x:c r="P181" s="136" t="str">
        <x:v>CDC</x:v>
      </x:c>
      <x:c r="Q181" s="136" t="str">
        <x:v>About Sleep</x:v>
      </x:c>
      <x:c r="R181" s="151" t="str">
        <x:v>https://www.cdc.gov/sleep/about/index.html</x:v>
      </x:c>
      <x:c r="S181" s="148" t="str">
        <x:v>2026-07-27</x:v>
      </x:c>
    </x:row>
    <x:row r="182" ht="58" customHeight="1">
      <x:c r="A182" s="143" t="str">
        <x:v>CH-178</x:v>
      </x:c>
      <x:c r="B182" s="144" t="str">
        <x:v>機會</x:v>
      </x:c>
      <x:c r="C182" s="136" t="str">
        <x:v>跑者訓練：提升成績與突破 PB</x:v>
      </x:c>
      <x:c r="D182" s="136" t="str">
        <x:v>睡眠與恢復</x:v>
      </x:c>
      <x:c r="E182" s="136" t="str">
        <x:v>讓訓練轉化成適應</x:v>
      </x:c>
      <x:c r="F182" s="136" t="str">
        <x:v>連續缺眠就調低訓練</x:v>
      </x:c>
      <x:c r="G182" s="136" t="str">
        <x:v>睡眠不足會降低判斷與動作品質，硬做高風險課不划算。
行動：縮短、改輕鬆跑或休息，等作息恢復再回到原計畫。</x:v>
      </x:c>
      <x:c r="H182" s="136" t="str">
        <x:v>縮短、改輕鬆跑或休息，等作息恢復再回到原計畫。</x:v>
      </x:c>
      <x:c r="I182" s="136" t="str">
        <x:v>連續兩晚睡差</x:v>
      </x:c>
      <x:c r="J182" s="144" t="str">
        <x:v>高</x:v>
      </x:c>
      <x:c r="K182" s="144" t="str">
        <x:v>一般</x:v>
      </x:c>
      <x:c r="L182" s="136" t="str">
        <x:v>訓練值 +2；PB 點數 +1</x:v>
      </x:c>
      <x:c r="M182" s="136" t="str">
        <x:v>依個人經驗、健康狀況與環境調整；不適時停止。</x:v>
      </x:c>
      <x:c r="N182" s="154" t="n">
        <x:f>LEN(G182)</x:f>
        <x:v>52</x:v>
      </x:c>
      <x:c r="O182" s="144" t="str">
        <x:v>S004</x:v>
      </x:c>
      <x:c r="P182" s="136" t="str">
        <x:v>國際奧會（IOC）／BJSM</x:v>
      </x:c>
      <x:c r="Q182" s="136" t="str">
        <x:v>How much is too much? Part 2: load and illness risk</x:v>
      </x:c>
      <x:c r="R182" s="151" t="str">
        <x:v>https://bjsm.bmj.com/content/50/17/1043</x:v>
      </x:c>
      <x:c r="S182" s="148" t="str">
        <x:v>2026-07-27</x:v>
      </x:c>
    </x:row>
    <x:row r="183" ht="58" customHeight="1">
      <x:c r="A183" s="143" t="str">
        <x:v>CH-179</x:v>
      </x:c>
      <x:c r="B183" s="144" t="str">
        <x:v>機會</x:v>
      </x:c>
      <x:c r="C183" s="136" t="str">
        <x:v>跑者訓練：提升成績與突破 PB</x:v>
      </x:c>
      <x:c r="D183" s="136" t="str">
        <x:v>睡眠與恢復</x:v>
      </x:c>
      <x:c r="E183" s="136" t="str">
        <x:v>讓訓練轉化成適應</x:v>
      </x:c>
      <x:c r="F183" s="136" t="str">
        <x:v>旅行前先調時差</x:v>
      </x:c>
      <x:c r="G183" s="136" t="str">
        <x:v>跨時區會同時改變睡眠、食慾與腸胃。
行動：出發前數天逐步移動作息，抵達後依當地光照與用餐時間調整。</x:v>
      </x:c>
      <x:c r="H183" s="136" t="str">
        <x:v>出發前數天逐步移動作息，抵達後依當地光照與用餐時間調整。</x:v>
      </x:c>
      <x:c r="I183" s="136" t="str">
        <x:v>跨國賽事</x:v>
      </x:c>
      <x:c r="J183" s="144" t="str">
        <x:v>中</x:v>
      </x:c>
      <x:c r="K183" s="144" t="str">
        <x:v>一般</x:v>
      </x:c>
      <x:c r="L183" s="136" t="str">
        <x:v>訓練值 +1</x:v>
      </x:c>
      <x:c r="M183" s="136" t="str">
        <x:v>依個人經驗、健康狀況與環境調整；不適時停止。</x:v>
      </x:c>
      <x:c r="N183" s="154" t="n">
        <x:f>LEN(G183)</x:f>
        <x:v>49</x:v>
      </x:c>
      <x:c r="O183" s="144" t="str">
        <x:v>S049</x:v>
      </x:c>
      <x:c r="P183" s="136" t="str">
        <x:v>World Athletics</x:v>
      </x:c>
      <x:c r="Q183" s="136" t="str">
        <x:v>Nutrition for Travel</x:v>
      </x:c>
      <x:c r="R183" s="151" t="str">
        <x:v>https://worldathletics.org/download/download?filename=f901713a-2825-4532-b08d-03a9318146b2.pdf&amp;urlslug=Nutrition+for+Travel%3A+From+Jet+lag+To+Catering</x:v>
      </x:c>
      <x:c r="S183" s="148" t="str">
        <x:v>2026-07-27</x:v>
      </x:c>
    </x:row>
    <x:row r="184" ht="58" customHeight="1">
      <x:c r="A184" s="143" t="str">
        <x:v>CH-180</x:v>
      </x:c>
      <x:c r="B184" s="144" t="str">
        <x:v>機會</x:v>
      </x:c>
      <x:c r="C184" s="136" t="str">
        <x:v>跑者訓練：提升成績與突破 PB</x:v>
      </x:c>
      <x:c r="D184" s="136" t="str">
        <x:v>睡眠與恢復</x:v>
      </x:c>
      <x:c r="E184" s="136" t="str">
        <x:v>讓訓練轉化成適應</x:v>
      </x:c>
      <x:c r="F184" s="136" t="str">
        <x:v>疲勞日也要安排恢復行動</x:v>
      </x:c>
      <x:c r="G184" s="136" t="str">
        <x:v>只取消訓練但熬夜工作，並沒有真正恢復。
行動：把空出的時間用於睡眠、正常飲食、輕度活動與壓力管理。</x:v>
      </x:c>
      <x:c r="H184" s="136" t="str">
        <x:v>把空出的時間用於睡眠、正常飲食、輕度活動與壓力管理。</x:v>
      </x:c>
      <x:c r="I184" s="136" t="str">
        <x:v>降載日</x:v>
      </x:c>
      <x:c r="J184" s="144" t="str">
        <x:v>中</x:v>
      </x:c>
      <x:c r="K184" s="144" t="str">
        <x:v>一般</x:v>
      </x:c>
      <x:c r="L184" s="136" t="str">
        <x:v>訓練值 +1</x:v>
      </x:c>
      <x:c r="M184" s="136" t="str">
        <x:v>依個人經驗、健康狀況與環境調整；不適時停止。</x:v>
      </x:c>
      <x:c r="N184" s="154" t="n">
        <x:f>LEN(G184)</x:f>
        <x:v>49</x:v>
      </x:c>
      <x:c r="O184" s="144" t="str">
        <x:v>S004</x:v>
      </x:c>
      <x:c r="P184" s="136" t="str">
        <x:v>國際奧會（IOC）／BJSM</x:v>
      </x:c>
      <x:c r="Q184" s="136" t="str">
        <x:v>How much is too much? Part 2: load and illness risk</x:v>
      </x:c>
      <x:c r="R184" s="151" t="str">
        <x:v>https://bjsm.bmj.com/content/50/17/1043</x:v>
      </x:c>
      <x:c r="S184" s="148" t="str">
        <x:v>2026-07-27</x:v>
      </x:c>
    </x:row>
    <x:row r="185" ht="58" customHeight="1">
      <x:c r="A185" s="143" t="str">
        <x:v>CH-181</x:v>
      </x:c>
      <x:c r="B185" s="144" t="str">
        <x:v>機會</x:v>
      </x:c>
      <x:c r="C185" s="136" t="str">
        <x:v>跑者訓練：提升成績與突破 PB</x:v>
      </x:c>
      <x:c r="D185" s="136" t="str">
        <x:v>環境與旅行</x:v>
      </x:c>
      <x:c r="E185" s="136" t="str">
        <x:v>在臺灣多變條件下穩定輸出</x:v>
      </x:c>
      <x:c r="F185" s="136" t="str">
        <x:v>熱適應需要多次暴露</x:v>
      </x:c>
      <x:c r="G185" s="136" t="str">
        <x:v>連續約 1–2 週的漸進熱暴露，可改善散熱與主觀感受。
行動：先縮短、降強度並補充水分，逐日增加，不以中暑換適應。</x:v>
      </x:c>
      <x:c r="H185" s="136" t="str">
        <x:v>先縮短、降強度並補充水分，逐日增加，不以中暑換適應。</x:v>
      </x:c>
      <x:c r="I185" s="136" t="str">
        <x:v>夏季賽前</x:v>
      </x:c>
      <x:c r="J185" s="144" t="str">
        <x:v>高</x:v>
      </x:c>
      <x:c r="K185" s="144" t="str">
        <x:v>一般</x:v>
      </x:c>
      <x:c r="L185" s="136" t="str">
        <x:v>訓練值 +2；PB 點數 +1</x:v>
      </x:c>
      <x:c r="M185" s="136" t="str">
        <x:v>依個人經驗、健康狀況與環境調整；不適時停止。</x:v>
      </x:c>
      <x:c r="N185" s="154" t="n">
        <x:f>LEN(G185)</x:f>
        <x:v>57</x:v>
      </x:c>
      <x:c r="O185" s="144" t="str">
        <x:v>S017</x:v>
      </x:c>
      <x:c r="P185" s="136" t="str">
        <x:v>BJSM／PMC</x:v>
      </x:c>
      <x:c r="Q185" s="136" t="str">
        <x:v>Heat acclimatisation consensus recommendations</x:v>
      </x:c>
      <x:c r="R185" s="151" t="str">
        <x:v>https://pmc.ncbi.nlm.nih.gov/articles/PMC4473280/</x:v>
      </x:c>
      <x:c r="S185" s="148" t="str">
        <x:v>2026-07-27</x:v>
      </x:c>
    </x:row>
    <x:row r="186" ht="58" customHeight="1">
      <x:c r="A186" s="143" t="str">
        <x:v>CH-182</x:v>
      </x:c>
      <x:c r="B186" s="144" t="str">
        <x:v>機會</x:v>
      </x:c>
      <x:c r="C186" s="136" t="str">
        <x:v>跑者訓練：提升成績與突破 PB</x:v>
      </x:c>
      <x:c r="D186" s="136" t="str">
        <x:v>環境與旅行</x:v>
      </x:c>
      <x:c r="E186" s="136" t="str">
        <x:v>在臺灣多變條件下穩定輸出</x:v>
      </x:c>
      <x:c r="F186" s="136" t="str">
        <x:v>高溫目標配速要下修</x:v>
      </x:c>
      <x:c r="G186" s="136" t="str">
        <x:v>環境越熱，維持同配速的心血管負擔越高。
行動：改以 RPE、心率趨勢與補給能力決定速度。</x:v>
      </x:c>
      <x:c r="H186" s="136" t="str">
        <x:v>改以 RPE、心率趨勢與補給能力決定速度。</x:v>
      </x:c>
      <x:c r="I186" s="136" t="str">
        <x:v>炎熱訓練或比賽</x:v>
      </x:c>
      <x:c r="J186" s="144" t="str">
        <x:v>高</x:v>
      </x:c>
      <x:c r="K186" s="144" t="str">
        <x:v>一般</x:v>
      </x:c>
      <x:c r="L186" s="136" t="str">
        <x:v>訓練值 +2；PB 點數 +1</x:v>
      </x:c>
      <x:c r="M186" s="136" t="str">
        <x:v>依個人經驗、健康狀況與環境調整；不適時停止。</x:v>
      </x:c>
      <x:c r="N186" s="154" t="n">
        <x:f>LEN(G186)</x:f>
        <x:v>44</x:v>
      </x:c>
      <x:c r="O186" s="144" t="str">
        <x:v>S018</x:v>
      </x:c>
      <x:c r="P186" s="136" t="str">
        <x:v>國際奧會（IOC）／BJSM</x:v>
      </x:c>
      <x:c r="Q186" s="136" t="str">
        <x:v>Consensus on thermoregulatory and altitude challenges</x:v>
      </x:c>
      <x:c r="R186" s="151" t="str">
        <x:v>https://bjsm.bmj.com/content/57/1/8</x:v>
      </x:c>
      <x:c r="S186" s="148" t="str">
        <x:v>2026-07-27</x:v>
      </x:c>
    </x:row>
    <x:row r="187" ht="58" customHeight="1">
      <x:c r="A187" s="143" t="str">
        <x:v>CH-183</x:v>
      </x:c>
      <x:c r="B187" s="144" t="str">
        <x:v>機會</x:v>
      </x:c>
      <x:c r="C187" s="136" t="str">
        <x:v>跑者訓練：提升成績與突破 PB</x:v>
      </x:c>
      <x:c r="D187" s="136" t="str">
        <x:v>環境與旅行</x:v>
      </x:c>
      <x:c r="E187" s="136" t="str">
        <x:v>在臺灣多變條件下穩定輸出</x:v>
      </x:c>
      <x:c r="F187" s="136" t="str">
        <x:v>濕度高會削弱蒸發散熱</x:v>
      </x:c>
      <x:c r="G187" s="136" t="str">
        <x:v>即使氣溫不極端，高濕也可能讓汗水難以蒸發。
行動：選通風路線、降低強度、增加降溫並縮短暴露。</x:v>
      </x:c>
      <x:c r="H187" s="136" t="str">
        <x:v>選通風路線、降低強度、增加降溫並縮短暴露。</x:v>
      </x:c>
      <x:c r="I187" s="136" t="str">
        <x:v>梅雨與夏季</x:v>
      </x:c>
      <x:c r="J187" s="144" t="str">
        <x:v>中</x:v>
      </x:c>
      <x:c r="K187" s="144" t="str">
        <x:v>一般</x:v>
      </x:c>
      <x:c r="L187" s="136" t="str">
        <x:v>訓練值 +1</x:v>
      </x:c>
      <x:c r="M187" s="136" t="str">
        <x:v>依個人經驗、健康狀況與環境調整；不適時停止。</x:v>
      </x:c>
      <x:c r="N187" s="154" t="n">
        <x:f>LEN(G187)</x:f>
        <x:v>46</x:v>
      </x:c>
      <x:c r="O187" s="144" t="str">
        <x:v>S018</x:v>
      </x:c>
      <x:c r="P187" s="136" t="str">
        <x:v>國際奧會（IOC）／BJSM</x:v>
      </x:c>
      <x:c r="Q187" s="136" t="str">
        <x:v>Consensus on thermoregulatory and altitude challenges</x:v>
      </x:c>
      <x:c r="R187" s="151" t="str">
        <x:v>https://bjsm.bmj.com/content/57/1/8</x:v>
      </x:c>
      <x:c r="S187" s="148" t="str">
        <x:v>2026-07-27</x:v>
      </x:c>
    </x:row>
    <x:row r="188" ht="58" customHeight="1">
      <x:c r="A188" s="143" t="str">
        <x:v>CH-184</x:v>
      </x:c>
      <x:c r="B188" s="144" t="str">
        <x:v>機會</x:v>
      </x:c>
      <x:c r="C188" s="136" t="str">
        <x:v>跑者訓練：提升成績與突破 PB</x:v>
      </x:c>
      <x:c r="D188" s="136" t="str">
        <x:v>環境與旅行</x:v>
      </x:c>
      <x:c r="E188" s="136" t="str">
        <x:v>在臺灣多變條件下穩定輸出</x:v>
      </x:c>
      <x:c r="F188" s="136" t="str">
        <x:v>防曬也是耐力策略</x:v>
      </x:c>
      <x:c r="G188" s="136" t="str">
        <x:v>曬傷與過度日照會增加不適與熱負荷。
行動：使用耐汗防曬、帽子與透氣衣物，長時間活動按產品說明補擦。</x:v>
      </x:c>
      <x:c r="H188" s="136" t="str">
        <x:v>使用耐汗防曬、帽子與透氣衣物，長時間活動按產品說明補擦。</x:v>
      </x:c>
      <x:c r="I188" s="136" t="str">
        <x:v>日間長跑</x:v>
      </x:c>
      <x:c r="J188" s="144" t="str">
        <x:v>中</x:v>
      </x:c>
      <x:c r="K188" s="144" t="str">
        <x:v>一般</x:v>
      </x:c>
      <x:c r="L188" s="136" t="str">
        <x:v>訓練值 +1</x:v>
      </x:c>
      <x:c r="M188" s="136" t="str">
        <x:v>依個人經驗、健康狀況與環境調整；不適時停止。</x:v>
      </x:c>
      <x:c r="N188" s="154" t="n">
        <x:f>LEN(G188)</x:f>
        <x:v>49</x:v>
      </x:c>
      <x:c r="O188" s="144" t="str">
        <x:v>S018</x:v>
      </x:c>
      <x:c r="P188" s="136" t="str">
        <x:v>國際奧會（IOC）／BJSM</x:v>
      </x:c>
      <x:c r="Q188" s="136" t="str">
        <x:v>Consensus on thermoregulatory and altitude challenges</x:v>
      </x:c>
      <x:c r="R188" s="151" t="str">
        <x:v>https://bjsm.bmj.com/content/57/1/8</x:v>
      </x:c>
      <x:c r="S188" s="148" t="str">
        <x:v>2026-07-27</x:v>
      </x:c>
    </x:row>
    <x:row r="189" ht="58" customHeight="1">
      <x:c r="A189" s="143" t="str">
        <x:v>CH-185</x:v>
      </x:c>
      <x:c r="B189" s="144" t="str">
        <x:v>機會</x:v>
      </x:c>
      <x:c r="C189" s="136" t="str">
        <x:v>跑者訓練：提升成績與突破 PB</x:v>
      </x:c>
      <x:c r="D189" s="136" t="str">
        <x:v>環境與旅行</x:v>
      </x:c>
      <x:c r="E189" s="136" t="str">
        <x:v>在臺灣多變條件下穩定輸出</x:v>
      </x:c>
      <x:c r="F189" s="136" t="str">
        <x:v>冷天採可調式分層</x:v>
      </x:c>
      <x:c r="G189" s="136" t="str">
        <x:v>跑起來後產熱增加，穿太厚會大量出汗並在停下後變冷。
行動：用排汗底層與可脫外層，避免棉質貼身衣長時間濕冷。</x:v>
      </x:c>
      <x:c r="H189" s="136" t="str">
        <x:v>用排汗底層與可脫外層，避免棉質貼身衣長時間濕冷。</x:v>
      </x:c>
      <x:c r="I189" s="136" t="str">
        <x:v>冬季與高山</x:v>
      </x:c>
      <x:c r="J189" s="144" t="str">
        <x:v>中</x:v>
      </x:c>
      <x:c r="K189" s="144" t="str">
        <x:v>一般</x:v>
      </x:c>
      <x:c r="L189" s="136" t="str">
        <x:v>訓練值 +1</x:v>
      </x:c>
      <x:c r="M189" s="136" t="str">
        <x:v>依個人經驗、健康狀況與環境調整；不適時停止。</x:v>
      </x:c>
      <x:c r="N189" s="154" t="n">
        <x:f>LEN(G189)</x:f>
        <x:v>53</x:v>
      </x:c>
      <x:c r="O189" s="144" t="str">
        <x:v>S018</x:v>
      </x:c>
      <x:c r="P189" s="136" t="str">
        <x:v>國際奧會（IOC）／BJSM</x:v>
      </x:c>
      <x:c r="Q189" s="136" t="str">
        <x:v>Consensus on thermoregulatory and altitude challenges</x:v>
      </x:c>
      <x:c r="R189" s="151" t="str">
        <x:v>https://bjsm.bmj.com/content/57/1/8</x:v>
      </x:c>
      <x:c r="S189" s="148" t="str">
        <x:v>2026-07-27</x:v>
      </x:c>
    </x:row>
    <x:row r="190" ht="58" customHeight="1">
      <x:c r="A190" s="143" t="str">
        <x:v>CH-186</x:v>
      </x:c>
      <x:c r="B190" s="144" t="str">
        <x:v>機會</x:v>
      </x:c>
      <x:c r="C190" s="136" t="str">
        <x:v>跑者訓練：提升成績與突破 PB</x:v>
      </x:c>
      <x:c r="D190" s="136" t="str">
        <x:v>環境與旅行</x:v>
      </x:c>
      <x:c r="E190" s="136" t="str">
        <x:v>在臺灣多變條件下穩定輸出</x:v>
      </x:c>
      <x:c r="F190" s="136" t="str">
        <x:v>雨天先處理摩擦與視線</x:v>
      </x:c>
      <x:c r="G190" s="136" t="str">
        <x:v>濕衣、濕襪與積水會增加磨擦、起水泡與滑倒風險。
行動：塗防磨、戴帽簷、選抓地適合的熟鞋，必要時縮短路線。</x:v>
      </x:c>
      <x:c r="H190" s="136" t="str">
        <x:v>塗防磨、戴帽簷、選抓地適合的熟鞋，必要時縮短路線。</x:v>
      </x:c>
      <x:c r="I190" s="136" t="str">
        <x:v>雨天</x:v>
      </x:c>
      <x:c r="J190" s="144" t="str">
        <x:v>中</x:v>
      </x:c>
      <x:c r="K190" s="144" t="str">
        <x:v>一般</x:v>
      </x:c>
      <x:c r="L190" s="136" t="str">
        <x:v>訓練值 +1</x:v>
      </x:c>
      <x:c r="M190" s="136" t="str">
        <x:v>依個人經驗、健康狀況與環境調整；不適時停止。</x:v>
      </x:c>
      <x:c r="N190" s="154" t="n">
        <x:f>LEN(G190)</x:f>
        <x:v>52</x:v>
      </x:c>
      <x:c r="O190" s="144" t="str">
        <x:v>S023</x:v>
      </x:c>
      <x:c r="P190" s="136" t="str">
        <x:v>AAOS</x:v>
      </x:c>
      <x:c r="Q190" s="136" t="str">
        <x:v>Athletic Shoes</x:v>
      </x:c>
      <x:c r="R190" s="151" t="str">
        <x:v>https://orthoinfo.aaos.org/en/staying-healthy/athletic-shoes/</x:v>
      </x:c>
      <x:c r="S190" s="148" t="str">
        <x:v>2026-07-27</x:v>
      </x:c>
    </x:row>
    <x:row r="191" ht="58" customHeight="1">
      <x:c r="A191" s="143" t="str">
        <x:v>CH-187</x:v>
      </x:c>
      <x:c r="B191" s="144" t="str">
        <x:v>機會</x:v>
      </x:c>
      <x:c r="C191" s="136" t="str">
        <x:v>跑者訓練：提升成績與突破 PB</x:v>
      </x:c>
      <x:c r="D191" s="136" t="str">
        <x:v>環境與旅行</x:v>
      </x:c>
      <x:c r="E191" s="136" t="str">
        <x:v>在臺灣多變條件下穩定輸出</x:v>
      </x:c>
      <x:c r="F191" s="136" t="str">
        <x:v>初到高地先降強度</x:v>
      </x:c>
      <x:c r="G191" s="136" t="str">
        <x:v>海拔升高會降低可用氧氣，原本配速可能變得過快。
行動：前幾天以體感控制、增加恢復並留意頭痛、噁心與睡眠。</x:v>
      </x:c>
      <x:c r="H191" s="136" t="str">
        <x:v>前幾天以體感控制、增加恢復並留意頭痛、噁心與睡眠。</x:v>
      </x:c>
      <x:c r="I191" s="136" t="str">
        <x:v>高地旅行</x:v>
      </x:c>
      <x:c r="J191" s="144" t="str">
        <x:v>高</x:v>
      </x:c>
      <x:c r="K191" s="144" t="str">
        <x:v>留意</x:v>
      </x:c>
      <x:c r="L191" s="136" t="str">
        <x:v>完成安全調整：訓練值 +1；健康值 +1</x:v>
      </x:c>
      <x:c r="M191" s="136" t="str">
        <x:v>依個人經驗、健康狀況與環境調整；不適時停止。</x:v>
      </x:c>
      <x:c r="N191" s="154" t="n">
        <x:f>LEN(G191)</x:f>
        <x:v>52</x:v>
      </x:c>
      <x:c r="O191" s="144" t="str">
        <x:v>S018</x:v>
      </x:c>
      <x:c r="P191" s="136" t="str">
        <x:v>國際奧會（IOC）／BJSM</x:v>
      </x:c>
      <x:c r="Q191" s="136" t="str">
        <x:v>Consensus on thermoregulatory and altitude challenges</x:v>
      </x:c>
      <x:c r="R191" s="151" t="str">
        <x:v>https://bjsm.bmj.com/content/57/1/8</x:v>
      </x:c>
      <x:c r="S191" s="148" t="str">
        <x:v>2026-07-27</x:v>
      </x:c>
    </x:row>
    <x:row r="192" ht="58" customHeight="1">
      <x:c r="A192" s="143" t="str">
        <x:v>CH-188</x:v>
      </x:c>
      <x:c r="B192" s="144" t="str">
        <x:v>機會</x:v>
      </x:c>
      <x:c r="C192" s="136" t="str">
        <x:v>跑者訓練：提升成績與突破 PB</x:v>
      </x:c>
      <x:c r="D192" s="136" t="str">
        <x:v>環境與旅行</x:v>
      </x:c>
      <x:c r="E192" s="136" t="str">
        <x:v>在臺灣多變條件下穩定輸出</x:v>
      </x:c>
      <x:c r="F192" s="136" t="str">
        <x:v>跨時區先守住進食與睡眠</x:v>
      </x:c>
      <x:c r="G192" s="136" t="str">
        <x:v>旅行會打亂腸胃與恢復，影響比單堂課更久。
行動：攜帶熟悉食物，抵達後依當地時間吃飯、曬光並做短輕鬆跑。</x:v>
      </x:c>
      <x:c r="H192" s="136" t="str">
        <x:v>攜帶熟悉食物，抵達後依當地時間吃飯、曬光並做短輕鬆跑。</x:v>
      </x:c>
      <x:c r="I192" s="136" t="str">
        <x:v>海外賽事</x:v>
      </x:c>
      <x:c r="J192" s="144" t="str">
        <x:v>中</x:v>
      </x:c>
      <x:c r="K192" s="144" t="str">
        <x:v>一般</x:v>
      </x:c>
      <x:c r="L192" s="136" t="str">
        <x:v>訓練值 +1</x:v>
      </x:c>
      <x:c r="M192" s="136" t="str">
        <x:v>依個人經驗、健康狀況與環境調整；不適時停止。</x:v>
      </x:c>
      <x:c r="N192" s="154" t="n">
        <x:f>LEN(G192)</x:f>
        <x:v>51</x:v>
      </x:c>
      <x:c r="O192" s="144" t="str">
        <x:v>S049</x:v>
      </x:c>
      <x:c r="P192" s="136" t="str">
        <x:v>World Athletics</x:v>
      </x:c>
      <x:c r="Q192" s="136" t="str">
        <x:v>Nutrition for Travel</x:v>
      </x:c>
      <x:c r="R192" s="151" t="str">
        <x:v>https://worldathletics.org/download/download?filename=f901713a-2825-4532-b08d-03a9318146b2.pdf&amp;urlslug=Nutrition+for+Travel%3A+From+Jet+lag+To+Catering</x:v>
      </x:c>
      <x:c r="S192" s="148" t="str">
        <x:v>2026-07-27</x:v>
      </x:c>
    </x:row>
    <x:row r="193" ht="58" customHeight="1">
      <x:c r="A193" s="143" t="str">
        <x:v>CH-189</x:v>
      </x:c>
      <x:c r="B193" s="144" t="str">
        <x:v>機會</x:v>
      </x:c>
      <x:c r="C193" s="136" t="str">
        <x:v>跑者訓練：提升成績與突破 PB</x:v>
      </x:c>
      <x:c r="D193" s="136" t="str">
        <x:v>環境與旅行</x:v>
      </x:c>
      <x:c r="E193" s="136" t="str">
        <x:v>在臺灣多變條件下穩定輸出</x:v>
      </x:c>
      <x:c r="F193" s="136" t="str">
        <x:v>賽道勘查找轉彎與補給點</x:v>
      </x:c>
      <x:c r="G193" s="136" t="str">
        <x:v>橋面、狹窄路與連續轉彎會影響配速與卡位。
行動：事先標出坡、風口、補給與廁所，制定 A、B 配速方案。</x:v>
      </x:c>
      <x:c r="H193" s="136" t="str">
        <x:v>事先標出坡、風口、補給與廁所，制定 A、B 配速方案。</x:v>
      </x:c>
      <x:c r="I193" s="136" t="str">
        <x:v>賽前</x:v>
      </x:c>
      <x:c r="J193" s="144" t="str">
        <x:v>中</x:v>
      </x:c>
      <x:c r="K193" s="144" t="str">
        <x:v>一般</x:v>
      </x:c>
      <x:c r="L193" s="136" t="str">
        <x:v>訓練值 +1</x:v>
      </x:c>
      <x:c r="M193" s="136" t="str">
        <x:v>依個人經驗、健康狀況與環境調整；不適時停止。</x:v>
      </x:c>
      <x:c r="N193" s="154" t="n">
        <x:f>LEN(G193)</x:f>
        <x:v>51</x:v>
      </x:c>
      <x:c r="O193" s="144" t="str">
        <x:v>S039</x:v>
      </x:c>
      <x:c r="P193" s="136" t="str">
        <x:v>World Athletics</x:v>
      </x:c>
      <x:c r="Q193" s="136" t="str">
        <x:v>Competition Medical Guidelines</x:v>
      </x:c>
      <x:c r="R193" s="151" t="str">
        <x:v>https://worldathletics.org/download/download?filename=a20d107f-c682-48be-8c54-b4c3764de329.pdf&amp;urlslug=World+Athletics+Competition+Medical+Guidelines+-+October+2020+Second+Edition</x:v>
      </x:c>
      <x:c r="S193" s="148" t="str">
        <x:v>2026-07-27</x:v>
      </x:c>
    </x:row>
    <x:row r="194" ht="58" customHeight="1">
      <x:c r="A194" s="143" t="str">
        <x:v>CH-190</x:v>
      </x:c>
      <x:c r="B194" s="144" t="str">
        <x:v>機會</x:v>
      </x:c>
      <x:c r="C194" s="136" t="str">
        <x:v>跑者訓練：提升成績與突破 PB</x:v>
      </x:c>
      <x:c r="D194" s="136" t="str">
        <x:v>環境與旅行</x:v>
      </x:c>
      <x:c r="E194" s="136" t="str">
        <x:v>在臺灣多變條件下穩定輸出</x:v>
      </x:c>
      <x:c r="F194" s="136" t="str">
        <x:v>空氣品質差時改場地</x:v>
      </x:c>
      <x:c r="G194" s="136" t="str">
        <x:v>懸浮微粒與臭氧可能刺激呼吸道，敏感族群風險更高。
行動：依官方空品資訊縮短、降強度或改室內；有喘鳴或胸悶即停止。</x:v>
      </x:c>
      <x:c r="H194" s="136" t="str">
        <x:v>依官方空品資訊縮短、降強度或改室內；有喘鳴或胸悶即停止。</x:v>
      </x:c>
      <x:c r="I194" s="136" t="str">
        <x:v>空污日</x:v>
      </x:c>
      <x:c r="J194" s="144" t="str">
        <x:v>高</x:v>
      </x:c>
      <x:c r="K194" s="144" t="str">
        <x:v>留意</x:v>
      </x:c>
      <x:c r="L194" s="136" t="str">
        <x:v>完成安全調整：訓練值 +1；健康值 +1</x:v>
      </x:c>
      <x:c r="M194" s="136" t="str">
        <x:v>依個人經驗、健康狀況與環境調整；不適時停止。</x:v>
      </x:c>
      <x:c r="N194" s="154" t="n">
        <x:f>LEN(G194)</x:f>
        <x:v>56</x:v>
      </x:c>
      <x:c r="O194" s="144" t="str">
        <x:v>S040</x:v>
      </x:c>
      <x:c r="P194" s="136" t="str">
        <x:v>國際奧會（IOC）／BJSM</x:v>
      </x:c>
      <x:c r="Q194" s="136" t="str">
        <x:v>Acute respiratory illness in athletes</x:v>
      </x:c>
      <x:c r="R194" s="151" t="str">
        <x:v>https://bjsm.bmj.com/content/56/19/1066</x:v>
      </x:c>
      <x:c r="S194" s="148" t="str">
        <x:v>2026-07-27</x:v>
      </x:c>
    </x:row>
    <x:row r="195" ht="58" customHeight="1">
      <x:c r="A195" s="143" t="str">
        <x:v>CH-191</x:v>
      </x:c>
      <x:c r="B195" s="144" t="str">
        <x:v>機會</x:v>
      </x:c>
      <x:c r="C195" s="136" t="str">
        <x:v>跑者訓練：提升成績與突破 PB</x:v>
      </x:c>
      <x:c r="D195" s="136" t="str">
        <x:v>數據與心理</x:v>
      </x:c>
      <x:c r="E195" s="136" t="str">
        <x:v>用資訊做決策，不被資訊綁架</x:v>
      </x:c>
      <x:c r="F195" s="136" t="str">
        <x:v>RPE 是隨身負荷計</x:v>
      </x:c>
      <x:c r="G195" s="136" t="str">
        <x:v>主觀用力能整合天候、睡眠、坡度與情緒，是配速之外的重要資料。
行動：每堂跑後記錄 0–10 分 RPE 與時長，追蹤週負荷趨勢。</x:v>
      </x:c>
      <x:c r="H195" s="136" t="str">
        <x:v>每堂跑後記錄 0–10 分 RPE 與時長，追蹤週負荷趨勢。</x:v>
      </x:c>
      <x:c r="I195" s="136" t="str">
        <x:v>所有訓練</x:v>
      </x:c>
      <x:c r="J195" s="144" t="str">
        <x:v>高</x:v>
      </x:c>
      <x:c r="K195" s="144" t="str">
        <x:v>一般</x:v>
      </x:c>
      <x:c r="L195" s="136" t="str">
        <x:v>訓練值 +2；PB 點數 +1</x:v>
      </x:c>
      <x:c r="M195" s="136" t="str">
        <x:v>依個人經驗、健康狀況與環境調整；不適時停止。</x:v>
      </x:c>
      <x:c r="N195" s="154" t="n">
        <x:f>LEN(G195)</x:f>
        <x:v>64</x:v>
      </x:c>
      <x:c r="O195" s="144" t="str">
        <x:v>S019</x:v>
      </x:c>
      <x:c r="P195" s="136" t="str">
        <x:v>Sports Medicine／PubMed</x:v>
      </x:c>
      <x:c r="Q195" s="136" t="str">
        <x:v>Session RPE systematic review</x:v>
      </x:c>
      <x:c r="R195" s="151" t="str">
        <x:v>https://pubmed.ncbi.nlm.nih.gov/36361320/</x:v>
      </x:c>
      <x:c r="S195" s="148" t="str">
        <x:v>2026-07-27</x:v>
      </x:c>
    </x:row>
    <x:row r="196" ht="58" customHeight="1">
      <x:c r="A196" s="143" t="str">
        <x:v>CH-192</x:v>
      </x:c>
      <x:c r="B196" s="144" t="str">
        <x:v>機會</x:v>
      </x:c>
      <x:c r="C196" s="136" t="str">
        <x:v>跑者訓練：提升成績與突破 PB</x:v>
      </x:c>
      <x:c r="D196" s="136" t="str">
        <x:v>數據與心理</x:v>
      </x:c>
      <x:c r="E196" s="136" t="str">
        <x:v>用資訊做決策，不被資訊綁架</x:v>
      </x:c>
      <x:c r="F196" s="136" t="str">
        <x:v>心率看趨勢不看單點</x:v>
      </x:c>
      <x:c r="G196" s="136" t="str">
        <x:v>光學心率可能受寒冷、鬆緊與步頻干擾。
行動：先確認佩戴與感受，再比較相似課表的平均與漂移。</x:v>
      </x:c>
      <x:c r="H196" s="136" t="str">
        <x:v>先確認佩戴與感受，再比較相似課表的平均與漂移。</x:v>
      </x:c>
      <x:c r="I196" s="136" t="str">
        <x:v>心率訓練</x:v>
      </x:c>
      <x:c r="J196" s="144" t="str">
        <x:v>中</x:v>
      </x:c>
      <x:c r="K196" s="144" t="str">
        <x:v>一般</x:v>
      </x:c>
      <x:c r="L196" s="136" t="str">
        <x:v>訓練值 +1</x:v>
      </x:c>
      <x:c r="M196" s="136" t="str">
        <x:v>依個人經驗、健康狀況與環境調整；不適時停止。</x:v>
      </x:c>
      <x:c r="N196" s="154" t="n">
        <x:f>LEN(G196)</x:f>
        <x:v>45</x:v>
      </x:c>
      <x:c r="O196" s="144" t="str">
        <x:v>S019</x:v>
      </x:c>
      <x:c r="P196" s="136" t="str">
        <x:v>Sports Medicine／PubMed</x:v>
      </x:c>
      <x:c r="Q196" s="136" t="str">
        <x:v>Session RPE systematic review</x:v>
      </x:c>
      <x:c r="R196" s="151" t="str">
        <x:v>https://pubmed.ncbi.nlm.nih.gov/36361320/</x:v>
      </x:c>
      <x:c r="S196" s="148" t="str">
        <x:v>2026-07-27</x:v>
      </x:c>
    </x:row>
    <x:row r="197" ht="58" customHeight="1">
      <x:c r="A197" s="143" t="str">
        <x:v>CH-193</x:v>
      </x:c>
      <x:c r="B197" s="144" t="str">
        <x:v>機會</x:v>
      </x:c>
      <x:c r="C197" s="136" t="str">
        <x:v>跑者訓練：提升成績與突破 PB</x:v>
      </x:c>
      <x:c r="D197" s="136" t="str">
        <x:v>數據與心理</x:v>
      </x:c>
      <x:c r="E197" s="136" t="str">
        <x:v>用資訊做決策，不被資訊綁架</x:v>
      </x:c>
      <x:c r="F197" s="136" t="str">
        <x:v>GPS 漂移不是體能崩潰</x:v>
      </x:c>
      <x:c r="G197" s="136" t="str">
        <x:v>高樓、隧道、樹蔭與轉彎都會造成即時配速誤差。
行動：用圈速、已知距離或時間段判斷，避免每幾秒追錶。</x:v>
      </x:c>
      <x:c r="H197" s="136" t="str">
        <x:v>用圈速、已知距離或時間段判斷，避免每幾秒追錶。</x:v>
      </x:c>
      <x:c r="I197" s="136" t="str">
        <x:v>都市路線</x:v>
      </x:c>
      <x:c r="J197" s="144" t="str">
        <x:v>中</x:v>
      </x:c>
      <x:c r="K197" s="144" t="str">
        <x:v>一般</x:v>
      </x:c>
      <x:c r="L197" s="136" t="str">
        <x:v>訓練值 +1</x:v>
      </x:c>
      <x:c r="M197" s="136" t="str">
        <x:v>依個人經驗、健康狀況與環境調整；不適時停止。</x:v>
      </x:c>
      <x:c r="N197" s="154" t="n">
        <x:f>LEN(G197)</x:f>
        <x:v>49</x:v>
      </x:c>
      <x:c r="O197" s="144" t="str">
        <x:v>S019</x:v>
      </x:c>
      <x:c r="P197" s="136" t="str">
        <x:v>Sports Medicine／PubMed</x:v>
      </x:c>
      <x:c r="Q197" s="136" t="str">
        <x:v>Session RPE systematic review</x:v>
      </x:c>
      <x:c r="R197" s="151" t="str">
        <x:v>https://pubmed.ncbi.nlm.nih.gov/36361320/</x:v>
      </x:c>
      <x:c r="S197" s="148" t="str">
        <x:v>2026-07-27</x:v>
      </x:c>
    </x:row>
    <x:row r="198" ht="58" customHeight="1">
      <x:c r="A198" s="143" t="str">
        <x:v>CH-194</x:v>
      </x:c>
      <x:c r="B198" s="144" t="str">
        <x:v>機會</x:v>
      </x:c>
      <x:c r="C198" s="136" t="str">
        <x:v>跑者訓練：提升成績與突破 PB</x:v>
      </x:c>
      <x:c r="D198" s="136" t="str">
        <x:v>數據與心理</x:v>
      </x:c>
      <x:c r="E198" s="136" t="str">
        <x:v>用資訊做決策，不被資訊綁架</x:v>
      </x:c>
      <x:c r="F198" s="136" t="str">
        <x:v>看四週移動平均</x:v>
      </x:c>
      <x:c r="G198" s="136" t="str">
        <x:v>單週高低常受賽事或生活影響，長一點的趨勢更能看連續性。
行動：每週回顧跑量、品質課、睡眠與疼痛，不只盯一個數字。</x:v>
      </x:c>
      <x:c r="H198" s="136" t="str">
        <x:v>每週回顧跑量、品質課、睡眠與疼痛，不只盯一個數字。</x:v>
      </x:c>
      <x:c r="I198" s="136" t="str">
        <x:v>月度回顧</x:v>
      </x:c>
      <x:c r="J198" s="144" t="str">
        <x:v>中</x:v>
      </x:c>
      <x:c r="K198" s="144" t="str">
        <x:v>一般</x:v>
      </x:c>
      <x:c r="L198" s="136" t="str">
        <x:v>訓練值 +1</x:v>
      </x:c>
      <x:c r="M198" s="136" t="str">
        <x:v>依個人經驗、健康狀況與環境調整；不適時停止。</x:v>
      </x:c>
      <x:c r="N198" s="154" t="n">
        <x:f>LEN(G198)</x:f>
        <x:v>56</x:v>
      </x:c>
      <x:c r="O198" s="144" t="str">
        <x:v>S003</x:v>
      </x:c>
      <x:c r="P198" s="136" t="str">
        <x:v>國際奧會（IOC）／BJSM</x:v>
      </x:c>
      <x:c r="Q198" s="136" t="str">
        <x:v>How much is too much? Part 1: load and injury risk</x:v>
      </x:c>
      <x:c r="R198" s="151" t="str">
        <x:v>https://bjsm.bmj.com/content/50/17/1030</x:v>
      </x:c>
      <x:c r="S198" s="148" t="str">
        <x:v>2026-07-27</x:v>
      </x:c>
    </x:row>
    <x:row r="199" ht="58" customHeight="1">
      <x:c r="A199" s="143" t="str">
        <x:v>CH-195</x:v>
      </x:c>
      <x:c r="B199" s="144" t="str">
        <x:v>機會</x:v>
      </x:c>
      <x:c r="C199" s="136" t="str">
        <x:v>跑者訓練：提升成績與突破 PB</x:v>
      </x:c>
      <x:c r="D199" s="136" t="str">
        <x:v>數據與心理</x:v>
      </x:c>
      <x:c r="E199" s="136" t="str">
        <x:v>用資訊做決策，不被資訊綁架</x:v>
      </x:c>
      <x:c r="F199" s="136" t="str">
        <x:v>成功日誌建立證據感</x:v>
      </x:c>
      <x:c r="G199" s="136" t="str">
        <x:v>自信來自可回想的準備，而不只是口號。
行動：每週記下完成的關鍵課、良好決策與下一個小改進。</x:v>
      </x:c>
      <x:c r="H199" s="136" t="str">
        <x:v>每週記下完成的關鍵課、良好決策與下一個小改進。</x:v>
      </x:c>
      <x:c r="I199" s="136" t="str">
        <x:v>賽季中</x:v>
      </x:c>
      <x:c r="J199" s="144" t="str">
        <x:v>中</x:v>
      </x:c>
      <x:c r="K199" s="144" t="str">
        <x:v>一般</x:v>
      </x:c>
      <x:c r="L199" s="136" t="str">
        <x:v>訓練值 +1</x:v>
      </x:c>
      <x:c r="M199" s="136" t="str">
        <x:v>依個人經驗、健康狀況與環境調整；不適時停止。</x:v>
      </x:c>
      <x:c r="N199" s="154" t="n">
        <x:f>LEN(G199)</x:f>
        <x:v>45</x:v>
      </x:c>
      <x:c r="O199" s="144" t="str">
        <x:v>S020</x:v>
      </x:c>
      <x:c r="P199" s="136" t="str">
        <x:v>Sports Medicine／PubMed</x:v>
      </x:c>
      <x:c r="Q199" s="136" t="str">
        <x:v>Psychological determinants of endurance performance</x:v>
      </x:c>
      <x:c r="R199" s="151" t="str">
        <x:v>https://pubmed.ncbi.nlm.nih.gov/25771784/</x:v>
      </x:c>
      <x:c r="S199" s="148" t="str">
        <x:v>2026-07-27</x:v>
      </x:c>
    </x:row>
    <x:row r="200" ht="58" customHeight="1">
      <x:c r="A200" s="143" t="str">
        <x:v>CH-196</x:v>
      </x:c>
      <x:c r="B200" s="144" t="str">
        <x:v>機會</x:v>
      </x:c>
      <x:c r="C200" s="136" t="str">
        <x:v>跑者訓練：提升成績與突破 PB</x:v>
      </x:c>
      <x:c r="D200" s="136" t="str">
        <x:v>數據與心理</x:v>
      </x:c>
      <x:c r="E200" s="136" t="str">
        <x:v>用資訊做決策，不被資訊綁架</x:v>
      </x:c>
      <x:c r="F200" s="136" t="str">
        <x:v>過程提示比結果焦慮有用</x:v>
      </x:c>
      <x:c r="G200" s="136" t="str">
        <x:v>比賽中反覆想終點秒數，容易忽略當下可控行動。
行動：每段只專注一個提示：呼吸、放鬆、補給或跟住節奏。</x:v>
      </x:c>
      <x:c r="H200" s="136" t="str">
        <x:v>每段只專注一個提示：呼吸、放鬆、補給或跟住節奏。</x:v>
      </x:c>
      <x:c r="I200" s="136" t="str">
        <x:v>比賽中</x:v>
      </x:c>
      <x:c r="J200" s="144" t="str">
        <x:v>中</x:v>
      </x:c>
      <x:c r="K200" s="144" t="str">
        <x:v>一般</x:v>
      </x:c>
      <x:c r="L200" s="136" t="str">
        <x:v>訓練值 +1</x:v>
      </x:c>
      <x:c r="M200" s="136" t="str">
        <x:v>依個人經驗、健康狀況與環境調整；不適時停止。</x:v>
      </x:c>
      <x:c r="N200" s="154" t="n">
        <x:f>LEN(G200)</x:f>
        <x:v>50</x:v>
      </x:c>
      <x:c r="O200" s="144" t="str">
        <x:v>S078</x:v>
      </x:c>
      <x:c r="P200" s="136" t="str">
        <x:v>Sports Medicine／PubMed</x:v>
      </x:c>
      <x:c r="Q200" s="136" t="str">
        <x:v>Psychological interventions for endurance performance</x:v>
      </x:c>
      <x:c r="R200" s="151" t="str">
        <x:v>https://pubmed.ncbi.nlm.nih.gov/37812334/</x:v>
      </x:c>
      <x:c r="S200" s="148" t="str">
        <x:v>2026-07-27</x:v>
      </x:c>
    </x:row>
    <x:row r="201" ht="58" customHeight="1">
      <x:c r="A201" s="143" t="str">
        <x:v>CH-197</x:v>
      </x:c>
      <x:c r="B201" s="144" t="str">
        <x:v>機會</x:v>
      </x:c>
      <x:c r="C201" s="136" t="str">
        <x:v>跑者訓練：提升成績與突破 PB</x:v>
      </x:c>
      <x:c r="D201" s="136" t="str">
        <x:v>數據與心理</x:v>
      </x:c>
      <x:c r="E201" s="136" t="str">
        <x:v>用資訊做決策，不被資訊綁架</x:v>
      </x:c>
      <x:c r="F201" s="136" t="str">
        <x:v>意象要包含困難情境</x:v>
      </x:c>
      <x:c r="G201" s="136" t="str">
        <x:v>只想像順利完賽，遇到逆風或腸胃不適時較難應變。
行動：排練起跑、上坡、失速與調整方案，並想像自己做出下一個正確行動。</x:v>
      </x:c>
      <x:c r="H201" s="136" t="str">
        <x:v>排練起跑、上坡、失速與調整方案，並想像自己做出下一個正確行動。</x:v>
      </x:c>
      <x:c r="I201" s="136" t="str">
        <x:v>賽前 1–4 週</x:v>
      </x:c>
      <x:c r="J201" s="144" t="str">
        <x:v>中</x:v>
      </x:c>
      <x:c r="K201" s="144" t="str">
        <x:v>一般</x:v>
      </x:c>
      <x:c r="L201" s="136" t="str">
        <x:v>訓練值 +1</x:v>
      </x:c>
      <x:c r="M201" s="136" t="str">
        <x:v>依個人經驗、健康狀況與環境調整；不適時停止。</x:v>
      </x:c>
      <x:c r="N201" s="154" t="n">
        <x:f>LEN(G201)</x:f>
        <x:v>58</x:v>
      </x:c>
      <x:c r="O201" s="144" t="str">
        <x:v>S078</x:v>
      </x:c>
      <x:c r="P201" s="136" t="str">
        <x:v>Sports Medicine／PubMed</x:v>
      </x:c>
      <x:c r="Q201" s="136" t="str">
        <x:v>Psychological interventions for endurance performance</x:v>
      </x:c>
      <x:c r="R201" s="151" t="str">
        <x:v>https://pubmed.ncbi.nlm.nih.gov/37812334/</x:v>
      </x:c>
      <x:c r="S201" s="148" t="str">
        <x:v>2026-07-27</x:v>
      </x:c>
    </x:row>
    <x:row r="202" ht="58" customHeight="1">
      <x:c r="A202" s="143" t="str">
        <x:v>CH-198</x:v>
      </x:c>
      <x:c r="B202" s="144" t="str">
        <x:v>機會</x:v>
      </x:c>
      <x:c r="C202" s="136" t="str">
        <x:v>跑者訓練：提升成績與突破 PB</x:v>
      </x:c>
      <x:c r="D202" s="136" t="str">
        <x:v>數據與心理</x:v>
      </x:c>
      <x:c r="E202" s="136" t="str">
        <x:v>用資訊做決策，不被資訊綁架</x:v>
      </x:c>
      <x:c r="F202" s="136" t="str">
        <x:v>自我對話要短而具體</x:v>
      </x:c>
      <x:c r="G202" s="136" t="str">
        <x:v>可執行的語句比抽象『撐住』更能引導動作。
行動：預先選 2–3 句，例如『肩放鬆、步幅短、下一站補水』。</x:v>
      </x:c>
      <x:c r="H202" s="136" t="str">
        <x:v>預先選 2–3 句，例如『肩放鬆、步幅短、下一站補水』。</x:v>
      </x:c>
      <x:c r="I202" s="136" t="str">
        <x:v>品質課與比賽</x:v>
      </x:c>
      <x:c r="J202" s="144" t="str">
        <x:v>中</x:v>
      </x:c>
      <x:c r="K202" s="144" t="str">
        <x:v>一般</x:v>
      </x:c>
      <x:c r="L202" s="136" t="str">
        <x:v>訓練值 +1</x:v>
      </x:c>
      <x:c r="M202" s="136" t="str">
        <x:v>依個人經驗、健康狀況與環境調整；不適時停止。</x:v>
      </x:c>
      <x:c r="N202" s="154" t="n">
        <x:f>LEN(G202)</x:f>
        <x:v>52</x:v>
      </x:c>
      <x:c r="O202" s="144" t="str">
        <x:v>S078</x:v>
      </x:c>
      <x:c r="P202" s="136" t="str">
        <x:v>Sports Medicine／PubMed</x:v>
      </x:c>
      <x:c r="Q202" s="136" t="str">
        <x:v>Psychological interventions for endurance performance</x:v>
      </x:c>
      <x:c r="R202" s="151" t="str">
        <x:v>https://pubmed.ncbi.nlm.nih.gov/37812334/</x:v>
      </x:c>
      <x:c r="S202" s="148" t="str">
        <x:v>2026-07-27</x:v>
      </x:c>
    </x:row>
    <x:row r="203" ht="58" customHeight="1">
      <x:c r="A203" s="143" t="str">
        <x:v>CH-199</x:v>
      </x:c>
      <x:c r="B203" s="144" t="str">
        <x:v>機會</x:v>
      </x:c>
      <x:c r="C203" s="136" t="str">
        <x:v>跑者訓練：提升成績與突破 PB</x:v>
      </x:c>
      <x:c r="D203" s="136" t="str">
        <x:v>數據與心理</x:v>
      </x:c>
      <x:c r="E203" s="136" t="str">
        <x:v>用資訊做決策，不被資訊綁架</x:v>
      </x:c>
      <x:c r="F203" s="136" t="str">
        <x:v>固定賽前流程降低決策量</x:v>
      </x:c>
      <x:c r="G203" s="136" t="str">
        <x:v>流程可把注意力留給配速與安全，而不是臨場找裝備。
行動：做一張前晚、早餐、交通、熱身與補給檢查表。</x:v>
      </x:c>
      <x:c r="H203" s="136" t="str">
        <x:v>做一張前晚、早餐、交通、熱身與補給檢查表。</x:v>
      </x:c>
      <x:c r="I203" s="136" t="str">
        <x:v>賽前</x:v>
      </x:c>
      <x:c r="J203" s="144" t="str">
        <x:v>中</x:v>
      </x:c>
      <x:c r="K203" s="144" t="str">
        <x:v>一般</x:v>
      </x:c>
      <x:c r="L203" s="136" t="str">
        <x:v>訓練值 +1</x:v>
      </x:c>
      <x:c r="M203" s="136" t="str">
        <x:v>依個人經驗、健康狀況與環境調整；不適時停止。</x:v>
      </x:c>
      <x:c r="N203" s="154" t="n">
        <x:f>LEN(G203)</x:f>
        <x:v>49</x:v>
      </x:c>
      <x:c r="O203" s="144" t="str">
        <x:v>S020</x:v>
      </x:c>
      <x:c r="P203" s="136" t="str">
        <x:v>Sports Medicine／PubMed</x:v>
      </x:c>
      <x:c r="Q203" s="136" t="str">
        <x:v>Psychological determinants of endurance performance</x:v>
      </x:c>
      <x:c r="R203" s="151" t="str">
        <x:v>https://pubmed.ncbi.nlm.nih.gov/25771784/</x:v>
      </x:c>
      <x:c r="S203" s="148" t="str">
        <x:v>2026-07-27</x:v>
      </x:c>
    </x:row>
    <x:row r="204" ht="58" customHeight="1">
      <x:c r="A204" s="145" t="str">
        <x:v>CH-200</x:v>
      </x:c>
      <x:c r="B204" s="146" t="str">
        <x:v>機會</x:v>
      </x:c>
      <x:c r="C204" s="139" t="str">
        <x:v>跑者訓練：提升成績與突破 PB</x:v>
      </x:c>
      <x:c r="D204" s="139" t="str">
        <x:v>數據與心理</x:v>
      </x:c>
      <x:c r="E204" s="139" t="str">
        <x:v>用資訊做決策，不被資訊綁架</x:v>
      </x:c>
      <x:c r="F204" s="139" t="str">
        <x:v>數據焦慮時暫時遮錶</x:v>
      </x:c>
      <x:c r="G204" s="139" t="str">
        <x:v>過度檢查即時數字會破壞節奏與樂趣。
行動：在輕鬆跑設定自動圈或只看時間，跑後再分析。</x:v>
      </x:c>
      <x:c r="H204" s="139" t="str">
        <x:v>在輕鬆跑設定自動圈或只看時間，跑後再分析。</x:v>
      </x:c>
      <x:c r="I204" s="139" t="str">
        <x:v>恢復與基礎期</x:v>
      </x:c>
      <x:c r="J204" s="146" t="str">
        <x:v>中</x:v>
      </x:c>
      <x:c r="K204" s="146" t="str">
        <x:v>一般</x:v>
      </x:c>
      <x:c r="L204" s="139" t="str">
        <x:v>訓練值 +1</x:v>
      </x:c>
      <x:c r="M204" s="139" t="str">
        <x:v>依個人經驗、健康狀況與環境調整；不適時停止。</x:v>
      </x:c>
      <x:c r="N204" s="155" t="n">
        <x:f>LEN(G204)</x:f>
        <x:v>42</x:v>
      </x:c>
      <x:c r="O204" s="146" t="str">
        <x:v>S020</x:v>
      </x:c>
      <x:c r="P204" s="139" t="str">
        <x:v>Sports Medicine／PubMed</x:v>
      </x:c>
      <x:c r="Q204" s="139" t="str">
        <x:v>Psychological determinants of endurance performance</x:v>
      </x:c>
      <x:c r="R204" s="152" t="str">
        <x:v>https://pubmed.ncbi.nlm.nih.gov/25771784/</x:v>
      </x:c>
      <x:c r="S204" s="149" t="str">
        <x:v>2026-07-27</x:v>
      </x:c>
    </x:row>
  </x:sheetData>
  <x:mergeCells>
    <x:mergeCell ref="A1:S1"/>
    <x:mergeCell ref="A2:S2"/>
  </x:mergeCells>
  <x:conditionalFormatting sqref="N5:N204">
    <x:cfRule type="cellIs" dxfId="0" priority="1" operator="greaterThan">
      <x:formula>500</x:formula>
    </x:cfRule>
  </x:conditionalFormatting>
  <x:conditionalFormatting sqref="K5:K204">
    <x:cfRule type="containsText" dxfId="1" priority="2" operator="containsText" text="緊急"/>
    <x:cfRule type="containsText" dxfId="2" priority="3" operator="containsText" text="停止運動"/>
    <x:cfRule type="containsText" dxfId="3" priority="4" operator="containsText" text="留意"/>
    <x:cfRule type="containsText" dxfId="4" priority="5" operator="containsText" text="一般"/>
  </x:conditionalFormatting>
  <x:pageMargins left="0.7" right="0.7" top="0.75" bottom="0.75" header="0.3" footer="0.3"/>
  <x:tableParts count="1">
    <x:tablePart xmlns:r="http://schemas.openxmlformats.org/officeDocument/2006/relationships" r:id="R71abe5771c7546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9" hidden="0" customWidth="1"/>
    <x:col min="3" max="3" width="22" hidden="0" customWidth="1"/>
    <x:col min="4" max="4" width="13" hidden="0" customWidth="1"/>
    <x:col min="5" max="5" width="20" hidden="0" customWidth="1"/>
    <x:col min="6" max="6" width="22" hidden="0" customWidth="1"/>
    <x:col min="7" max="7" width="55" hidden="0" customWidth="1"/>
    <x:col min="8" max="8" width="38" hidden="0" customWidth="1"/>
    <x:col min="9" max="9" width="16" hidden="0" customWidth="1"/>
    <x:col min="10" max="10" width="10" hidden="0" customWidth="1"/>
    <x:col min="11" max="11" width="12" hidden="0" customWidth="1"/>
    <x:col min="12" max="12" width="22" hidden="0" customWidth="1"/>
    <x:col min="13" max="13" width="36" hidden="0" customWidth="1"/>
    <x:col min="14" max="14" width="10" hidden="0" customWidth="1"/>
    <x:col min="15" max="15" width="11" hidden="0" customWidth="1"/>
    <x:col min="16" max="16" width="24" hidden="0" customWidth="1"/>
    <x:col min="17" max="17" width="34" hidden="0" customWidth="1"/>
    <x:col min="18" max="18" width="48" hidden="0" customWidth="1"/>
    <x:col min="19" max="19" width="12" hidden="0" customWidth="1"/>
  </x:cols>
  <x:sheetData>
    <x:row r="1" ht="34" customHeight="1">
      <x:c r="A1" s="4" t="str">
        <x:v>命運｜跑者照護 200 篇</x:v>
      </x:c>
    </x:row>
    <x:row r="2" ht="28" customHeight="1">
      <x:c r="A2" s="7" t="str">
        <x:v>目標：處理常見傷痛、促進身體修復並辨識需要停止或求助的紅旗。</x:v>
      </x:c>
    </x:row>
    <x:row r="4" ht="32" customHeight="1">
      <x:c r="A4" s="159" t="str">
        <x:v>ID</x:v>
      </x:c>
      <x:c r="B4" s="159" t="str">
        <x:v>觸發類型</x:v>
      </x:c>
      <x:c r="C4" s="159" t="str">
        <x:v>主題目標</x:v>
      </x:c>
      <x:c r="D4" s="159" t="str">
        <x:v>主分類</x:v>
      </x:c>
      <x:c r="E4" s="159" t="str">
        <x:v>子主題</x:v>
      </x:c>
      <x:c r="F4" s="159" t="str">
        <x:v>卡片標題</x:v>
      </x:c>
      <x:c r="G4" s="159" t="str">
        <x:v>卡片正文（≤500字）</x:v>
      </x:c>
      <x:c r="H4" s="159" t="str">
        <x:v>玩家行動</x:v>
      </x:c>
      <x:c r="I4" s="159" t="str">
        <x:v>適用時機</x:v>
      </x:c>
      <x:c r="J4" s="159" t="str">
        <x:v>重要程度</x:v>
      </x:c>
      <x:c r="K4" s="159" t="str">
        <x:v>處置層級</x:v>
      </x:c>
      <x:c r="L4" s="159" t="str">
        <x:v>建議遊戲效果</x:v>
      </x:c>
      <x:c r="M4" s="159" t="str">
        <x:v>風險提醒</x:v>
      </x:c>
      <x:c r="N4" s="159" t="str">
        <x:v>正文字數</x:v>
      </x:c>
      <x:c r="O4" s="159" t="str">
        <x:v>來源代碼</x:v>
      </x:c>
      <x:c r="P4" s="159" t="str">
        <x:v>來源機構</x:v>
      </x:c>
      <x:c r="Q4" s="159" t="str">
        <x:v>來源文件</x:v>
      </x:c>
      <x:c r="R4" s="159" t="str">
        <x:v>來源網址</x:v>
      </x:c>
      <x:c r="S4" s="159" t="str">
        <x:v>審校日期</x:v>
      </x:c>
    </x:row>
    <x:row r="5" ht="58" customHeight="1">
      <x:c r="A5" s="141" t="str">
        <x:v>FT-001</x:v>
      </x:c>
      <x:c r="B5" s="142" t="str">
        <x:v>命運</x:v>
      </x:c>
      <x:c r="C5" s="133" t="str">
        <x:v>跑者照護：受傷處理、身體修復與健康</x:v>
      </x:c>
      <x:c r="D5" s="133" t="str">
        <x:v>急症紅旗</x:v>
      </x:c>
      <x:c r="E5" s="133" t="str">
        <x:v>先辨識需要立即停止與求助的情況</x:v>
      </x:c>
      <x:c r="F5" s="133" t="str">
        <x:v>胸痛不是配速課的一部分</x:v>
      </x:c>
      <x:c r="G5" s="133" t="str">
        <x:v>跑步中若出現胸口壓迫或疼痛，尤其伴隨呼吸困難、冒冷汗、噁心或放射痛，應視為警訊。
行動：立即停止、不要自行跑回家，請旁人協助並撥打 119。
注意：症狀消失也不代表安全，需由醫療人員評估。</x:v>
      </x:c>
      <x:c r="H5" s="133" t="str">
        <x:v>立即停止、不要自行跑回家，請旁人協助並撥打 119。</x:v>
      </x:c>
      <x:c r="I5" s="133" t="str">
        <x:v>跑步中或跑後</x:v>
      </x:c>
      <x:c r="J5" s="142" t="str">
        <x:v>高</x:v>
      </x:c>
      <x:c r="K5" s="142" t="str">
        <x:v>緊急</x:v>
      </x:c>
      <x:c r="L5" s="133" t="str">
        <x:v>立即停止並求助：健康值保全；本回合休息</x:v>
      </x:c>
      <x:c r="M5" s="133" t="str">
        <x:v>症狀消失也不代表安全，需由醫療人員評估。</x:v>
      </x:c>
      <x:c r="N5" s="153" t="n">
        <x:f>LEN(G5)</x:f>
        <x:v>94</x:v>
      </x:c>
      <x:c r="O5" s="142" t="str">
        <x:v>S051</x:v>
      </x:c>
      <x:c r="P5" s="133" t="str">
        <x:v>衛生福利部國民健康署</x:v>
      </x:c>
      <x:c r="Q5" s="133" t="str">
        <x:v>運動時心血管警訊</x:v>
      </x:c>
      <x:c r="R5" s="150" t="str">
        <x:v>https://health99.hpa.gov.tw/health99/Subject/Detail/10741?nodeId=10</x:v>
      </x:c>
      <x:c r="S5" s="147" t="str">
        <x:v>2026-07-27</x:v>
      </x:c>
    </x:row>
    <x:row r="6" ht="58" customHeight="1">
      <x:c r="A6" s="143" t="str">
        <x:v>FT-002</x:v>
      </x:c>
      <x:c r="B6" s="144" t="str">
        <x:v>命運</x:v>
      </x:c>
      <x:c r="C6" s="136" t="str">
        <x:v>跑者照護：受傷處理、身體修復與健康</x:v>
      </x:c>
      <x:c r="D6" s="136" t="str">
        <x:v>急症紅旗</x:v>
      </x:c>
      <x:c r="E6" s="136" t="str">
        <x:v>先辨識需要立即停止與求助的情況</x:v>
      </x:c>
      <x:c r="F6" s="136" t="str">
        <x:v>暈厥或快要昏倒要停下</x:v>
      </x:c>
      <x:c r="G6" s="136" t="str">
        <x:v>失去意識、明顯頭暈或站不穩可能與心血管、熱傷害或代謝問題有關。
行動：讓患者平躺於安全處、保持呼吸道通暢並呼叫 119。
注意：不要讓患者獨自離開或繼續運動。</x:v>
      </x:c>
      <x:c r="H6" s="136" t="str">
        <x:v>讓患者平躺於安全處、保持呼吸道通暢並呼叫 119。</x:v>
      </x:c>
      <x:c r="I6" s="136" t="str">
        <x:v>任何運動情境</x:v>
      </x:c>
      <x:c r="J6" s="144" t="str">
        <x:v>高</x:v>
      </x:c>
      <x:c r="K6" s="144" t="str">
        <x:v>緊急</x:v>
      </x:c>
      <x:c r="L6" s="136" t="str">
        <x:v>立即停止並求助：健康值保全；本回合休息</x:v>
      </x:c>
      <x:c r="M6" s="136" t="str">
        <x:v>不要讓患者獨自離開或繼續運動。</x:v>
      </x:c>
      <x:c r="N6" s="154" t="n">
        <x:f>LEN(G6)</x:f>
        <x:v>79</x:v>
      </x:c>
      <x:c r="O6" s="144" t="str">
        <x:v>S050</x:v>
      </x:c>
      <x:c r="P6" s="136" t="str">
        <x:v>內政部消防署</x:v>
      </x:c>
      <x:c r="Q6" s="136" t="str">
        <x:v>119 報案專線</x:v>
      </x:c>
      <x:c r="R6" s="151" t="str">
        <x:v>https://www.nfa.gov.tw/cht/index.php?article_id=795&amp;code=list&amp;flag=detail&amp;ids=66</x:v>
      </x:c>
      <x:c r="S6" s="148" t="str">
        <x:v>2026-07-27</x:v>
      </x:c>
    </x:row>
    <x:row r="7" ht="58" customHeight="1">
      <x:c r="A7" s="143" t="str">
        <x:v>FT-003</x:v>
      </x:c>
      <x:c r="B7" s="144" t="str">
        <x:v>命運</x:v>
      </x:c>
      <x:c r="C7" s="136" t="str">
        <x:v>跑者照護：受傷處理、身體修復與健康</x:v>
      </x:c>
      <x:c r="D7" s="136" t="str">
        <x:v>急症紅旗</x:v>
      </x:c>
      <x:c r="E7" s="136" t="str">
        <x:v>先辨識需要立即停止與求助的情況</x:v>
      </x:c>
      <x:c r="F7" s="136" t="str">
        <x:v>意識混亂是熱中暑紅旗</x:v>
      </x:c>
      <x:c r="G7" s="136" t="str">
        <x:v>高溫運動後出現答非所問、步態不穩、抽搐或失去意識，可能是致命熱中暑。
行動：立刻呼叫 119，同時移到陰涼處並以冷水浸泡或持續全身降溫。
注意：不要只餵水後等待；意識異常需緊急處置。</x:v>
      </x:c>
      <x:c r="H7" s="136" t="str">
        <x:v>立刻呼叫 119，同時移到陰涼處並以冷水浸泡或持續全身降溫。</x:v>
      </x:c>
      <x:c r="I7" s="136" t="str">
        <x:v>炎熱運動</x:v>
      </x:c>
      <x:c r="J7" s="144" t="str">
        <x:v>高</x:v>
      </x:c>
      <x:c r="K7" s="144" t="str">
        <x:v>緊急</x:v>
      </x:c>
      <x:c r="L7" s="136" t="str">
        <x:v>立即停止並求助：健康值保全；本回合休息</x:v>
      </x:c>
      <x:c r="M7" s="136" t="str">
        <x:v>不要只餵水後等待；意識異常需緊急處置。</x:v>
      </x:c>
      <x:c r="N7" s="154" t="n">
        <x:f>LEN(G7)</x:f>
        <x:v>91</x:v>
      </x:c>
      <x:c r="O7" s="144" t="str">
        <x:v>S036</x:v>
      </x:c>
      <x:c r="P7" s="136" t="str">
        <x:v>National Athletic Trainers' Association（NATA）</x:v>
      </x:c>
      <x:c r="Q7" s="136" t="str">
        <x:v>Exertional Heat Illnesses Position Statement</x:v>
      </x:c>
      <x:c r="R7" s="151" t="str">
        <x:v>https://www.nata.org/sites/default/files/2025-08/exertional_heat_illnesses.pdf</x:v>
      </x:c>
      <x:c r="S7" s="148" t="str">
        <x:v>2026-07-27</x:v>
      </x:c>
    </x:row>
    <x:row r="8" ht="58" customHeight="1">
      <x:c r="A8" s="143" t="str">
        <x:v>FT-004</x:v>
      </x:c>
      <x:c r="B8" s="144" t="str">
        <x:v>命運</x:v>
      </x:c>
      <x:c r="C8" s="136" t="str">
        <x:v>跑者照護：受傷處理、身體修復與健康</x:v>
      </x:c>
      <x:c r="D8" s="136" t="str">
        <x:v>急症紅旗</x:v>
      </x:c>
      <x:c r="E8" s="136" t="str">
        <x:v>先辨識需要立即停止與求助的情況</x:v>
      </x:c>
      <x:c r="F8" s="136" t="str">
        <x:v>突然單側無力要辨識中風</x:v>
      </x:c>
      <x:c r="G8" s="136" t="str">
        <x:v>臉歪、單側手腳無力、說話不清或突發劇烈頭痛，不應歸因於疲勞。
行動：記下最後正常時間，立即撥打 119，不自行駕車就醫。</x:v>
      </x:c>
      <x:c r="H8" s="136" t="str">
        <x:v>記下最後正常時間，立即撥打 119，不自行駕車就醫。</x:v>
      </x:c>
      <x:c r="I8" s="136" t="str">
        <x:v>跑步中或休息時</x:v>
      </x:c>
      <x:c r="J8" s="144" t="str">
        <x:v>高</x:v>
      </x:c>
      <x:c r="K8" s="144" t="str">
        <x:v>緊急</x:v>
      </x:c>
      <x:c r="L8" s="136" t="str">
        <x:v>立即停止並求助：健康值保全；本回合休息</x:v>
      </x:c>
      <x:c r="M8" s="136" t="str">
        <x:v>若症狀持續、反覆或惡化，請由合格醫療專業評估。</x:v>
      </x:c>
      <x:c r="N8" s="154" t="n">
        <x:f>LEN(G8)</x:f>
        <x:v>60</x:v>
      </x:c>
      <x:c r="O8" s="144" t="str">
        <x:v>S050</x:v>
      </x:c>
      <x:c r="P8" s="136" t="str">
        <x:v>內政部消防署</x:v>
      </x:c>
      <x:c r="Q8" s="136" t="str">
        <x:v>119 報案專線</x:v>
      </x:c>
      <x:c r="R8" s="151" t="str">
        <x:v>https://www.nfa.gov.tw/cht/index.php?article_id=795&amp;code=list&amp;flag=detail&amp;ids=66</x:v>
      </x:c>
      <x:c r="S8" s="148" t="str">
        <x:v>2026-07-27</x:v>
      </x:c>
    </x:row>
    <x:row r="9" ht="58" customHeight="1">
      <x:c r="A9" s="143" t="str">
        <x:v>FT-005</x:v>
      </x:c>
      <x:c r="B9" s="144" t="str">
        <x:v>命運</x:v>
      </x:c>
      <x:c r="C9" s="136" t="str">
        <x:v>跑者照護：受傷處理、身體修復與健康</x:v>
      </x:c>
      <x:c r="D9" s="136" t="str">
        <x:v>急症紅旗</x:v>
      </x:c>
      <x:c r="E9" s="136" t="str">
        <x:v>先辨識需要立即停止與求助的情況</x:v>
      </x:c>
      <x:c r="F9" s="136" t="str">
        <x:v>不能承重或明顯變形先固定</x:v>
      </x:c>
      <x:c r="G9" s="136" t="str">
        <x:v>跌倒後無法走四步、肢體變形或疼痛劇烈，可能有骨折或嚴重韌帶傷。
行動：停止移動患部、就地保護並請他人協助就醫。
注意：不要自行扳回或用跑步測試。</x:v>
      </x:c>
      <x:c r="H9" s="136" t="str">
        <x:v>停止移動患部、就地保護並請他人協助就醫。</x:v>
      </x:c>
      <x:c r="I9" s="136" t="str">
        <x:v>跌倒或扭傷後</x:v>
      </x:c>
      <x:c r="J9" s="144" t="str">
        <x:v>高</x:v>
      </x:c>
      <x:c r="K9" s="144" t="str">
        <x:v>停止運動</x:v>
      </x:c>
      <x:c r="L9" s="136" t="str">
        <x:v>停止跑步並處理：修復值 +2；本回合休息</x:v>
      </x:c>
      <x:c r="M9" s="136" t="str">
        <x:v>不要自行扳回或用跑步測試。</x:v>
      </x:c>
      <x:c r="N9" s="154" t="n">
        <x:f>LEN(G9)</x:f>
        <x:v>72</x:v>
      </x:c>
      <x:c r="O9" s="144" t="str">
        <x:v>S025</x:v>
      </x:c>
      <x:c r="P9" s="136" t="str">
        <x:v>AAOS</x:v>
      </x:c>
      <x:c r="Q9" s="136" t="str">
        <x:v>Sprains, Strains and Other Soft-Tissue Injuries</x:v>
      </x:c>
      <x:c r="R9" s="151" t="str">
        <x:v>https://orthoinfo.aaos.org/en/diseases--conditions/sprains-strains-and-other-soft-tissue-injuries/</x:v>
      </x:c>
      <x:c r="S9" s="148" t="str">
        <x:v>2026-07-27</x:v>
      </x:c>
    </x:row>
    <x:row r="10" ht="58" customHeight="1">
      <x:c r="A10" s="143" t="str">
        <x:v>FT-006</x:v>
      </x:c>
      <x:c r="B10" s="144" t="str">
        <x:v>命運</x:v>
      </x:c>
      <x:c r="C10" s="136" t="str">
        <x:v>跑者照護：受傷處理、身體修復與健康</x:v>
      </x:c>
      <x:c r="D10" s="136" t="str">
        <x:v>急症紅旗</x:v>
      </x:c>
      <x:c r="E10" s="136" t="str">
        <x:v>先辨識需要立即停止與求助的情況</x:v>
      </x:c>
      <x:c r="F10" s="136" t="str">
        <x:v>啪一聲加上無法蹬地</x:v>
      </x:c>
      <x:c r="G10" s="136" t="str">
        <x:v>後腳跟突然像被踢、聽到聲響且無法踮腳，可能是阿基里斯腱斷裂。
行動：停止承重、固定踝部並儘快就醫。
注意：不要拉筋、按摩或反覆測試。</x:v>
      </x:c>
      <x:c r="H10" s="136" t="str">
        <x:v>停止承重、固定踝部並儘快就醫。</x:v>
      </x:c>
      <x:c r="I10" s="136" t="str">
        <x:v>衝刺或跳躍後</x:v>
      </x:c>
      <x:c r="J10" s="144" t="str">
        <x:v>高</x:v>
      </x:c>
      <x:c r="K10" s="144" t="str">
        <x:v>停止運動</x:v>
      </x:c>
      <x:c r="L10" s="136" t="str">
        <x:v>停止跑步並處理：修復值 +2；本回合休息</x:v>
      </x:c>
      <x:c r="M10" s="136" t="str">
        <x:v>不要拉筋、按摩或反覆測試。</x:v>
      </x:c>
      <x:c r="N10" s="154" t="n">
        <x:f>LEN(G10)</x:f>
        <x:v>66</x:v>
      </x:c>
      <x:c r="O10" s="144" t="str">
        <x:v>S066</x:v>
      </x:c>
      <x:c r="P10" s="136" t="str">
        <x:v>AAOS</x:v>
      </x:c>
      <x:c r="Q10" s="136" t="str">
        <x:v>Achilles Tendon Rupture</x:v>
      </x:c>
      <x:c r="R10" s="151" t="str">
        <x:v>https://orthoinfo.aaos.org/en/diseases--conditions/achilles-tendon-rupture-tear/</x:v>
      </x:c>
      <x:c r="S10" s="148" t="str">
        <x:v>2026-07-27</x:v>
      </x:c>
    </x:row>
    <x:row r="11" ht="58" customHeight="1">
      <x:c r="A11" s="143" t="str">
        <x:v>FT-007</x:v>
      </x:c>
      <x:c r="B11" s="144" t="str">
        <x:v>命運</x:v>
      </x:c>
      <x:c r="C11" s="136" t="str">
        <x:v>跑者照護：受傷處理、身體修復與健康</x:v>
      </x:c>
      <x:c r="D11" s="136" t="str">
        <x:v>急症紅旗</x:v>
      </x:c>
      <x:c r="E11" s="136" t="str">
        <x:v>先辨識需要立即停止與求助的情況</x:v>
      </x:c>
      <x:c r="F11" s="136" t="str">
        <x:v>異常劇痛與緊繃要警覺腔室症候群</x:v>
      </x:c>
      <x:c r="G11" s="136" t="str">
        <x:v>傷後疼痛遠超預期、肢體緊繃、麻木或無力，可能需要緊急處置。
行動：立即停止並送急診，不等待冰敷自行改善。</x:v>
      </x:c>
      <x:c r="H11" s="136" t="str">
        <x:v>立即停止並送急診，不等待冰敷自行改善。</x:v>
      </x:c>
      <x:c r="I11" s="136" t="str">
        <x:v>撞擊或大量運動後</x:v>
      </x:c>
      <x:c r="J11" s="144" t="str">
        <x:v>高</x:v>
      </x:c>
      <x:c r="K11" s="144" t="str">
        <x:v>緊急</x:v>
      </x:c>
      <x:c r="L11" s="136" t="str">
        <x:v>立即停止並求助：健康值保全；本回合休息</x:v>
      </x:c>
      <x:c r="M11" s="136" t="str">
        <x:v>若症狀持續、反覆或惡化，請由合格醫療專業評估。</x:v>
      </x:c>
      <x:c r="N11" s="154" t="n">
        <x:f>LEN(G11)</x:f>
        <x:v>52</x:v>
      </x:c>
      <x:c r="O11" s="144" t="str">
        <x:v>S048</x:v>
      </x:c>
      <x:c r="P11" s="136" t="str">
        <x:v>AAOS</x:v>
      </x:c>
      <x:c r="Q11" s="136" t="str">
        <x:v>Compartment Syndrome</x:v>
      </x:c>
      <x:c r="R11" s="151" t="str">
        <x:v>https://orthoinfo.aaos.org/en/diseases--conditions/compartment-syndrome/</x:v>
      </x:c>
      <x:c r="S11" s="148" t="str">
        <x:v>2026-07-27</x:v>
      </x:c>
    </x:row>
    <x:row r="12" ht="58" customHeight="1">
      <x:c r="A12" s="143" t="str">
        <x:v>FT-008</x:v>
      </x:c>
      <x:c r="B12" s="144" t="str">
        <x:v>命運</x:v>
      </x:c>
      <x:c r="C12" s="136" t="str">
        <x:v>跑者照護：受傷處理、身體修復與健康</x:v>
      </x:c>
      <x:c r="D12" s="136" t="str">
        <x:v>急症紅旗</x:v>
      </x:c>
      <x:c r="E12" s="136" t="str">
        <x:v>先辨識需要立即停止與求助的情況</x:v>
      </x:c>
      <x:c r="F12" s="136" t="str">
        <x:v>深色尿加肌肉痛要就醫</x:v>
      </x:c>
      <x:c r="G12" s="136" t="str">
        <x:v>劇烈運動後出現可樂色尿、異常肌痛或明顯無力，可能是橫紋肌溶解。
行動：停止運動並儘速就醫，說明近期運動、熱暴露與用藥。
注意：不要只靠大量喝水自行處理。</x:v>
      </x:c>
      <x:c r="H12" s="136" t="str">
        <x:v>停止運動並儘速就醫，說明近期運動、熱暴露與用藥。</x:v>
      </x:c>
      <x:c r="I12" s="136" t="str">
        <x:v>高強度或高溫後</x:v>
      </x:c>
      <x:c r="J12" s="144" t="str">
        <x:v>高</x:v>
      </x:c>
      <x:c r="K12" s="144" t="str">
        <x:v>緊急</x:v>
      </x:c>
      <x:c r="L12" s="136" t="str">
        <x:v>立即停止並求助：健康值保全；本回合休息</x:v>
      </x:c>
      <x:c r="M12" s="136" t="str">
        <x:v>不要只靠大量喝水自行處理。</x:v>
      </x:c>
      <x:c r="N12" s="154" t="n">
        <x:f>LEN(G12)</x:f>
        <x:v>76</x:v>
      </x:c>
      <x:c r="O12" s="144" t="str">
        <x:v>S038</x:v>
      </x:c>
      <x:c r="P12" s="136" t="str">
        <x:v>CDC/NIOSH</x:v>
      </x:c>
      <x:c r="Q12" s="136" t="str">
        <x:v>Rhabdomyolysis</x:v>
      </x:c>
      <x:c r="R12" s="151" t="str">
        <x:v>https://www.cdc.gov/niosh/rhabdo/about/index.html</x:v>
      </x:c>
      <x:c r="S12" s="148" t="str">
        <x:v>2026-07-27</x:v>
      </x:c>
    </x:row>
    <x:row r="13" ht="58" customHeight="1">
      <x:c r="A13" s="143" t="str">
        <x:v>FT-009</x:v>
      </x:c>
      <x:c r="B13" s="144" t="str">
        <x:v>命運</x:v>
      </x:c>
      <x:c r="C13" s="136" t="str">
        <x:v>跑者照護：受傷處理、身體修復與健康</x:v>
      </x:c>
      <x:c r="D13" s="136" t="str">
        <x:v>急症紅旗</x:v>
      </x:c>
      <x:c r="E13" s="136" t="str">
        <x:v>先辨識需要立即停止與求助的情況</x:v>
      </x:c>
      <x:c r="F13" s="136" t="str">
        <x:v>大量出血先直接加壓</x:v>
      </x:c>
      <x:c r="G13" s="136" t="str">
        <x:v>持續噴流或滲透敷料的出血可能迅速惡化。
行動：用乾淨布料直接持續加壓並呼叫 119；除非必要，不反覆掀開檢查。</x:v>
      </x:c>
      <x:c r="H13" s="136" t="str">
        <x:v>用乾淨布料直接持續加壓並呼叫 119；除非必要，不反覆掀開檢查。</x:v>
      </x:c>
      <x:c r="I13" s="136" t="str">
        <x:v>外傷</x:v>
      </x:c>
      <x:c r="J13" s="144" t="str">
        <x:v>高</x:v>
      </x:c>
      <x:c r="K13" s="144" t="str">
        <x:v>緊急</x:v>
      </x:c>
      <x:c r="L13" s="136" t="str">
        <x:v>立即停止並求助：健康值保全；本回合休息</x:v>
      </x:c>
      <x:c r="M13" s="136" t="str">
        <x:v>若症狀持續、反覆或惡化，請由合格醫療專業評估。</x:v>
      </x:c>
      <x:c r="N13" s="154" t="n">
        <x:f>LEN(G13)</x:f>
        <x:v>55</x:v>
      </x:c>
      <x:c r="O13" s="144" t="str">
        <x:v>S050</x:v>
      </x:c>
      <x:c r="P13" s="136" t="str">
        <x:v>內政部消防署</x:v>
      </x:c>
      <x:c r="Q13" s="136" t="str">
        <x:v>119 報案專線</x:v>
      </x:c>
      <x:c r="R13" s="151" t="str">
        <x:v>https://www.nfa.gov.tw/cht/index.php?article_id=795&amp;code=list&amp;flag=detail&amp;ids=66</x:v>
      </x:c>
      <x:c r="S13" s="148" t="str">
        <x:v>2026-07-27</x:v>
      </x:c>
    </x:row>
    <x:row r="14" ht="58" customHeight="1">
      <x:c r="A14" s="143" t="str">
        <x:v>FT-010</x:v>
      </x:c>
      <x:c r="B14" s="144" t="str">
        <x:v>命運</x:v>
      </x:c>
      <x:c r="C14" s="136" t="str">
        <x:v>跑者照護：受傷處理、身體修復與健康</x:v>
      </x:c>
      <x:c r="D14" s="136" t="str">
        <x:v>急症紅旗</x:v>
      </x:c>
      <x:c r="E14" s="136" t="str">
        <x:v>先辨識需要立即停止與求助的情況</x:v>
      </x:c>
      <x:c r="F14" s="136" t="str">
        <x:v>夜間痛與休息痛別再跑</x:v>
      </x:c>
      <x:c r="G14" s="136" t="str">
        <x:v>疼痛在休息或夜間持續、越來越強，可能不是一般運動後痠痛。
行動：停止跑步並安排醫療評估，記錄位置、時間與誘發因素。</x:v>
      </x:c>
      <x:c r="H14" s="136" t="str">
        <x:v>停止跑步並安排醫療評估，記錄位置、時間與誘發因素。</x:v>
      </x:c>
      <x:c r="I14" s="136" t="str">
        <x:v>不明原因疼痛</x:v>
      </x:c>
      <x:c r="J14" s="144" t="str">
        <x:v>高</x:v>
      </x:c>
      <x:c r="K14" s="144" t="str">
        <x:v>停止運動</x:v>
      </x:c>
      <x:c r="L14" s="136" t="str">
        <x:v>停止跑步並處理：修復值 +2；本回合休息</x:v>
      </x:c>
      <x:c r="M14" s="136" t="str">
        <x:v>若症狀持續、反覆或惡化，請由合格醫療專業評估。</x:v>
      </x:c>
      <x:c r="N14" s="154" t="n">
        <x:f>LEN(G14)</x:f>
        <x:v>57</x:v>
      </x:c>
      <x:c r="O14" s="144" t="str">
        <x:v>S028</x:v>
      </x:c>
      <x:c r="P14" s="136" t="str">
        <x:v>AAOS</x:v>
      </x:c>
      <x:c r="Q14" s="136" t="str">
        <x:v>Stress Fractures</x:v>
      </x:c>
      <x:c r="R14" s="151" t="str">
        <x:v>https://orthoinfo.aaos.org/en/diseases--conditions/stress-fractures/</x:v>
      </x:c>
      <x:c r="S14" s="148" t="str">
        <x:v>2026-07-27</x:v>
      </x:c>
    </x:row>
    <x:row r="15" ht="58" customHeight="1">
      <x:c r="A15" s="143" t="str">
        <x:v>FT-011</x:v>
      </x:c>
      <x:c r="B15" s="144" t="str">
        <x:v>命運</x:v>
      </x:c>
      <x:c r="C15" s="136" t="str">
        <x:v>跑者照護：受傷處理、身體修復與健康</x:v>
      </x:c>
      <x:c r="D15" s="136" t="str">
        <x:v>急性軟組織</x:v>
      </x:c>
      <x:c r="E15" s="136" t="str">
        <x:v>用保護與漸進負荷取代硬撐</x:v>
      </x:c>
      <x:c r="F15" s="136" t="str">
        <x:v>先保護受傷區域</x:v>
      </x:c>
      <x:c r="G15" s="136" t="str">
        <x:v>扭傷或拉傷初期重點是避免再次受傷，而非立刻測試極限。
行動：停止當下活動，使用護具或輔助方式減少疼痛動作。</x:v>
      </x:c>
      <x:c r="H15" s="136" t="str">
        <x:v>停止當下活動，使用護具或輔助方式減少疼痛動作。</x:v>
      </x:c>
      <x:c r="I15" s="136" t="str">
        <x:v>受傷當下</x:v>
      </x:c>
      <x:c r="J15" s="144" t="str">
        <x:v>高</x:v>
      </x:c>
      <x:c r="K15" s="144" t="str">
        <x:v>停止運動</x:v>
      </x:c>
      <x:c r="L15" s="136" t="str">
        <x:v>停止跑步並處理：修復值 +2；本回合休息</x:v>
      </x:c>
      <x:c r="M15" s="136" t="str">
        <x:v>若症狀持續、反覆或惡化，請由合格醫療專業評估。</x:v>
      </x:c>
      <x:c r="N15" s="154" t="n">
        <x:f>LEN(G15)</x:f>
        <x:v>53</x:v>
      </x:c>
      <x:c r="O15" s="144" t="str">
        <x:v>S024</x:v>
      </x:c>
      <x:c r="P15" s="136" t="str">
        <x:v>BJSM</x:v>
      </x:c>
      <x:c r="Q15" s="136" t="str">
        <x:v>Soft-tissue injuries simply need PEACE and LOVE</x:v>
      </x:c>
      <x:c r="R15" s="151" t="str">
        <x:v>https://bjsm.bmj.com/content/54/2/72</x:v>
      </x:c>
      <x:c r="S15" s="148" t="str">
        <x:v>2026-07-27</x:v>
      </x:c>
    </x:row>
    <x:row r="16" ht="58" customHeight="1">
      <x:c r="A16" s="143" t="str">
        <x:v>FT-012</x:v>
      </x:c>
      <x:c r="B16" s="144" t="str">
        <x:v>命運</x:v>
      </x:c>
      <x:c r="C16" s="136" t="str">
        <x:v>跑者照護：受傷處理、身體修復與健康</x:v>
      </x:c>
      <x:c r="D16" s="136" t="str">
        <x:v>急性軟組織</x:v>
      </x:c>
      <x:c r="E16" s="136" t="str">
        <x:v>用保護與漸進負荷取代硬撐</x:v>
      </x:c>
      <x:c r="F16" s="136" t="str">
        <x:v>抬高可協助腫脹管理</x:v>
      </x:c>
      <x:c r="G16" s="136" t="str">
        <x:v>把受傷肢體抬高可作為短期舒適與腫脹管理的一部分。
行動：休息時將患部抬至心臟附近高度，避免壓迫麻木。</x:v>
      </x:c>
      <x:c r="H16" s="136" t="str">
        <x:v>休息時將患部抬至心臟附近高度，避免壓迫麻木。</x:v>
      </x:c>
      <x:c r="I16" s="136" t="str">
        <x:v>受傷初期</x:v>
      </x:c>
      <x:c r="J16" s="144" t="str">
        <x:v>中</x:v>
      </x:c>
      <x:c r="K16" s="144" t="str">
        <x:v>一般</x:v>
      </x:c>
      <x:c r="L16" s="136" t="str">
        <x:v>修復值 +1</x:v>
      </x:c>
      <x:c r="M16" s="136" t="str">
        <x:v>若症狀持續、反覆或惡化，請由合格醫療專業評估。</x:v>
      </x:c>
      <x:c r="N16" s="154" t="n">
        <x:f>LEN(G16)</x:f>
        <x:v>50</x:v>
      </x:c>
      <x:c r="O16" s="144" t="str">
        <x:v>S024</x:v>
      </x:c>
      <x:c r="P16" s="136" t="str">
        <x:v>BJSM</x:v>
      </x:c>
      <x:c r="Q16" s="136" t="str">
        <x:v>Soft-tissue injuries simply need PEACE and LOVE</x:v>
      </x:c>
      <x:c r="R16" s="151" t="str">
        <x:v>https://bjsm.bmj.com/content/54/2/72</x:v>
      </x:c>
      <x:c r="S16" s="148" t="str">
        <x:v>2026-07-27</x:v>
      </x:c>
    </x:row>
    <x:row r="17" ht="58" customHeight="1">
      <x:c r="A17" s="143" t="str">
        <x:v>FT-013</x:v>
      </x:c>
      <x:c r="B17" s="144" t="str">
        <x:v>命運</x:v>
      </x:c>
      <x:c r="C17" s="136" t="str">
        <x:v>跑者照護：受傷處理、身體修復與健康</x:v>
      </x:c>
      <x:c r="D17" s="136" t="str">
        <x:v>急性軟組織</x:v>
      </x:c>
      <x:c r="E17" s="136" t="str">
        <x:v>用保護與漸進負荷取代硬撐</x:v>
      </x:c>
      <x:c r="F17" s="136" t="str">
        <x:v>壓迫要有感但不能麻</x:v>
      </x:c>
      <x:c r="G17" s="136" t="str">
        <x:v>彈性繃帶可減少腫脹，但太緊會影響循環。
行動：由遠端向近端包紮，若發白、冰冷、麻木或疼痛增加立即鬆開。</x:v>
      </x:c>
      <x:c r="H17" s="136" t="str">
        <x:v>由遠端向近端包紮，若發白、冰冷、麻木或疼痛增加立即鬆開。</x:v>
      </x:c>
      <x:c r="I17" s="136" t="str">
        <x:v>急性腫脹</x:v>
      </x:c>
      <x:c r="J17" s="144" t="str">
        <x:v>高</x:v>
      </x:c>
      <x:c r="K17" s="144" t="str">
        <x:v>留意</x:v>
      </x:c>
      <x:c r="L17" s="136" t="str">
        <x:v>做出正確照護：修復值 +1</x:v>
      </x:c>
      <x:c r="M17" s="136" t="str">
        <x:v>若症狀持續、反覆或惡化，請由合格醫療專業評估。</x:v>
      </x:c>
      <x:c r="N17" s="154" t="n">
        <x:f>LEN(G17)</x:f>
        <x:v>51</x:v>
      </x:c>
      <x:c r="O17" s="144" t="str">
        <x:v>S025</x:v>
      </x:c>
      <x:c r="P17" s="136" t="str">
        <x:v>AAOS</x:v>
      </x:c>
      <x:c r="Q17" s="136" t="str">
        <x:v>Sprains, Strains and Other Soft-Tissue Injuries</x:v>
      </x:c>
      <x:c r="R17" s="151" t="str">
        <x:v>https://orthoinfo.aaos.org/en/diseases--conditions/sprains-strains-and-other-soft-tissue-injuries/</x:v>
      </x:c>
      <x:c r="S17" s="148" t="str">
        <x:v>2026-07-27</x:v>
      </x:c>
    </x:row>
    <x:row r="18" ht="58" customHeight="1">
      <x:c r="A18" s="143" t="str">
        <x:v>FT-014</x:v>
      </x:c>
      <x:c r="B18" s="144" t="str">
        <x:v>命運</x:v>
      </x:c>
      <x:c r="C18" s="136" t="str">
        <x:v>跑者照護：受傷處理、身體修復與健康</x:v>
      </x:c>
      <x:c r="D18" s="136" t="str">
        <x:v>急性軟組織</x:v>
      </x:c>
      <x:c r="E18" s="136" t="str">
        <x:v>用保護與漸進負荷取代硬撐</x:v>
      </x:c>
      <x:c r="F18" s="136" t="str">
        <x:v>冰敷可止痛但不是必須</x:v>
      </x:c>
      <x:c r="G18" s="136" t="str">
        <x:v>冷敷可能短暫降低疼痛，並不等於加速組織修復。
行動：若使用，以布包隔開、短時間進行，避免凍傷與長時間麻木。</x:v>
      </x:c>
      <x:c r="H18" s="136" t="str">
        <x:v>若使用，以布包隔開、短時間進行，避免凍傷與長時間麻木。</x:v>
      </x:c>
      <x:c r="I18" s="136" t="str">
        <x:v>受傷初期</x:v>
      </x:c>
      <x:c r="J18" s="144" t="str">
        <x:v>中</x:v>
      </x:c>
      <x:c r="K18" s="144" t="str">
        <x:v>留意</x:v>
      </x:c>
      <x:c r="L18" s="136" t="str">
        <x:v>做出正確照護：修復值 +1</x:v>
      </x:c>
      <x:c r="M18" s="136" t="str">
        <x:v>若症狀持續、反覆或惡化，請由合格醫療專業評估。</x:v>
      </x:c>
      <x:c r="N18" s="154" t="n">
        <x:f>LEN(G18)</x:f>
        <x:v>53</x:v>
      </x:c>
      <x:c r="O18" s="144" t="str">
        <x:v>S024</x:v>
      </x:c>
      <x:c r="P18" s="136" t="str">
        <x:v>BJSM</x:v>
      </x:c>
      <x:c r="Q18" s="136" t="str">
        <x:v>Soft-tissue injuries simply need PEACE and LOVE</x:v>
      </x:c>
      <x:c r="R18" s="151" t="str">
        <x:v>https://bjsm.bmj.com/content/54/2/72</x:v>
      </x:c>
      <x:c r="S18" s="148" t="str">
        <x:v>2026-07-27</x:v>
      </x:c>
    </x:row>
    <x:row r="19" ht="58" customHeight="1">
      <x:c r="A19" s="143" t="str">
        <x:v>FT-015</x:v>
      </x:c>
      <x:c r="B19" s="144" t="str">
        <x:v>命運</x:v>
      </x:c>
      <x:c r="C19" s="136" t="str">
        <x:v>跑者照護：受傷處理、身體修復與健康</x:v>
      </x:c>
      <x:c r="D19" s="136" t="str">
        <x:v>急性軟組織</x:v>
      </x:c>
      <x:c r="E19" s="136" t="str">
        <x:v>用保護與漸進負荷取代硬撐</x:v>
      </x:c>
      <x:c r="F19" s="136" t="str">
        <x:v>別用止痛藥掩蓋回跑測試</x:v>
      </x:c>
      <x:c r="G19" s="136" t="str">
        <x:v>把疼痛壓下去後繼續跑，會失去身體的負荷警示。
行動：先評估原因與功能；藥物依醫囑使用，不為了完成課表自行加量。</x:v>
      </x:c>
      <x:c r="H19" s="136" t="str">
        <x:v>先評估原因與功能；藥物依醫囑使用，不為了完成課表自行加量。</x:v>
      </x:c>
      <x:c r="I19" s="136" t="str">
        <x:v>受傷後</x:v>
      </x:c>
      <x:c r="J19" s="144" t="str">
        <x:v>高</x:v>
      </x:c>
      <x:c r="K19" s="144" t="str">
        <x:v>留意</x:v>
      </x:c>
      <x:c r="L19" s="136" t="str">
        <x:v>做出正確照護：修復值 +1</x:v>
      </x:c>
      <x:c r="M19" s="136" t="str">
        <x:v>若症狀持續、反覆或惡化，請由合格醫療專業評估。</x:v>
      </x:c>
      <x:c r="N19" s="154" t="n">
        <x:f>LEN(G19)</x:f>
        <x:v>55</x:v>
      </x:c>
      <x:c r="O19" s="144" t="str">
        <x:v>S069</x:v>
      </x:c>
      <x:c r="P19" s="136" t="str">
        <x:v>國際奧會（IOC）／BJSM</x:v>
      </x:c>
      <x:c r="Q19" s="136" t="str">
        <x:v>Pain management in elite athletes</x:v>
      </x:c>
      <x:c r="R19" s="151" t="str">
        <x:v>https://bjsm.bmj.com/content/51/17/1245</x:v>
      </x:c>
      <x:c r="S19" s="148" t="str">
        <x:v>2026-07-27</x:v>
      </x:c>
    </x:row>
    <x:row r="20" ht="58" customHeight="1">
      <x:c r="A20" s="143" t="str">
        <x:v>FT-016</x:v>
      </x:c>
      <x:c r="B20" s="144" t="str">
        <x:v>命運</x:v>
      </x:c>
      <x:c r="C20" s="136" t="str">
        <x:v>跑者照護：受傷處理、身體修復與健康</x:v>
      </x:c>
      <x:c r="D20" s="136" t="str">
        <x:v>急性軟組織</x:v>
      </x:c>
      <x:c r="E20" s="136" t="str">
        <x:v>用保護與漸進負荷取代硬撐</x:v>
      </x:c>
      <x:c r="F20" s="136" t="str">
        <x:v>完全不動也可能拖慢恢復</x:v>
      </x:c>
      <x:c r="G20" s="136" t="str">
        <x:v>排除骨折與嚴重傷害後，適度無痛活動有助於恢復功能。
行動：從關節活動、等長收縮或日常走路開始，依疼痛反應進階。</x:v>
      </x:c>
      <x:c r="H20" s="136" t="str">
        <x:v>從關節活動、等長收縮或日常走路開始，依疼痛反應進階。</x:v>
      </x:c>
      <x:c r="I20" s="136" t="str">
        <x:v>急性期後</x:v>
      </x:c>
      <x:c r="J20" s="144" t="str">
        <x:v>中</x:v>
      </x:c>
      <x:c r="K20" s="144" t="str">
        <x:v>一般</x:v>
      </x:c>
      <x:c r="L20" s="136" t="str">
        <x:v>修復值 +1</x:v>
      </x:c>
      <x:c r="M20" s="136" t="str">
        <x:v>若症狀持續、反覆或惡化，請由合格醫療專業評估。</x:v>
      </x:c>
      <x:c r="N20" s="154" t="n">
        <x:f>LEN(G20)</x:f>
        <x:v>55</x:v>
      </x:c>
      <x:c r="O20" s="144" t="str">
        <x:v>S024</x:v>
      </x:c>
      <x:c r="P20" s="136" t="str">
        <x:v>BJSM</x:v>
      </x:c>
      <x:c r="Q20" s="136" t="str">
        <x:v>Soft-tissue injuries simply need PEACE and LOVE</x:v>
      </x:c>
      <x:c r="R20" s="151" t="str">
        <x:v>https://bjsm.bmj.com/content/54/2/72</x:v>
      </x:c>
      <x:c r="S20" s="148" t="str">
        <x:v>2026-07-27</x:v>
      </x:c>
    </x:row>
    <x:row r="21" ht="58" customHeight="1">
      <x:c r="A21" s="143" t="str">
        <x:v>FT-017</x:v>
      </x:c>
      <x:c r="B21" s="144" t="str">
        <x:v>命運</x:v>
      </x:c>
      <x:c r="C21" s="136" t="str">
        <x:v>跑者照護：受傷處理、身體修復與健康</x:v>
      </x:c>
      <x:c r="D21" s="136" t="str">
        <x:v>急性軟組織</x:v>
      </x:c>
      <x:c r="E21" s="136" t="str">
        <x:v>用保護與漸進負荷取代硬撐</x:v>
      </x:c>
      <x:c r="F21" s="136" t="str">
        <x:v>用疼痛反應調整負荷</x:v>
      </x:c>
      <x:c r="G21" s="136" t="str">
        <x:v>恢復運動可有輕微不適，但不應造成明顯跛行或隔天惡化。
行動：記錄運動中、結束後與隔天疼痛，惡化就退回上一階。</x:v>
      </x:c>
      <x:c r="H21" s="136" t="str">
        <x:v>記錄運動中、結束後與隔天疼痛，惡化就退回上一階。</x:v>
      </x:c>
      <x:c r="I21" s="136" t="str">
        <x:v>復健期</x:v>
      </x:c>
      <x:c r="J21" s="144" t="str">
        <x:v>高</x:v>
      </x:c>
      <x:c r="K21" s="144" t="str">
        <x:v>一般</x:v>
      </x:c>
      <x:c r="L21" s="136" t="str">
        <x:v>健康值 +1；修復值 +1</x:v>
      </x:c>
      <x:c r="M21" s="136" t="str">
        <x:v>若症狀持續、反覆或惡化，請由合格醫療專業評估。</x:v>
      </x:c>
      <x:c r="N21" s="154" t="n">
        <x:f>LEN(G21)</x:f>
        <x:v>54</x:v>
      </x:c>
      <x:c r="O21" s="144" t="str">
        <x:v>S024</x:v>
      </x:c>
      <x:c r="P21" s="136" t="str">
        <x:v>BJSM</x:v>
      </x:c>
      <x:c r="Q21" s="136" t="str">
        <x:v>Soft-tissue injuries simply need PEACE and LOVE</x:v>
      </x:c>
      <x:c r="R21" s="151" t="str">
        <x:v>https://bjsm.bmj.com/content/54/2/72</x:v>
      </x:c>
      <x:c r="S21" s="148" t="str">
        <x:v>2026-07-27</x:v>
      </x:c>
    </x:row>
    <x:row r="22" ht="58" customHeight="1">
      <x:c r="A22" s="143" t="str">
        <x:v>FT-018</x:v>
      </x:c>
      <x:c r="B22" s="144" t="str">
        <x:v>命運</x:v>
      </x:c>
      <x:c r="C22" s="136" t="str">
        <x:v>跑者照護：受傷處理、身體修復與健康</x:v>
      </x:c>
      <x:c r="D22" s="136" t="str">
        <x:v>急性軟組織</x:v>
      </x:c>
      <x:c r="E22" s="136" t="str">
        <x:v>用保護與漸進負荷取代硬撐</x:v>
      </x:c>
      <x:c r="F22" s="136" t="str">
        <x:v>瘀青擴大要重新評估</x:v>
      </x:c>
      <x:c r="G22" s="136" t="str">
        <x:v>大片瘀青、快速腫脹或力量明顯下降，可能代表較嚴重組織損傷。
行動：停止測試並尋求醫療評估，尤其是服用抗凝血藥者。</x:v>
      </x:c>
      <x:c r="H22" s="136" t="str">
        <x:v>停止測試並尋求醫療評估，尤其是服用抗凝血藥者。</x:v>
      </x:c>
      <x:c r="I22" s="136" t="str">
        <x:v>拉傷或撞擊後</x:v>
      </x:c>
      <x:c r="J22" s="144" t="str">
        <x:v>高</x:v>
      </x:c>
      <x:c r="K22" s="144" t="str">
        <x:v>停止運動</x:v>
      </x:c>
      <x:c r="L22" s="136" t="str">
        <x:v>停止跑步並處理：修復值 +2；本回合休息</x:v>
      </x:c>
      <x:c r="M22" s="136" t="str">
        <x:v>若症狀持續、反覆或惡化，請由合格醫療專業評估。</x:v>
      </x:c>
      <x:c r="N22" s="154" t="n">
        <x:f>LEN(G22)</x:f>
        <x:v>56</x:v>
      </x:c>
      <x:c r="O22" s="144" t="str">
        <x:v>S025</x:v>
      </x:c>
      <x:c r="P22" s="136" t="str">
        <x:v>AAOS</x:v>
      </x:c>
      <x:c r="Q22" s="136" t="str">
        <x:v>Sprains, Strains and Other Soft-Tissue Injuries</x:v>
      </x:c>
      <x:c r="R22" s="151" t="str">
        <x:v>https://orthoinfo.aaos.org/en/diseases--conditions/sprains-strains-and-other-soft-tissue-injuries/</x:v>
      </x:c>
      <x:c r="S22" s="148" t="str">
        <x:v>2026-07-27</x:v>
      </x:c>
    </x:row>
    <x:row r="23" ht="58" customHeight="1">
      <x:c r="A23" s="143" t="str">
        <x:v>FT-019</x:v>
      </x:c>
      <x:c r="B23" s="144" t="str">
        <x:v>命運</x:v>
      </x:c>
      <x:c r="C23" s="136" t="str">
        <x:v>跑者照護：受傷處理、身體修復與健康</x:v>
      </x:c>
      <x:c r="D23" s="136" t="str">
        <x:v>急性軟組織</x:v>
      </x:c>
      <x:c r="E23" s="136" t="str">
        <x:v>用保護與漸進負荷取代硬撐</x:v>
      </x:c>
      <x:c r="F23" s="136" t="str">
        <x:v>四十八至七十二小時看趨勢</x:v>
      </x:c>
      <x:c r="G23" s="136" t="str">
        <x:v>小傷應逐漸穩定；持續惡化、不能承重或功能下降需要評估。
行動：每天同一時間記錄腫脹、疼痛與活動能力。</x:v>
      </x:c>
      <x:c r="H23" s="136" t="str">
        <x:v>每天同一時間記錄腫脹、疼痛與活動能力。</x:v>
      </x:c>
      <x:c r="I23" s="136" t="str">
        <x:v>受傷後數日</x:v>
      </x:c>
      <x:c r="J23" s="144" t="str">
        <x:v>中</x:v>
      </x:c>
      <x:c r="K23" s="144" t="str">
        <x:v>一般</x:v>
      </x:c>
      <x:c r="L23" s="136" t="str">
        <x:v>修復值 +1</x:v>
      </x:c>
      <x:c r="M23" s="136" t="str">
        <x:v>若症狀持續、反覆或惡化，請由合格醫療專業評估。</x:v>
      </x:c>
      <x:c r="N23" s="154" t="n">
        <x:f>LEN(G23)</x:f>
        <x:v>50</x:v>
      </x:c>
      <x:c r="O23" s="144" t="str">
        <x:v>S025</x:v>
      </x:c>
      <x:c r="P23" s="136" t="str">
        <x:v>AAOS</x:v>
      </x:c>
      <x:c r="Q23" s="136" t="str">
        <x:v>Sprains, Strains and Other Soft-Tissue Injuries</x:v>
      </x:c>
      <x:c r="R23" s="151" t="str">
        <x:v>https://orthoinfo.aaos.org/en/diseases--conditions/sprains-strains-and-other-soft-tissue-injuries/</x:v>
      </x:c>
      <x:c r="S23" s="148" t="str">
        <x:v>2026-07-27</x:v>
      </x:c>
    </x:row>
    <x:row r="24" ht="58" customHeight="1">
      <x:c r="A24" s="143" t="str">
        <x:v>FT-020</x:v>
      </x:c>
      <x:c r="B24" s="144" t="str">
        <x:v>命運</x:v>
      </x:c>
      <x:c r="C24" s="136" t="str">
        <x:v>跑者照護：受傷處理、身體修復與健康</x:v>
      </x:c>
      <x:c r="D24" s="136" t="str">
        <x:v>急性軟組織</x:v>
      </x:c>
      <x:c r="E24" s="136" t="str">
        <x:v>用保護與漸進負荷取代硬撐</x:v>
      </x:c>
      <x:c r="F24" s="136" t="str">
        <x:v>記下受傷機轉</x:v>
      </x:c>
      <x:c r="G24" s="136" t="str">
        <x:v>踩空、扭轉、直接撞擊或逐漸出現，會影響後續判斷。
行動：寫下時間、地點、聲響、疼痛位置與是否能繼續走。</x:v>
      </x:c>
      <x:c r="H24" s="136" t="str">
        <x:v>寫下時間、地點、聲響、疼痛位置與是否能繼續走。</x:v>
      </x:c>
      <x:c r="I24" s="136" t="str">
        <x:v>就醫或復健前</x:v>
      </x:c>
      <x:c r="J24" s="144" t="str">
        <x:v>中</x:v>
      </x:c>
      <x:c r="K24" s="144" t="str">
        <x:v>一般</x:v>
      </x:c>
      <x:c r="L24" s="136" t="str">
        <x:v>修復值 +1</x:v>
      </x:c>
      <x:c r="M24" s="136" t="str">
        <x:v>若症狀持續、反覆或惡化，請由合格醫療專業評估。</x:v>
      </x:c>
      <x:c r="N24" s="154" t="n">
        <x:f>LEN(G24)</x:f>
        <x:v>51</x:v>
      </x:c>
      <x:c r="O24" s="144" t="str">
        <x:v>S025</x:v>
      </x:c>
      <x:c r="P24" s="136" t="str">
        <x:v>AAOS</x:v>
      </x:c>
      <x:c r="Q24" s="136" t="str">
        <x:v>Sprains, Strains and Other Soft-Tissue Injuries</x:v>
      </x:c>
      <x:c r="R24" s="151" t="str">
        <x:v>https://orthoinfo.aaos.org/en/diseases--conditions/sprains-strains-and-other-soft-tissue-injuries/</x:v>
      </x:c>
      <x:c r="S24" s="148" t="str">
        <x:v>2026-07-27</x:v>
      </x:c>
    </x:row>
    <x:row r="25" ht="58" customHeight="1">
      <x:c r="A25" s="143" t="str">
        <x:v>FT-021</x:v>
      </x:c>
      <x:c r="B25" s="144" t="str">
        <x:v>命運</x:v>
      </x:c>
      <x:c r="C25" s="136" t="str">
        <x:v>跑者照護：受傷處理、身體修復與健康</x:v>
      </x:c>
      <x:c r="D25" s="136" t="str">
        <x:v>膝前疼痛</x:v>
      </x:c>
      <x:c r="E25" s="136" t="str">
        <x:v>管理髕股關節負荷</x:v>
      </x:c>
      <x:c r="F25" s="136" t="str">
        <x:v>膝蓋前方痛先降刺激</x:v>
      </x:c>
      <x:c r="G25" s="136" t="str">
        <x:v>跑步、下樓或久坐後膝前痛，常與髕股關節負荷相關，但仍需排除其他問題。
行動：暫減下坡、深蹲深度與跑量，保持可接受的日常活動。</x:v>
      </x:c>
      <x:c r="H25" s="136" t="str">
        <x:v>暫減下坡、深蹲深度與跑量，保持可接受的日常活動。</x:v>
      </x:c>
      <x:c r="I25" s="136" t="str">
        <x:v>症狀初期</x:v>
      </x:c>
      <x:c r="J25" s="144" t="str">
        <x:v>高</x:v>
      </x:c>
      <x:c r="K25" s="144" t="str">
        <x:v>留意</x:v>
      </x:c>
      <x:c r="L25" s="136" t="str">
        <x:v>做出正確照護：修復值 +1</x:v>
      </x:c>
      <x:c r="M25" s="136" t="str">
        <x:v>若症狀持續、反覆或惡化，請由合格醫療專業評估。</x:v>
      </x:c>
      <x:c r="N25" s="154" t="n">
        <x:f>LEN(G25)</x:f>
        <x:v>62</x:v>
      </x:c>
      <x:c r="O25" s="144" t="str">
        <x:v>S026</x:v>
      </x:c>
      <x:c r="P25" s="136" t="str">
        <x:v>AAOS</x:v>
      </x:c>
      <x:c r="Q25" s="136" t="str">
        <x:v>Patellofemoral Pain Syndrome</x:v>
      </x:c>
      <x:c r="R25" s="151" t="str">
        <x:v>https://orthoinfo.aaos.org/en/diseases--conditions/patellofemoral-pain-syndrome/</x:v>
      </x:c>
      <x:c r="S25" s="148" t="str">
        <x:v>2026-07-27</x:v>
      </x:c>
    </x:row>
    <x:row r="26" ht="58" customHeight="1">
      <x:c r="A26" s="143" t="str">
        <x:v>FT-022</x:v>
      </x:c>
      <x:c r="B26" s="144" t="str">
        <x:v>命運</x:v>
      </x:c>
      <x:c r="C26" s="136" t="str">
        <x:v>跑者照護：受傷處理、身體修復與健康</x:v>
      </x:c>
      <x:c r="D26" s="136" t="str">
        <x:v>膝前疼痛</x:v>
      </x:c>
      <x:c r="E26" s="136" t="str">
        <x:v>管理髕股關節負荷</x:v>
      </x:c>
      <x:c r="F26" s="136" t="str">
        <x:v>不要把所有膝痛都叫退化</x:v>
      </x:c>
      <x:c r="G26" s="136" t="str">
        <x:v>年輕與中年跑者的膝前痛不等於關節磨光，正確負荷與力量常能改善。
行動：依症狀評估髖、膝與踝功能，避免因恐懼完全停動。</x:v>
      </x:c>
      <x:c r="H26" s="136" t="str">
        <x:v>依症狀評估髖、膝與踝功能，避免因恐懼完全停動。</x:v>
      </x:c>
      <x:c r="I26" s="136" t="str">
        <x:v>膝前痛</x:v>
      </x:c>
      <x:c r="J26" s="144" t="str">
        <x:v>中</x:v>
      </x:c>
      <x:c r="K26" s="144" t="str">
        <x:v>一般</x:v>
      </x:c>
      <x:c r="L26" s="136" t="str">
        <x:v>修復值 +1</x:v>
      </x:c>
      <x:c r="M26" s="136" t="str">
        <x:v>若症狀持續、反覆或惡化，請由合格醫療專業評估。</x:v>
      </x:c>
      <x:c r="N26" s="154" t="n">
        <x:f>LEN(G26)</x:f>
        <x:v>58</x:v>
      </x:c>
      <x:c r="O26" s="144" t="str">
        <x:v>S026</x:v>
      </x:c>
      <x:c r="P26" s="136" t="str">
        <x:v>AAOS</x:v>
      </x:c>
      <x:c r="Q26" s="136" t="str">
        <x:v>Patellofemoral Pain Syndrome</x:v>
      </x:c>
      <x:c r="R26" s="151" t="str">
        <x:v>https://orthoinfo.aaos.org/en/diseases--conditions/patellofemoral-pain-syndrome/</x:v>
      </x:c>
      <x:c r="S26" s="148" t="str">
        <x:v>2026-07-27</x:v>
      </x:c>
    </x:row>
    <x:row r="27" ht="58" customHeight="1">
      <x:c r="A27" s="143" t="str">
        <x:v>FT-023</x:v>
      </x:c>
      <x:c r="B27" s="144" t="str">
        <x:v>命運</x:v>
      </x:c>
      <x:c r="C27" s="136" t="str">
        <x:v>跑者照護：受傷處理、身體修復與健康</x:v>
      </x:c>
      <x:c r="D27" s="136" t="str">
        <x:v>膝前疼痛</x:v>
      </x:c>
      <x:c r="E27" s="136" t="str">
        <x:v>管理髕股關節負荷</x:v>
      </x:c>
      <x:c r="F27" s="136" t="str">
        <x:v>臀腿肌力是重要支援</x:v>
      </x:c>
      <x:c r="G27" s="136" t="str">
        <x:v>髖外展、膝伸展與軀幹控制可協助分散跑步負荷。
行動：從分腿蹲、登階、臀橋與側向動作開始，保持膝蓋對準腳尖。</x:v>
      </x:c>
      <x:c r="H27" s="136" t="str">
        <x:v>從分腿蹲、登階、臀橋與側向動作開始，保持膝蓋對準腳尖。</x:v>
      </x:c>
      <x:c r="I27" s="136" t="str">
        <x:v>復健與預防</x:v>
      </x:c>
      <x:c r="J27" s="144" t="str">
        <x:v>中</x:v>
      </x:c>
      <x:c r="K27" s="144" t="str">
        <x:v>一般</x:v>
      </x:c>
      <x:c r="L27" s="136" t="str">
        <x:v>修復值 +1</x:v>
      </x:c>
      <x:c r="M27" s="136" t="str">
        <x:v>若症狀持續、反覆或惡化，請由合格醫療專業評估。</x:v>
      </x:c>
      <x:c r="N27" s="154" t="n">
        <x:f>LEN(G27)</x:f>
        <x:v>53</x:v>
      </x:c>
      <x:c r="O27" s="144" t="str">
        <x:v>S026</x:v>
      </x:c>
      <x:c r="P27" s="136" t="str">
        <x:v>AAOS</x:v>
      </x:c>
      <x:c r="Q27" s="136" t="str">
        <x:v>Patellofemoral Pain Syndrome</x:v>
      </x:c>
      <x:c r="R27" s="151" t="str">
        <x:v>https://orthoinfo.aaos.org/en/diseases--conditions/patellofemoral-pain-syndrome/</x:v>
      </x:c>
      <x:c r="S27" s="148" t="str">
        <x:v>2026-07-27</x:v>
      </x:c>
    </x:row>
    <x:row r="28" ht="58" customHeight="1">
      <x:c r="A28" s="143" t="str">
        <x:v>FT-024</x:v>
      </x:c>
      <x:c r="B28" s="144" t="str">
        <x:v>命運</x:v>
      </x:c>
      <x:c r="C28" s="136" t="str">
        <x:v>跑者照護：受傷處理、身體修復與健康</x:v>
      </x:c>
      <x:c r="D28" s="136" t="str">
        <x:v>膝前疼痛</x:v>
      </x:c>
      <x:c r="E28" s="136" t="str">
        <x:v>管理髕股關節負荷</x:v>
      </x:c>
      <x:c r="F28" s="136" t="str">
        <x:v>短期提高步頻可減少跨步</x:v>
      </x:c>
      <x:c r="G28" s="136" t="str">
        <x:v>部分跑者小幅提高步頻可降低膝部負荷，但不適合一次大改。
行動：先在 30–60 秒短段提高約數％，觀察舒適與隔日反應。</x:v>
      </x:c>
      <x:c r="H28" s="136" t="str">
        <x:v>先在 30–60 秒短段提高約數％，觀察舒適與隔日反應。</x:v>
      </x:c>
      <x:c r="I28" s="136" t="str">
        <x:v>輕鬆跑回歸</x:v>
      </x:c>
      <x:c r="J28" s="144" t="str">
        <x:v>中</x:v>
      </x:c>
      <x:c r="K28" s="144" t="str">
        <x:v>一般</x:v>
      </x:c>
      <x:c r="L28" s="136" t="str">
        <x:v>修復值 +1</x:v>
      </x:c>
      <x:c r="M28" s="136" t="str">
        <x:v>若症狀持續、反覆或惡化，請由合格醫療專業評估。</x:v>
      </x:c>
      <x:c r="N28" s="154" t="n">
        <x:f>LEN(G28)</x:f>
        <x:v>59</x:v>
      </x:c>
      <x:c r="O28" s="144" t="str">
        <x:v>S021</x:v>
      </x:c>
      <x:c r="P28" s="136" t="str">
        <x:v>Sports Medicine／PubMed</x:v>
      </x:c>
      <x:c r="Q28" s="136" t="str">
        <x:v>Gait retraining in distance runners</x:v>
      </x:c>
      <x:c r="R28" s="151" t="str">
        <x:v>https://pubmed.ncbi.nlm.nih.gov/29065279/</x:v>
      </x:c>
      <x:c r="S28" s="148" t="str">
        <x:v>2026-07-27</x:v>
      </x:c>
    </x:row>
    <x:row r="29" ht="58" customHeight="1">
      <x:c r="A29" s="143" t="str">
        <x:v>FT-025</x:v>
      </x:c>
      <x:c r="B29" s="144" t="str">
        <x:v>命運</x:v>
      </x:c>
      <x:c r="C29" s="136" t="str">
        <x:v>跑者照護：受傷處理、身體修復與健康</x:v>
      </x:c>
      <x:c r="D29" s="136" t="str">
        <x:v>膝前疼痛</x:v>
      </x:c>
      <x:c r="E29" s="136" t="str">
        <x:v>管理髕股關節負荷</x:v>
      </x:c>
      <x:c r="F29" s="136" t="str">
        <x:v>下坡與樓梯是常見挑戰</x:v>
      </x:c>
      <x:c r="G29" s="136" t="str">
        <x:v>膝前痛在離心控制需求較高時容易被誘發。
行動：先改平路、縮短下坡，功能改善後再逐步增加。</x:v>
      </x:c>
      <x:c r="H29" s="136" t="str">
        <x:v>先改平路、縮短下坡，功能改善後再逐步增加。</x:v>
      </x:c>
      <x:c r="I29" s="136" t="str">
        <x:v>路線選擇</x:v>
      </x:c>
      <x:c r="J29" s="144" t="str">
        <x:v>中</x:v>
      </x:c>
      <x:c r="K29" s="144" t="str">
        <x:v>一般</x:v>
      </x:c>
      <x:c r="L29" s="136" t="str">
        <x:v>修復值 +1</x:v>
      </x:c>
      <x:c r="M29" s="136" t="str">
        <x:v>若症狀持續、反覆或惡化，請由合格醫療專業評估。</x:v>
      </x:c>
      <x:c r="N29" s="154" t="n">
        <x:f>LEN(G29)</x:f>
        <x:v>44</x:v>
      </x:c>
      <x:c r="O29" s="144" t="str">
        <x:v>S026</x:v>
      </x:c>
      <x:c r="P29" s="136" t="str">
        <x:v>AAOS</x:v>
      </x:c>
      <x:c r="Q29" s="136" t="str">
        <x:v>Patellofemoral Pain Syndrome</x:v>
      </x:c>
      <x:c r="R29" s="151" t="str">
        <x:v>https://orthoinfo.aaos.org/en/diseases--conditions/patellofemoral-pain-syndrome/</x:v>
      </x:c>
      <x:c r="S29" s="148" t="str">
        <x:v>2026-07-27</x:v>
      </x:c>
    </x:row>
    <x:row r="30" ht="58" customHeight="1">
      <x:c r="A30" s="143" t="str">
        <x:v>FT-026</x:v>
      </x:c>
      <x:c r="B30" s="144" t="str">
        <x:v>命運</x:v>
      </x:c>
      <x:c r="C30" s="136" t="str">
        <x:v>跑者照護：受傷處理、身體修復與健康</x:v>
      </x:c>
      <x:c r="D30" s="136" t="str">
        <x:v>膝前疼痛</x:v>
      </x:c>
      <x:c r="E30" s="136" t="str">
        <x:v>管理髕股關節負荷</x:v>
      </x:c>
      <x:c r="F30" s="136" t="str">
        <x:v>深蹲不一定要完全禁止</x:v>
      </x:c>
      <x:c r="G30" s="136" t="str">
        <x:v>改變深度、重量與次數可保留訓練，又避免過度刺激。
行動：先做疼痛可接受的範圍，隔天未惡化再逐步增加。</x:v>
      </x:c>
      <x:c r="H30" s="136" t="str">
        <x:v>先做疼痛可接受的範圍，隔天未惡化再逐步增加。</x:v>
      </x:c>
      <x:c r="I30" s="136" t="str">
        <x:v>肌力課</x:v>
      </x:c>
      <x:c r="J30" s="144" t="str">
        <x:v>中</x:v>
      </x:c>
      <x:c r="K30" s="144" t="str">
        <x:v>一般</x:v>
      </x:c>
      <x:c r="L30" s="136" t="str">
        <x:v>修復值 +1</x:v>
      </x:c>
      <x:c r="M30" s="136" t="str">
        <x:v>若症狀持續、反覆或惡化，請由合格醫療專業評估。</x:v>
      </x:c>
      <x:c r="N30" s="154" t="n">
        <x:f>LEN(G30)</x:f>
        <x:v>50</x:v>
      </x:c>
      <x:c r="O30" s="144" t="str">
        <x:v>S026</x:v>
      </x:c>
      <x:c r="P30" s="136" t="str">
        <x:v>AAOS</x:v>
      </x:c>
      <x:c r="Q30" s="136" t="str">
        <x:v>Patellofemoral Pain Syndrome</x:v>
      </x:c>
      <x:c r="R30" s="151" t="str">
        <x:v>https://orthoinfo.aaos.org/en/diseases--conditions/patellofemoral-pain-syndrome/</x:v>
      </x:c>
      <x:c r="S30" s="148" t="str">
        <x:v>2026-07-27</x:v>
      </x:c>
    </x:row>
    <x:row r="31" ht="58" customHeight="1">
      <x:c r="A31" s="143" t="str">
        <x:v>FT-027</x:v>
      </x:c>
      <x:c r="B31" s="144" t="str">
        <x:v>命運</x:v>
      </x:c>
      <x:c r="C31" s="136" t="str">
        <x:v>跑者照護：受傷處理、身體修復與健康</x:v>
      </x:c>
      <x:c r="D31" s="136" t="str">
        <x:v>膝前疼痛</x:v>
      </x:c>
      <x:c r="E31" s="136" t="str">
        <x:v>管理髕股關節負荷</x:v>
      </x:c>
      <x:c r="F31" s="136" t="str">
        <x:v>熱身後變好也要看隔天</x:v>
      </x:c>
      <x:c r="G31" s="136" t="str">
        <x:v>症狀暫時消失不代表負荷已適當，延遲反應同樣重要。
行動：記錄隔天走路、下樓與晨間疼痛，作為下一次跑量依據。</x:v>
      </x:c>
      <x:c r="H31" s="136" t="str">
        <x:v>記錄隔天走路、下樓與晨間疼痛，作為下一次跑量依據。</x:v>
      </x:c>
      <x:c r="I31" s="136" t="str">
        <x:v>回跑期</x:v>
      </x:c>
      <x:c r="J31" s="144" t="str">
        <x:v>中</x:v>
      </x:c>
      <x:c r="K31" s="144" t="str">
        <x:v>一般</x:v>
      </x:c>
      <x:c r="L31" s="136" t="str">
        <x:v>修復值 +1</x:v>
      </x:c>
      <x:c r="M31" s="136" t="str">
        <x:v>若症狀持續、反覆或惡化，請由合格醫療專業評估。</x:v>
      </x:c>
      <x:c r="N31" s="154" t="n">
        <x:f>LEN(G31)</x:f>
        <x:v>53</x:v>
      </x:c>
      <x:c r="O31" s="144" t="str">
        <x:v>S026</x:v>
      </x:c>
      <x:c r="P31" s="136" t="str">
        <x:v>AAOS</x:v>
      </x:c>
      <x:c r="Q31" s="136" t="str">
        <x:v>Patellofemoral Pain Syndrome</x:v>
      </x:c>
      <x:c r="R31" s="151" t="str">
        <x:v>https://orthoinfo.aaos.org/en/diseases--conditions/patellofemoral-pain-syndrome/</x:v>
      </x:c>
      <x:c r="S31" s="148" t="str">
        <x:v>2026-07-27</x:v>
      </x:c>
    </x:row>
    <x:row r="32" ht="58" customHeight="1">
      <x:c r="A32" s="143" t="str">
        <x:v>FT-028</x:v>
      </x:c>
      <x:c r="B32" s="144" t="str">
        <x:v>命運</x:v>
      </x:c>
      <x:c r="C32" s="136" t="str">
        <x:v>跑者照護：受傷處理、身體修復與健康</x:v>
      </x:c>
      <x:c r="D32" s="136" t="str">
        <x:v>膝前疼痛</x:v>
      </x:c>
      <x:c r="E32" s="136" t="str">
        <x:v>管理髕股關節負荷</x:v>
      </x:c>
      <x:c r="F32" s="136" t="str">
        <x:v>鞋子不是唯一答案</x:v>
      </x:c>
      <x:c r="G32" s="136" t="str">
        <x:v>換鞋可能改變感受，但膝前痛通常還涉及負荷與力量。
行動：先檢查鞋況與舒適度，同時調整跑量、坡度與肌力。</x:v>
      </x:c>
      <x:c r="H32" s="136" t="str">
        <x:v>先檢查鞋況與舒適度，同時調整跑量、坡度與肌力。</x:v>
      </x:c>
      <x:c r="I32" s="136" t="str">
        <x:v>反覆膝痛</x:v>
      </x:c>
      <x:c r="J32" s="144" t="str">
        <x:v>中</x:v>
      </x:c>
      <x:c r="K32" s="144" t="str">
        <x:v>一般</x:v>
      </x:c>
      <x:c r="L32" s="136" t="str">
        <x:v>修復值 +1</x:v>
      </x:c>
      <x:c r="M32" s="136" t="str">
        <x:v>若症狀持續、反覆或惡化，請由合格醫療專業評估。</x:v>
      </x:c>
      <x:c r="N32" s="154" t="n">
        <x:f>LEN(G32)</x:f>
        <x:v>51</x:v>
      </x:c>
      <x:c r="O32" s="144" t="str">
        <x:v>S023</x:v>
      </x:c>
      <x:c r="P32" s="136" t="str">
        <x:v>AAOS</x:v>
      </x:c>
      <x:c r="Q32" s="136" t="str">
        <x:v>Athletic Shoes</x:v>
      </x:c>
      <x:c r="R32" s="151" t="str">
        <x:v>https://orthoinfo.aaos.org/en/staying-healthy/athletic-shoes/</x:v>
      </x:c>
      <x:c r="S32" s="148" t="str">
        <x:v>2026-07-27</x:v>
      </x:c>
    </x:row>
    <x:row r="33" ht="58" customHeight="1">
      <x:c r="A33" s="143" t="str">
        <x:v>FT-029</x:v>
      </x:c>
      <x:c r="B33" s="144" t="str">
        <x:v>命運</x:v>
      </x:c>
      <x:c r="C33" s="136" t="str">
        <x:v>跑者照護：受傷處理、身體修復與健康</x:v>
      </x:c>
      <x:c r="D33" s="136" t="str">
        <x:v>膝前疼痛</x:v>
      </x:c>
      <x:c r="E33" s="136" t="str">
        <x:v>管理髕股關節負荷</x:v>
      </x:c>
      <x:c r="F33" s="136" t="str">
        <x:v>鎖住、明顯腫脹要就醫</x:v>
      </x:c>
      <x:c r="G33" s="136" t="str">
        <x:v>膝關節卡住、無法完全伸直、反覆軟腳或腫脹，需排除其他結構問題。
行動：停止跑步並安排醫療評估。</x:v>
      </x:c>
      <x:c r="H33" s="136" t="str">
        <x:v>停止跑步並安排醫療評估。</x:v>
      </x:c>
      <x:c r="I33" s="136" t="str">
        <x:v>膝痛伴功能異常</x:v>
      </x:c>
      <x:c r="J33" s="144" t="str">
        <x:v>高</x:v>
      </x:c>
      <x:c r="K33" s="144" t="str">
        <x:v>停止運動</x:v>
      </x:c>
      <x:c r="L33" s="136" t="str">
        <x:v>停止跑步並處理：修復值 +2；本回合休息</x:v>
      </x:c>
      <x:c r="M33" s="136" t="str">
        <x:v>若症狀持續、反覆或惡化，請由合格醫療專業評估。</x:v>
      </x:c>
      <x:c r="N33" s="154" t="n">
        <x:f>LEN(G33)</x:f>
        <x:v>47</x:v>
      </x:c>
      <x:c r="O33" s="144" t="str">
        <x:v>S026</x:v>
      </x:c>
      <x:c r="P33" s="136" t="str">
        <x:v>AAOS</x:v>
      </x:c>
      <x:c r="Q33" s="136" t="str">
        <x:v>Patellofemoral Pain Syndrome</x:v>
      </x:c>
      <x:c r="R33" s="151" t="str">
        <x:v>https://orthoinfo.aaos.org/en/diseases--conditions/patellofemoral-pain-syndrome/</x:v>
      </x:c>
      <x:c r="S33" s="148" t="str">
        <x:v>2026-07-27</x:v>
      </x:c>
    </x:row>
    <x:row r="34" ht="58" customHeight="1">
      <x:c r="A34" s="143" t="str">
        <x:v>FT-030</x:v>
      </x:c>
      <x:c r="B34" s="144" t="str">
        <x:v>命運</x:v>
      </x:c>
      <x:c r="C34" s="136" t="str">
        <x:v>跑者照護：受傷處理、身體修復與健康</x:v>
      </x:c>
      <x:c r="D34" s="136" t="str">
        <x:v>膝前疼痛</x:v>
      </x:c>
      <x:c r="E34" s="136" t="str">
        <x:v>管理髕股關節負荷</x:v>
      </x:c>
      <x:c r="F34" s="136" t="str">
        <x:v>用跑走法重建容量</x:v>
      </x:c>
      <x:c r="G34" s="136" t="str">
        <x:v>連續跑可能一次累積過多膝負荷，短走路能降低單段刺激。
行動：從短跑短走交替開始，先增加總時間，再延長連續跑段。</x:v>
      </x:c>
      <x:c r="H34" s="136" t="str">
        <x:v>從短跑短走交替開始，先增加總時間，再延長連續跑段。</x:v>
      </x:c>
      <x:c r="I34" s="136" t="str">
        <x:v>膝痛回跑</x:v>
      </x:c>
      <x:c r="J34" s="144" t="str">
        <x:v>中</x:v>
      </x:c>
      <x:c r="K34" s="144" t="str">
        <x:v>一般</x:v>
      </x:c>
      <x:c r="L34" s="136" t="str">
        <x:v>修復值 +1</x:v>
      </x:c>
      <x:c r="M34" s="136" t="str">
        <x:v>若症狀持續、反覆或惡化，請由合格醫療專業評估。</x:v>
      </x:c>
      <x:c r="N34" s="154" t="n">
        <x:f>LEN(G34)</x:f>
        <x:v>55</x:v>
      </x:c>
      <x:c r="O34" s="144" t="str">
        <x:v>S026</x:v>
      </x:c>
      <x:c r="P34" s="136" t="str">
        <x:v>AAOS</x:v>
      </x:c>
      <x:c r="Q34" s="136" t="str">
        <x:v>Patellofemoral Pain Syndrome</x:v>
      </x:c>
      <x:c r="R34" s="151" t="str">
        <x:v>https://orthoinfo.aaos.org/en/diseases--conditions/patellofemoral-pain-syndrome/</x:v>
      </x:c>
      <x:c r="S34" s="148" t="str">
        <x:v>2026-07-27</x:v>
      </x:c>
    </x:row>
    <x:row r="35" ht="58" customHeight="1">
      <x:c r="A35" s="143" t="str">
        <x:v>FT-031</x:v>
      </x:c>
      <x:c r="B35" s="144" t="str">
        <x:v>命運</x:v>
      </x:c>
      <x:c r="C35" s="136" t="str">
        <x:v>跑者照護：受傷處理、身體修復與健康</x:v>
      </x:c>
      <x:c r="D35" s="136" t="str">
        <x:v>外側膝與髂脛束</x:v>
      </x:c>
      <x:c r="E35" s="136" t="str">
        <x:v>減少反覆摩擦與負荷尖峰</x:v>
      </x:c>
      <x:c r="F35" s="136" t="str">
        <x:v>外側膝痛先避開下坡</x:v>
      </x:c>
      <x:c r="G35" s="136" t="str">
        <x:v>髂脛束症狀常在重複屈伸與下坡時加劇。
行動：暫改平路、縮短里程，症狀穩定後再逐步加回坡度。</x:v>
      </x:c>
      <x:c r="H35" s="136" t="str">
        <x:v>暫改平路、縮短里程，症狀穩定後再逐步加回坡度。</x:v>
      </x:c>
      <x:c r="I35" s="136" t="str">
        <x:v>外側膝痛</x:v>
      </x:c>
      <x:c r="J35" s="144" t="str">
        <x:v>高</x:v>
      </x:c>
      <x:c r="K35" s="144" t="str">
        <x:v>留意</x:v>
      </x:c>
      <x:c r="L35" s="136" t="str">
        <x:v>做出正確照護：修復值 +1</x:v>
      </x:c>
      <x:c r="M35" s="136" t="str">
        <x:v>若症狀持續、反覆或惡化，請由合格醫療專業評估。</x:v>
      </x:c>
      <x:c r="N35" s="154" t="n">
        <x:f>LEN(G35)</x:f>
        <x:v>45</x:v>
      </x:c>
      <x:c r="O35" s="144" t="str">
        <x:v>S027</x:v>
      </x:c>
      <x:c r="P35" s="136" t="str">
        <x:v>AAOS</x:v>
      </x:c>
      <x:c r="Q35" s="136" t="str">
        <x:v>Iliotibial Band Syndrome</x:v>
      </x:c>
      <x:c r="R35" s="151" t="str">
        <x:v>https://orthoinfo.aaos.org/en/diseases--conditions/iliotibial-band-it-band-syndrome/</x:v>
      </x:c>
      <x:c r="S35" s="148" t="str">
        <x:v>2026-07-27</x:v>
      </x:c>
    </x:row>
    <x:row r="36" ht="58" customHeight="1">
      <x:c r="A36" s="143" t="str">
        <x:v>FT-032</x:v>
      </x:c>
      <x:c r="B36" s="144" t="str">
        <x:v>命運</x:v>
      </x:c>
      <x:c r="C36" s="136" t="str">
        <x:v>跑者照護：受傷處理、身體修復與健康</x:v>
      </x:c>
      <x:c r="D36" s="136" t="str">
        <x:v>外側膝與髂脛束</x:v>
      </x:c>
      <x:c r="E36" s="136" t="str">
        <x:v>減少反覆摩擦與負荷尖峰</x:v>
      </x:c>
      <x:c r="F36" s="136" t="str">
        <x:v>道路斜度也會偏載</x:v>
      </x:c>
      <x:c r="G36" s="136" t="str">
        <x:v>長時間沿同一側路肩跑，可能造成左右負荷不同。
行動：選平坦路面或交替方向，避免在車流中危險換邊。</x:v>
      </x:c>
      <x:c r="H36" s="136" t="str">
        <x:v>選平坦路面或交替方向，避免在車流中危險換邊。</x:v>
      </x:c>
      <x:c r="I36" s="136" t="str">
        <x:v>公路訓練</x:v>
      </x:c>
      <x:c r="J36" s="144" t="str">
        <x:v>中</x:v>
      </x:c>
      <x:c r="K36" s="144" t="str">
        <x:v>一般</x:v>
      </x:c>
      <x:c r="L36" s="136" t="str">
        <x:v>修復值 +1</x:v>
      </x:c>
      <x:c r="M36" s="136" t="str">
        <x:v>若症狀持續、反覆或惡化，請由合格醫療專業評估。</x:v>
      </x:c>
      <x:c r="N36" s="154" t="n">
        <x:f>LEN(G36)</x:f>
        <x:v>48</x:v>
      </x:c>
      <x:c r="O36" s="144" t="str">
        <x:v>S027</x:v>
      </x:c>
      <x:c r="P36" s="136" t="str">
        <x:v>AAOS</x:v>
      </x:c>
      <x:c r="Q36" s="136" t="str">
        <x:v>Iliotibial Band Syndrome</x:v>
      </x:c>
      <x:c r="R36" s="151" t="str">
        <x:v>https://orthoinfo.aaos.org/en/diseases--conditions/iliotibial-band-it-band-syndrome/</x:v>
      </x:c>
      <x:c r="S36" s="148" t="str">
        <x:v>2026-07-27</x:v>
      </x:c>
    </x:row>
    <x:row r="37" ht="58" customHeight="1">
      <x:c r="A37" s="143" t="str">
        <x:v>FT-033</x:v>
      </x:c>
      <x:c r="B37" s="144" t="str">
        <x:v>命運</x:v>
      </x:c>
      <x:c r="C37" s="136" t="str">
        <x:v>跑者照護：受傷處理、身體修復與健康</x:v>
      </x:c>
      <x:c r="D37" s="136" t="str">
        <x:v>外側膝與髂脛束</x:v>
      </x:c>
      <x:c r="E37" s="136" t="str">
        <x:v>減少反覆摩擦與負荷尖峰</x:v>
      </x:c>
      <x:c r="F37" s="136" t="str">
        <x:v>臀部控制值得訓練</x:v>
      </x:c>
      <x:c r="G37" s="136" t="str">
        <x:v>髖外展與骨盆控制不足可能讓膝外側負荷增加。
行動：加入側向走、單腳蹲與登階，重點是骨盆穩定。</x:v>
      </x:c>
      <x:c r="H37" s="136" t="str">
        <x:v>加入側向走、單腳蹲與登階，重點是骨盆穩定。</x:v>
      </x:c>
      <x:c r="I37" s="136" t="str">
        <x:v>復健期</x:v>
      </x:c>
      <x:c r="J37" s="144" t="str">
        <x:v>中</x:v>
      </x:c>
      <x:c r="K37" s="144" t="str">
        <x:v>一般</x:v>
      </x:c>
      <x:c r="L37" s="136" t="str">
        <x:v>修復值 +1</x:v>
      </x:c>
      <x:c r="M37" s="136" t="str">
        <x:v>若症狀持續、反覆或惡化，請由合格醫療專業評估。</x:v>
      </x:c>
      <x:c r="N37" s="154" t="n">
        <x:f>LEN(G37)</x:f>
        <x:v>46</x:v>
      </x:c>
      <x:c r="O37" s="144" t="str">
        <x:v>S027</x:v>
      </x:c>
      <x:c r="P37" s="136" t="str">
        <x:v>AAOS</x:v>
      </x:c>
      <x:c r="Q37" s="136" t="str">
        <x:v>Iliotibial Band Syndrome</x:v>
      </x:c>
      <x:c r="R37" s="151" t="str">
        <x:v>https://orthoinfo.aaos.org/en/diseases--conditions/iliotibial-band-it-band-syndrome/</x:v>
      </x:c>
      <x:c r="S37" s="148" t="str">
        <x:v>2026-07-27</x:v>
      </x:c>
    </x:row>
    <x:row r="38" ht="58" customHeight="1">
      <x:c r="A38" s="143" t="str">
        <x:v>FT-034</x:v>
      </x:c>
      <x:c r="B38" s="144" t="str">
        <x:v>命運</x:v>
      </x:c>
      <x:c r="C38" s="136" t="str">
        <x:v>跑者照護：受傷處理、身體修復與健康</x:v>
      </x:c>
      <x:c r="D38" s="136" t="str">
        <x:v>外側膝與髂脛束</x:v>
      </x:c>
      <x:c r="E38" s="136" t="str">
        <x:v>減少反覆摩擦與負荷尖峰</x:v>
      </x:c>
      <x:c r="F38" s="136" t="str">
        <x:v>滾筒不能把髂脛束拉長</x:v>
      </x:c>
      <x:c r="G38" s="136" t="str">
        <x:v>滾筒可能暫時改善不適，但不會永久延長堅韌的筋膜。
行動：若使用，輕壓周邊肌肉並結合負荷調整與力量訓練。</x:v>
      </x:c>
      <x:c r="H38" s="136" t="str">
        <x:v>若使用，輕壓周邊肌肉並結合負荷調整與力量訓練。</x:v>
      </x:c>
      <x:c r="I38" s="136" t="str">
        <x:v>自我照護</x:v>
      </x:c>
      <x:c r="J38" s="144" t="str">
        <x:v>中</x:v>
      </x:c>
      <x:c r="K38" s="144" t="str">
        <x:v>一般</x:v>
      </x:c>
      <x:c r="L38" s="136" t="str">
        <x:v>修復值 +1</x:v>
      </x:c>
      <x:c r="M38" s="136" t="str">
        <x:v>若症狀持續、反覆或惡化，請由合格醫療專業評估。</x:v>
      </x:c>
      <x:c r="N38" s="154" t="n">
        <x:f>LEN(G38)</x:f>
        <x:v>51</x:v>
      </x:c>
      <x:c r="O38" s="144" t="str">
        <x:v>S055</x:v>
      </x:c>
      <x:c r="P38" s="136" t="str">
        <x:v>Medicine &amp; Science in Sports &amp; Exercise／PubMed</x:v>
      </x:c>
      <x:c r="Q38" s="136" t="str">
        <x:v>Foam rolling and recovery</x:v>
      </x:c>
      <x:c r="R38" s="151" t="str">
        <x:v>https://pubmed.ncbi.nlm.nih.gov/24343353/</x:v>
      </x:c>
      <x:c r="S38" s="148" t="str">
        <x:v>2026-07-27</x:v>
      </x:c>
    </x:row>
    <x:row r="39" ht="58" customHeight="1">
      <x:c r="A39" s="143" t="str">
        <x:v>FT-035</x:v>
      </x:c>
      <x:c r="B39" s="144" t="str">
        <x:v>命運</x:v>
      </x:c>
      <x:c r="C39" s="136" t="str">
        <x:v>跑者照護：受傷處理、身體修復與健康</x:v>
      </x:c>
      <x:c r="D39" s="136" t="str">
        <x:v>外側膝與髂脛束</x:v>
      </x:c>
      <x:c r="E39" s="136" t="str">
        <x:v>減少反覆摩擦與負荷尖峰</x:v>
      </x:c>
      <x:c r="F39" s="136" t="str">
        <x:v>先找近期訓練變化</x:v>
      </x:c>
      <x:c r="G39" s="136" t="str">
        <x:v>突然增加長跑、坡度或速度，常比單一跑姿更值得注意。
行動：回顧前 2–4 週里程、爬升、鞋與路線變化。</x:v>
      </x:c>
      <x:c r="H39" s="136" t="str">
        <x:v>回顧前 2–4 週里程、爬升、鞋與路線變化。</x:v>
      </x:c>
      <x:c r="I39" s="136" t="str">
        <x:v>症狀評估</x:v>
      </x:c>
      <x:c r="J39" s="144" t="str">
        <x:v>中</x:v>
      </x:c>
      <x:c r="K39" s="144" t="str">
        <x:v>一般</x:v>
      </x:c>
      <x:c r="L39" s="136" t="str">
        <x:v>修復值 +1</x:v>
      </x:c>
      <x:c r="M39" s="136" t="str">
        <x:v>若症狀持續、反覆或惡化，請由合格醫療專業評估。</x:v>
      </x:c>
      <x:c r="N39" s="154" t="n">
        <x:f>LEN(G39)</x:f>
        <x:v>51</x:v>
      </x:c>
      <x:c r="O39" s="144" t="str">
        <x:v>S003</x:v>
      </x:c>
      <x:c r="P39" s="136" t="str">
        <x:v>國際奧會（IOC）／BJSM</x:v>
      </x:c>
      <x:c r="Q39" s="136" t="str">
        <x:v>How much is too much? Part 1: load and injury risk</x:v>
      </x:c>
      <x:c r="R39" s="151" t="str">
        <x:v>https://bjsm.bmj.com/content/50/17/1030</x:v>
      </x:c>
      <x:c r="S39" s="148" t="str">
        <x:v>2026-07-27</x:v>
      </x:c>
    </x:row>
    <x:row r="40" ht="58" customHeight="1">
      <x:c r="A40" s="143" t="str">
        <x:v>FT-036</x:v>
      </x:c>
      <x:c r="B40" s="144" t="str">
        <x:v>命運</x:v>
      </x:c>
      <x:c r="C40" s="136" t="str">
        <x:v>跑者照護：受傷處理、身體修復與健康</x:v>
      </x:c>
      <x:c r="D40" s="136" t="str">
        <x:v>外側膝與髂脛束</x:v>
      </x:c>
      <x:c r="E40" s="136" t="str">
        <x:v>減少反覆摩擦與負荷尖峰</x:v>
      </x:c>
      <x:c r="F40" s="136" t="str">
        <x:v>熱身不等於可以忽略痛</x:v>
      </x:c>
      <x:c r="G40" s="136" t="str">
        <x:v>跑開後減輕的疼痛，可能在後段或隔天反彈。
行動：設定疼痛上限與停止條件，不以『熱開就好』延長。</x:v>
      </x:c>
      <x:c r="H40" s="136" t="str">
        <x:v>設定疼痛上限與停止條件，不以『熱開就好』延長。</x:v>
      </x:c>
      <x:c r="I40" s="136" t="str">
        <x:v>症狀期跑步</x:v>
      </x:c>
      <x:c r="J40" s="144" t="str">
        <x:v>高</x:v>
      </x:c>
      <x:c r="K40" s="144" t="str">
        <x:v>留意</x:v>
      </x:c>
      <x:c r="L40" s="136" t="str">
        <x:v>做出正確照護：修復值 +1</x:v>
      </x:c>
      <x:c r="M40" s="136" t="str">
        <x:v>若症狀持續、反覆或惡化，請由合格醫療專業評估。</x:v>
      </x:c>
      <x:c r="N40" s="154" t="n">
        <x:f>LEN(G40)</x:f>
        <x:v>47</x:v>
      </x:c>
      <x:c r="O40" s="144" t="str">
        <x:v>S027</x:v>
      </x:c>
      <x:c r="P40" s="136" t="str">
        <x:v>AAOS</x:v>
      </x:c>
      <x:c r="Q40" s="136" t="str">
        <x:v>Iliotibial Band Syndrome</x:v>
      </x:c>
      <x:c r="R40" s="151" t="str">
        <x:v>https://orthoinfo.aaos.org/en/diseases--conditions/iliotibial-band-it-band-syndrome/</x:v>
      </x:c>
      <x:c r="S40" s="148" t="str">
        <x:v>2026-07-27</x:v>
      </x:c>
    </x:row>
    <x:row r="41" ht="58" customHeight="1">
      <x:c r="A41" s="143" t="str">
        <x:v>FT-037</x:v>
      </x:c>
      <x:c r="B41" s="144" t="str">
        <x:v>命運</x:v>
      </x:c>
      <x:c r="C41" s="136" t="str">
        <x:v>跑者照護：受傷處理、身體修復與健康</x:v>
      </x:c>
      <x:c r="D41" s="136" t="str">
        <x:v>外側膝與髂脛束</x:v>
      </x:c>
      <x:c r="E41" s="136" t="str">
        <x:v>減少反覆摩擦與負荷尖峰</x:v>
      </x:c>
      <x:c r="F41" s="136" t="str">
        <x:v>小幅步頻調整可測試</x:v>
      </x:c>
      <x:c r="G41" s="136" t="str">
        <x:v>部分跑者縮短步幅後，膝部負荷會下降。
行動：只小幅調整並比較外側膝反應，不強迫固定數字。</x:v>
      </x:c>
      <x:c r="H41" s="136" t="str">
        <x:v>只小幅調整並比較外側膝反應，不強迫固定數字。</x:v>
      </x:c>
      <x:c r="I41" s="136" t="str">
        <x:v>回跑期</x:v>
      </x:c>
      <x:c r="J41" s="144" t="str">
        <x:v>中</x:v>
      </x:c>
      <x:c r="K41" s="144" t="str">
        <x:v>一般</x:v>
      </x:c>
      <x:c r="L41" s="136" t="str">
        <x:v>修復值 +1</x:v>
      </x:c>
      <x:c r="M41" s="136" t="str">
        <x:v>若症狀持續、反覆或惡化，請由合格醫療專業評估。</x:v>
      </x:c>
      <x:c r="N41" s="154" t="n">
        <x:f>LEN(G41)</x:f>
        <x:v>44</x:v>
      </x:c>
      <x:c r="O41" s="144" t="str">
        <x:v>S021</x:v>
      </x:c>
      <x:c r="P41" s="136" t="str">
        <x:v>Sports Medicine／PubMed</x:v>
      </x:c>
      <x:c r="Q41" s="136" t="str">
        <x:v>Gait retraining in distance runners</x:v>
      </x:c>
      <x:c r="R41" s="151" t="str">
        <x:v>https://pubmed.ncbi.nlm.nih.gov/29065279/</x:v>
      </x:c>
      <x:c r="S41" s="148" t="str">
        <x:v>2026-07-27</x:v>
      </x:c>
    </x:row>
    <x:row r="42" ht="58" customHeight="1">
      <x:c r="A42" s="143" t="str">
        <x:v>FT-038</x:v>
      </x:c>
      <x:c r="B42" s="144" t="str">
        <x:v>命運</x:v>
      </x:c>
      <x:c r="C42" s="136" t="str">
        <x:v>跑者照護：受傷處理、身體修復與健康</x:v>
      </x:c>
      <x:c r="D42" s="136" t="str">
        <x:v>外側膝與髂脛束</x:v>
      </x:c>
      <x:c r="E42" s="136" t="str">
        <x:v>減少反覆摩擦與負荷尖峰</x:v>
      </x:c>
      <x:c r="F42" s="136" t="str">
        <x:v>外側膝腫脹不一定是髂脛束</x:v>
      </x:c>
      <x:c r="G42" s="136" t="str">
        <x:v>明顯關節腫脹、卡住或不穩，需排除半月板與韌帶問題。
行動：停止自行按摩與跑步測試，安排專業評估。</x:v>
      </x:c>
      <x:c r="H42" s="136" t="str">
        <x:v>停止自行按摩與跑步測試，安排專業評估。</x:v>
      </x:c>
      <x:c r="I42" s="136" t="str">
        <x:v>症狀異常</x:v>
      </x:c>
      <x:c r="J42" s="144" t="str">
        <x:v>高</x:v>
      </x:c>
      <x:c r="K42" s="144" t="str">
        <x:v>停止運動</x:v>
      </x:c>
      <x:c r="L42" s="136" t="str">
        <x:v>停止跑步並處理：修復值 +2；本回合休息</x:v>
      </x:c>
      <x:c r="M42" s="136" t="str">
        <x:v>若症狀持續、反覆或惡化，請由合格醫療專業評估。</x:v>
      </x:c>
      <x:c r="N42" s="154" t="n">
        <x:f>LEN(G42)</x:f>
        <x:v>48</x:v>
      </x:c>
      <x:c r="O42" s="144" t="str">
        <x:v>S027</x:v>
      </x:c>
      <x:c r="P42" s="136" t="str">
        <x:v>AAOS</x:v>
      </x:c>
      <x:c r="Q42" s="136" t="str">
        <x:v>Iliotibial Band Syndrome</x:v>
      </x:c>
      <x:c r="R42" s="151" t="str">
        <x:v>https://orthoinfo.aaos.org/en/diseases--conditions/iliotibial-band-it-band-syndrome/</x:v>
      </x:c>
      <x:c r="S42" s="148" t="str">
        <x:v>2026-07-27</x:v>
      </x:c>
    </x:row>
    <x:row r="43" ht="58" customHeight="1">
      <x:c r="A43" s="143" t="str">
        <x:v>FT-039</x:v>
      </x:c>
      <x:c r="B43" s="144" t="str">
        <x:v>命運</x:v>
      </x:c>
      <x:c r="C43" s="136" t="str">
        <x:v>跑者照護：受傷處理、身體修復與健康</x:v>
      </x:c>
      <x:c r="D43" s="136" t="str">
        <x:v>外側膝與髂脛束</x:v>
      </x:c>
      <x:c r="E43" s="136" t="str">
        <x:v>減少反覆摩擦與負荷尖峰</x:v>
      </x:c>
      <x:c r="F43" s="136" t="str">
        <x:v>回跑先平路短時間</x:v>
      </x:c>
      <x:c r="G43" s="136" t="str">
        <x:v>症狀穩定後，先控制地形與時長較容易辨識反應。
行動：平路跑走起步，隔天無惡化再增加一個變項。</x:v>
      </x:c>
      <x:c r="H43" s="136" t="str">
        <x:v>平路跑走起步，隔天無惡化再增加一個變項。</x:v>
      </x:c>
      <x:c r="I43" s="136" t="str">
        <x:v>復健後期</x:v>
      </x:c>
      <x:c r="J43" s="144" t="str">
        <x:v>中</x:v>
      </x:c>
      <x:c r="K43" s="144" t="str">
        <x:v>一般</x:v>
      </x:c>
      <x:c r="L43" s="136" t="str">
        <x:v>修復值 +1</x:v>
      </x:c>
      <x:c r="M43" s="136" t="str">
        <x:v>若症狀持續、反覆或惡化，請由合格醫療專業評估。</x:v>
      </x:c>
      <x:c r="N43" s="154" t="n">
        <x:f>LEN(G43)</x:f>
        <x:v>46</x:v>
      </x:c>
      <x:c r="O43" s="144" t="str">
        <x:v>S027</x:v>
      </x:c>
      <x:c r="P43" s="136" t="str">
        <x:v>AAOS</x:v>
      </x:c>
      <x:c r="Q43" s="136" t="str">
        <x:v>Iliotibial Band Syndrome</x:v>
      </x:c>
      <x:c r="R43" s="151" t="str">
        <x:v>https://orthoinfo.aaos.org/en/diseases--conditions/iliotibial-band-it-band-syndrome/</x:v>
      </x:c>
      <x:c r="S43" s="148" t="str">
        <x:v>2026-07-27</x:v>
      </x:c>
    </x:row>
    <x:row r="44" ht="58" customHeight="1">
      <x:c r="A44" s="143" t="str">
        <x:v>FT-040</x:v>
      </x:c>
      <x:c r="B44" s="144" t="str">
        <x:v>命運</x:v>
      </x:c>
      <x:c r="C44" s="136" t="str">
        <x:v>跑者照護：受傷處理、身體修復與健康</x:v>
      </x:c>
      <x:c r="D44" s="136" t="str">
        <x:v>外側膝與髂脛束</x:v>
      </x:c>
      <x:c r="E44" s="136" t="str">
        <x:v>減少反覆摩擦與負荷尖峰</x:v>
      </x:c>
      <x:c r="F44" s="136" t="str">
        <x:v>預防靠負荷與力量一起做</x:v>
      </x:c>
      <x:c r="G44" s="136" t="str">
        <x:v>只拉筋而不改長跑尖峰或髖部力量，復發風險仍在。
行動：維持臀腿肌力，坡度與長跑逐步增加。</x:v>
      </x:c>
      <x:c r="H44" s="136" t="str">
        <x:v>維持臀腿肌力，坡度與長跑逐步增加。</x:v>
      </x:c>
      <x:c r="I44" s="136" t="str">
        <x:v>回歸常態後</x:v>
      </x:c>
      <x:c r="J44" s="144" t="str">
        <x:v>中</x:v>
      </x:c>
      <x:c r="K44" s="144" t="str">
        <x:v>一般</x:v>
      </x:c>
      <x:c r="L44" s="136" t="str">
        <x:v>修復值 +1</x:v>
      </x:c>
      <x:c r="M44" s="136" t="str">
        <x:v>若症狀持續、反覆或惡化，請由合格醫療專業評估。</x:v>
      </x:c>
      <x:c r="N44" s="154" t="n">
        <x:f>LEN(G44)</x:f>
        <x:v>44</x:v>
      </x:c>
      <x:c r="O44" s="144" t="str">
        <x:v>S027</x:v>
      </x:c>
      <x:c r="P44" s="136" t="str">
        <x:v>AAOS</x:v>
      </x:c>
      <x:c r="Q44" s="136" t="str">
        <x:v>Iliotibial Band Syndrome</x:v>
      </x:c>
      <x:c r="R44" s="151" t="str">
        <x:v>https://orthoinfo.aaos.org/en/diseases--conditions/iliotibial-band-it-band-syndrome/</x:v>
      </x:c>
      <x:c r="S44" s="148" t="str">
        <x:v>2026-07-27</x:v>
      </x:c>
    </x:row>
    <x:row r="45" ht="58" customHeight="1">
      <x:c r="A45" s="143" t="str">
        <x:v>FT-041</x:v>
      </x:c>
      <x:c r="B45" s="144" t="str">
        <x:v>命運</x:v>
      </x:c>
      <x:c r="C45" s="136" t="str">
        <x:v>跑者照護：受傷處理、身體修復與健康</x:v>
      </x:c>
      <x:c r="D45" s="136" t="str">
        <x:v>脛痛與骨壓力</x:v>
      </x:c>
      <x:c r="E45" s="136" t="str">
        <x:v>辨別肌肉疲勞與骨骼警訊</x:v>
      </x:c>
      <x:c r="F45" s="136" t="str">
        <x:v>一點很痛比一大片痠更警訊</x:v>
      </x:c>
      <x:c r="G45" s="136" t="str">
        <x:v>脛骨壓力傷害常有較局部壓痛；一般脛痛可能較分散，但不能只靠自測診斷。
行動：局部明顯痛、走路痛或跳躍痛時停止跑步並評估。</x:v>
      </x:c>
      <x:c r="H45" s="136" t="str">
        <x:v>局部明顯痛、走路痛或跳躍痛時停止跑步並評估。</x:v>
      </x:c>
      <x:c r="I45" s="136" t="str">
        <x:v>小腿前內側疼痛</x:v>
      </x:c>
      <x:c r="J45" s="144" t="str">
        <x:v>高</x:v>
      </x:c>
      <x:c r="K45" s="144" t="str">
        <x:v>停止運動</x:v>
      </x:c>
      <x:c r="L45" s="136" t="str">
        <x:v>停止跑步並處理：修復值 +2；本回合休息</x:v>
      </x:c>
      <x:c r="M45" s="136" t="str">
        <x:v>若症狀持續、反覆或惡化，請由合格醫療專業評估。</x:v>
      </x:c>
      <x:c r="N45" s="154" t="n">
        <x:f>LEN(G45)</x:f>
        <x:v>60</x:v>
      </x:c>
      <x:c r="O45" s="144" t="str">
        <x:v>S028</x:v>
      </x:c>
      <x:c r="P45" s="136" t="str">
        <x:v>AAOS</x:v>
      </x:c>
      <x:c r="Q45" s="136" t="str">
        <x:v>Stress Fractures</x:v>
      </x:c>
      <x:c r="R45" s="151" t="str">
        <x:v>https://orthoinfo.aaos.org/en/diseases--conditions/stress-fractures/</x:v>
      </x:c>
      <x:c r="S45" s="148" t="str">
        <x:v>2026-07-27</x:v>
      </x:c>
    </x:row>
    <x:row r="46" ht="58" customHeight="1">
      <x:c r="A46" s="143" t="str">
        <x:v>FT-042</x:v>
      </x:c>
      <x:c r="B46" s="144" t="str">
        <x:v>命運</x:v>
      </x:c>
      <x:c r="C46" s="136" t="str">
        <x:v>跑者照護：受傷處理、身體修復與健康</x:v>
      </x:c>
      <x:c r="D46" s="136" t="str">
        <x:v>脛痛與骨壓力</x:v>
      </x:c>
      <x:c r="E46" s="136" t="str">
        <x:v>辨別肌肉疲勞與骨骼警訊</x:v>
      </x:c>
      <x:c r="F46" s="136" t="str">
        <x:v>骨痛不能用跑開測試</x:v>
      </x:c>
      <x:c r="G46" s="136" t="str">
        <x:v>骨壓力傷害持續承重可能進展成骨折。
行動：改用無痛低衝擊活動，等專業評估後再決定回跑。</x:v>
      </x:c>
      <x:c r="H46" s="136" t="str">
        <x:v>改用無痛低衝擊活動，等專業評估後再決定回跑。</x:v>
      </x:c>
      <x:c r="I46" s="136" t="str">
        <x:v>懷疑骨壓力傷害</x:v>
      </x:c>
      <x:c r="J46" s="144" t="str">
        <x:v>高</x:v>
      </x:c>
      <x:c r="K46" s="144" t="str">
        <x:v>停止運動</x:v>
      </x:c>
      <x:c r="L46" s="136" t="str">
        <x:v>停止跑步並處理：修復值 +2；本回合休息</x:v>
      </x:c>
      <x:c r="M46" s="136" t="str">
        <x:v>若症狀持續、反覆或惡化，請由合格醫療專業評估。</x:v>
      </x:c>
      <x:c r="N46" s="154" t="n">
        <x:f>LEN(G46)</x:f>
        <x:v>43</x:v>
      </x:c>
      <x:c r="O46" s="144" t="str">
        <x:v>S080</x:v>
      </x:c>
      <x:c r="P46" s="136" t="str">
        <x:v>BJSM</x:v>
      </x:c>
      <x:c r="Q46" s="136" t="str">
        <x:v>International Delphi on bone stress injuries</x:v>
      </x:c>
      <x:c r="R46" s="151" t="str">
        <x:v>https://bjsm.bmj.com/content/59/2/78</x:v>
      </x:c>
      <x:c r="S46" s="148" t="str">
        <x:v>2026-07-27</x:v>
      </x:c>
    </x:row>
    <x:row r="47" ht="58" customHeight="1">
      <x:c r="A47" s="143" t="str">
        <x:v>FT-043</x:v>
      </x:c>
      <x:c r="B47" s="144" t="str">
        <x:v>命運</x:v>
      </x:c>
      <x:c r="C47" s="136" t="str">
        <x:v>跑者照護：受傷處理、身體修復與健康</x:v>
      </x:c>
      <x:c r="D47" s="136" t="str">
        <x:v>脛痛與骨壓力</x:v>
      </x:c>
      <x:c r="E47" s="136" t="str">
        <x:v>辨別肌肉疲勞與骨骼警訊</x:v>
      </x:c>
      <x:c r="F47" s="136" t="str">
        <x:v>脛痛先降低衝擊總量</x:v>
      </x:c>
      <x:c r="G47" s="136" t="str">
        <x:v>近期增量、硬地與坡度變化都可能提高脛骨負荷。
行動：暫減跑量與跳躍，保留無痛單車或游泳。</x:v>
      </x:c>
      <x:c r="H47" s="136" t="str">
        <x:v>暫減跑量與跳躍，保留無痛單車或游泳。</x:v>
      </x:c>
      <x:c r="I47" s="136" t="str">
        <x:v>脛骨內側不適</x:v>
      </x:c>
      <x:c r="J47" s="144" t="str">
        <x:v>中</x:v>
      </x:c>
      <x:c r="K47" s="144" t="str">
        <x:v>一般</x:v>
      </x:c>
      <x:c r="L47" s="136" t="str">
        <x:v>修復值 +1</x:v>
      </x:c>
      <x:c r="M47" s="136" t="str">
        <x:v>若症狀持續、反覆或惡化，請由合格醫療專業評估。</x:v>
      </x:c>
      <x:c r="N47" s="154" t="n">
        <x:f>LEN(G47)</x:f>
        <x:v>44</x:v>
      </x:c>
      <x:c r="O47" s="144" t="str">
        <x:v>S029</x:v>
      </x:c>
      <x:c r="P47" s="136" t="str">
        <x:v>AAOS</x:v>
      </x:c>
      <x:c r="Q47" s="136" t="str">
        <x:v>Shin Splints</x:v>
      </x:c>
      <x:c r="R47" s="151" t="str">
        <x:v>https://orthoinfo.aaos.org/en/diseases--conditions/shin-splints/</x:v>
      </x:c>
      <x:c r="S47" s="148" t="str">
        <x:v>2026-07-27</x:v>
      </x:c>
    </x:row>
    <x:row r="48" ht="58" customHeight="1">
      <x:c r="A48" s="143" t="str">
        <x:v>FT-044</x:v>
      </x:c>
      <x:c r="B48" s="144" t="str">
        <x:v>命運</x:v>
      </x:c>
      <x:c r="C48" s="136" t="str">
        <x:v>跑者照護：受傷處理、身體修復與健康</x:v>
      </x:c>
      <x:c r="D48" s="136" t="str">
        <x:v>脛痛與骨壓力</x:v>
      </x:c>
      <x:c r="E48" s="136" t="str">
        <x:v>辨別肌肉疲勞與骨骼警訊</x:v>
      </x:c>
      <x:c r="F48" s="136" t="str">
        <x:v>夜間或休息痛要就醫</x:v>
      </x:c>
      <x:c r="G48" s="136" t="str">
        <x:v>骨壓力傷害若進展，可能在日常走路或休息時也疼痛。
行動：停止跑步並儘快安排醫療評估。</x:v>
      </x:c>
      <x:c r="H48" s="136" t="str">
        <x:v>停止跑步並儘快安排醫療評估。</x:v>
      </x:c>
      <x:c r="I48" s="136" t="str">
        <x:v>骨痛惡化</x:v>
      </x:c>
      <x:c r="J48" s="144" t="str">
        <x:v>高</x:v>
      </x:c>
      <x:c r="K48" s="144" t="str">
        <x:v>停止運動</x:v>
      </x:c>
      <x:c r="L48" s="136" t="str">
        <x:v>停止跑步並處理：修復值 +2；本回合休息</x:v>
      </x:c>
      <x:c r="M48" s="136" t="str">
        <x:v>若症狀持續、反覆或惡化，請由合格醫療專業評估。</x:v>
      </x:c>
      <x:c r="N48" s="154" t="n">
        <x:f>LEN(G48)</x:f>
        <x:v>42</x:v>
      </x:c>
      <x:c r="O48" s="144" t="str">
        <x:v>S028</x:v>
      </x:c>
      <x:c r="P48" s="136" t="str">
        <x:v>AAOS</x:v>
      </x:c>
      <x:c r="Q48" s="136" t="str">
        <x:v>Stress Fractures</x:v>
      </x:c>
      <x:c r="R48" s="151" t="str">
        <x:v>https://orthoinfo.aaos.org/en/diseases--conditions/stress-fractures/</x:v>
      </x:c>
      <x:c r="S48" s="148" t="str">
        <x:v>2026-07-27</x:v>
      </x:c>
    </x:row>
    <x:row r="49" ht="58" customHeight="1">
      <x:c r="A49" s="143" t="str">
        <x:v>FT-045</x:v>
      </x:c>
      <x:c r="B49" s="144" t="str">
        <x:v>命運</x:v>
      </x:c>
      <x:c r="C49" s="136" t="str">
        <x:v>跑者照護：受傷處理、身體修復與健康</x:v>
      </x:c>
      <x:c r="D49" s="136" t="str">
        <x:v>脛痛與骨壓力</x:v>
      </x:c>
      <x:c r="E49" s="136" t="str">
        <x:v>辨別肌肉疲勞與骨骼警訊</x:v>
      </x:c>
      <x:c r="F49" s="136" t="str">
        <x:v>早期影像可能看不出來</x:v>
      </x:c>
      <x:c r="G49" s="136" t="str">
        <x:v>壓力性骨折初期 X 光可能正常，症狀與臨床判斷仍重要。
行動：若持續局部骨痛，不因單次正常影像自行回跑。</x:v>
      </x:c>
      <x:c r="H49" s="136" t="str">
        <x:v>若持續局部骨痛，不因單次正常影像自行回跑。</x:v>
      </x:c>
      <x:c r="I49" s="136" t="str">
        <x:v>就醫後</x:v>
      </x:c>
      <x:c r="J49" s="144" t="str">
        <x:v>高</x:v>
      </x:c>
      <x:c r="K49" s="144" t="str">
        <x:v>留意</x:v>
      </x:c>
      <x:c r="L49" s="136" t="str">
        <x:v>做出正確照護：修復值 +1</x:v>
      </x:c>
      <x:c r="M49" s="136" t="str">
        <x:v>若症狀持續、反覆或惡化，請由合格醫療專業評估。</x:v>
      </x:c>
      <x:c r="N49" s="154" t="n">
        <x:f>LEN(G49)</x:f>
        <x:v>52</x:v>
      </x:c>
      <x:c r="O49" s="144" t="str">
        <x:v>S028</x:v>
      </x:c>
      <x:c r="P49" s="136" t="str">
        <x:v>AAOS</x:v>
      </x:c>
      <x:c r="Q49" s="136" t="str">
        <x:v>Stress Fractures</x:v>
      </x:c>
      <x:c r="R49" s="151" t="str">
        <x:v>https://orthoinfo.aaos.org/en/diseases--conditions/stress-fractures/</x:v>
      </x:c>
      <x:c r="S49" s="148" t="str">
        <x:v>2026-07-27</x:v>
      </x:c>
    </x:row>
    <x:row r="50" ht="58" customHeight="1">
      <x:c r="A50" s="143" t="str">
        <x:v>FT-046</x:v>
      </x:c>
      <x:c r="B50" s="144" t="str">
        <x:v>命運</x:v>
      </x:c>
      <x:c r="C50" s="136" t="str">
        <x:v>跑者照護：受傷處理、身體修復與健康</x:v>
      </x:c>
      <x:c r="D50" s="136" t="str">
        <x:v>脛痛與骨壓力</x:v>
      </x:c>
      <x:c r="E50" s="136" t="str">
        <x:v>辨別肌肉疲勞與骨骼警訊</x:v>
      </x:c>
      <x:c r="F50" s="136" t="str">
        <x:v>鞋與地面只是一部分</x:v>
      </x:c>
      <x:c r="G50" s="136" t="str">
        <x:v>磨損鞋或突然改硬地可能影響負荷，但總量、肌力與能量也要檢查。
行動：同時回顧里程、坡度、速度、睡眠與飲食。</x:v>
      </x:c>
      <x:c r="H50" s="136" t="str">
        <x:v>同時回顧里程、坡度、速度、睡眠與飲食。</x:v>
      </x:c>
      <x:c r="I50" s="136" t="str">
        <x:v>反覆脛痛</x:v>
      </x:c>
      <x:c r="J50" s="144" t="str">
        <x:v>中</x:v>
      </x:c>
      <x:c r="K50" s="144" t="str">
        <x:v>一般</x:v>
      </x:c>
      <x:c r="L50" s="136" t="str">
        <x:v>修復值 +1</x:v>
      </x:c>
      <x:c r="M50" s="136" t="str">
        <x:v>若症狀持續、反覆或惡化，請由合格醫療專業評估。</x:v>
      </x:c>
      <x:c r="N50" s="154" t="n">
        <x:f>LEN(G50)</x:f>
        <x:v>53</x:v>
      </x:c>
      <x:c r="O50" s="144" t="str">
        <x:v>S023</x:v>
      </x:c>
      <x:c r="P50" s="136" t="str">
        <x:v>AAOS</x:v>
      </x:c>
      <x:c r="Q50" s="136" t="str">
        <x:v>Athletic Shoes</x:v>
      </x:c>
      <x:c r="R50" s="151" t="str">
        <x:v>https://orthoinfo.aaos.org/en/staying-healthy/athletic-shoes/</x:v>
      </x:c>
      <x:c r="S50" s="148" t="str">
        <x:v>2026-07-27</x:v>
      </x:c>
    </x:row>
    <x:row r="51" ht="58" customHeight="1">
      <x:c r="A51" s="143" t="str">
        <x:v>FT-047</x:v>
      </x:c>
      <x:c r="B51" s="144" t="str">
        <x:v>命運</x:v>
      </x:c>
      <x:c r="C51" s="136" t="str">
        <x:v>跑者照護：受傷處理、身體修復與健康</x:v>
      </x:c>
      <x:c r="D51" s="136" t="str">
        <x:v>脛痛與骨壓力</x:v>
      </x:c>
      <x:c r="E51" s="136" t="str">
        <x:v>辨別肌肉疲勞與骨骼警訊</x:v>
      </x:c>
      <x:c r="F51" s="136" t="str">
        <x:v>能量不足會削弱骨骼</x:v>
      </x:c>
      <x:c r="G51" s="136" t="str">
        <x:v>長期吃不夠、月經改變或體重快速下降會提高骨壓力傷害風險。
行動：暫停減重，安排運動營養與醫療評估。</x:v>
      </x:c>
      <x:c r="H51" s="136" t="str">
        <x:v>暫停減重，安排運動營養與醫療評估。</x:v>
      </x:c>
      <x:c r="I51" s="136" t="str">
        <x:v>骨傷反覆</x:v>
      </x:c>
      <x:c r="J51" s="144" t="str">
        <x:v>高</x:v>
      </x:c>
      <x:c r="K51" s="144" t="str">
        <x:v>留意</x:v>
      </x:c>
      <x:c r="L51" s="136" t="str">
        <x:v>做出正確照護：修復值 +1</x:v>
      </x:c>
      <x:c r="M51" s="136" t="str">
        <x:v>若症狀持續、反覆或惡化，請由合格醫療專業評估。</x:v>
      </x:c>
      <x:c r="N51" s="154" t="n">
        <x:f>LEN(G51)</x:f>
        <x:v>49</x:v>
      </x:c>
      <x:c r="O51" s="144" t="str">
        <x:v>S042</x:v>
      </x:c>
      <x:c r="P51" s="136" t="str">
        <x:v>國際奧會（IOC）／BJSM</x:v>
      </x:c>
      <x:c r="Q51" s="136" t="str">
        <x:v>2023 IOC consensus statement on REDs</x:v>
      </x:c>
      <x:c r="R51" s="151" t="str">
        <x:v>https://bjsm.bmj.com/content/57/17/1073</x:v>
      </x:c>
      <x:c r="S51" s="148" t="str">
        <x:v>2026-07-27</x:v>
      </x:c>
    </x:row>
    <x:row r="52" ht="58" customHeight="1">
      <x:c r="A52" s="143" t="str">
        <x:v>FT-048</x:v>
      </x:c>
      <x:c r="B52" s="144" t="str">
        <x:v>命運</x:v>
      </x:c>
      <x:c r="C52" s="136" t="str">
        <x:v>跑者照護：受傷處理、身體修復與健康</x:v>
      </x:c>
      <x:c r="D52" s="136" t="str">
        <x:v>脛痛與骨壓力</x:v>
      </x:c>
      <x:c r="E52" s="136" t="str">
        <x:v>辨別肌肉疲勞與骨骼警訊</x:v>
      </x:c>
      <x:c r="F52" s="136" t="str">
        <x:v>回跑前先達到無痛日常</x:v>
      </x:c>
      <x:c r="G52" s="136" t="str">
        <x:v>仍有走路或按壓痛時，跑步負荷通常過早。
行動：先恢復無痛走路與基本力量，再以跑走法進階。</x:v>
      </x:c>
      <x:c r="H52" s="136" t="str">
        <x:v>先恢復無痛走路與基本力量，再以跑走法進階。</x:v>
      </x:c>
      <x:c r="I52" s="136" t="str">
        <x:v>骨傷恢復期</x:v>
      </x:c>
      <x:c r="J52" s="144" t="str">
        <x:v>中</x:v>
      </x:c>
      <x:c r="K52" s="144" t="str">
        <x:v>一般</x:v>
      </x:c>
      <x:c r="L52" s="136" t="str">
        <x:v>修復值 +1</x:v>
      </x:c>
      <x:c r="M52" s="136" t="str">
        <x:v>若症狀持續、反覆或惡化，請由合格醫療專業評估。</x:v>
      </x:c>
      <x:c r="N52" s="154" t="n">
        <x:f>LEN(G52)</x:f>
        <x:v>44</x:v>
      </x:c>
      <x:c r="O52" s="144" t="str">
        <x:v>S080</x:v>
      </x:c>
      <x:c r="P52" s="136" t="str">
        <x:v>BJSM</x:v>
      </x:c>
      <x:c r="Q52" s="136" t="str">
        <x:v>International Delphi on bone stress injuries</x:v>
      </x:c>
      <x:c r="R52" s="151" t="str">
        <x:v>https://bjsm.bmj.com/content/59/2/78</x:v>
      </x:c>
      <x:c r="S52" s="148" t="str">
        <x:v>2026-07-27</x:v>
      </x:c>
    </x:row>
    <x:row r="53" ht="58" customHeight="1">
      <x:c r="A53" s="143" t="str">
        <x:v>FT-049</x:v>
      </x:c>
      <x:c r="B53" s="144" t="str">
        <x:v>命運</x:v>
      </x:c>
      <x:c r="C53" s="136" t="str">
        <x:v>跑者照護：受傷處理、身體修復與健康</x:v>
      </x:c>
      <x:c r="D53" s="136" t="str">
        <x:v>脛痛與骨壓力</x:v>
      </x:c>
      <x:c r="E53" s="136" t="str">
        <x:v>辨別肌肉疲勞與骨骼警訊</x:v>
      </x:c>
      <x:c r="F53" s="136" t="str">
        <x:v>高風險部位需更保守</x:v>
      </x:c>
      <x:c r="G53" s="136" t="str">
        <x:v>股骨頸、前側脛骨與部分足部骨壓力傷害可能有較高併發風險。
行動：腹股溝深層痛或前脛骨局部痛時立即停跑並評估。</x:v>
      </x:c>
      <x:c r="H53" s="136" t="str">
        <x:v>腹股溝深層痛或前脛骨局部痛時立即停跑並評估。</x:v>
      </x:c>
      <x:c r="I53" s="136" t="str">
        <x:v>疑似高風險骨傷</x:v>
      </x:c>
      <x:c r="J53" s="144" t="str">
        <x:v>高</x:v>
      </x:c>
      <x:c r="K53" s="144" t="str">
        <x:v>停止運動</x:v>
      </x:c>
      <x:c r="L53" s="136" t="str">
        <x:v>停止跑步並處理：修復值 +2；本回合休息</x:v>
      </x:c>
      <x:c r="M53" s="136" t="str">
        <x:v>若症狀持續、反覆或惡化，請由合格醫療專業評估。</x:v>
      </x:c>
      <x:c r="N53" s="154" t="n">
        <x:f>LEN(G53)</x:f>
        <x:v>54</x:v>
      </x:c>
      <x:c r="O53" s="144" t="str">
        <x:v>S080</x:v>
      </x:c>
      <x:c r="P53" s="136" t="str">
        <x:v>BJSM</x:v>
      </x:c>
      <x:c r="Q53" s="136" t="str">
        <x:v>International Delphi on bone stress injuries</x:v>
      </x:c>
      <x:c r="R53" s="151" t="str">
        <x:v>https://bjsm.bmj.com/content/59/2/78</x:v>
      </x:c>
      <x:c r="S53" s="148" t="str">
        <x:v>2026-07-27</x:v>
      </x:c>
    </x:row>
    <x:row r="54" ht="58" customHeight="1">
      <x:c r="A54" s="143" t="str">
        <x:v>FT-050</x:v>
      </x:c>
      <x:c r="B54" s="144" t="str">
        <x:v>命運</x:v>
      </x:c>
      <x:c r="C54" s="136" t="str">
        <x:v>跑者照護：受傷處理、身體修復與健康</x:v>
      </x:c>
      <x:c r="D54" s="136" t="str">
        <x:v>脛痛與骨壓力</x:v>
      </x:c>
      <x:c r="E54" s="136" t="str">
        <x:v>辨別肌肉疲勞與骨骼警訊</x:v>
      </x:c>
      <x:c r="F54" s="136" t="str">
        <x:v>疼痛消失後仍要慢慢加載</x:v>
      </x:c>
      <x:c r="G54" s="136" t="str">
        <x:v>症狀消失不代表骨骼已恢復全部容量。
行動：先增加跑步頻率或時間其中一項，暫緩速度與坡度。</x:v>
      </x:c>
      <x:c r="H54" s="136" t="str">
        <x:v>先增加跑步頻率或時間其中一項，暫緩速度與坡度。</x:v>
      </x:c>
      <x:c r="I54" s="136" t="str">
        <x:v>回跑初期</x:v>
      </x:c>
      <x:c r="J54" s="144" t="str">
        <x:v>中</x:v>
      </x:c>
      <x:c r="K54" s="144" t="str">
        <x:v>一般</x:v>
      </x:c>
      <x:c r="L54" s="136" t="str">
        <x:v>修復值 +1</x:v>
      </x:c>
      <x:c r="M54" s="136" t="str">
        <x:v>若症狀持續、反覆或惡化，請由合格醫療專業評估。</x:v>
      </x:c>
      <x:c r="N54" s="154" t="n">
        <x:f>LEN(G54)</x:f>
        <x:v>44</x:v>
      </x:c>
      <x:c r="O54" s="144" t="str">
        <x:v>S080</x:v>
      </x:c>
      <x:c r="P54" s="136" t="str">
        <x:v>BJSM</x:v>
      </x:c>
      <x:c r="Q54" s="136" t="str">
        <x:v>International Delphi on bone stress injuries</x:v>
      </x:c>
      <x:c r="R54" s="151" t="str">
        <x:v>https://bjsm.bmj.com/content/59/2/78</x:v>
      </x:c>
      <x:c r="S54" s="148" t="str">
        <x:v>2026-07-27</x:v>
      </x:c>
    </x:row>
    <x:row r="55" ht="58" customHeight="1">
      <x:c r="A55" s="143" t="str">
        <x:v>FT-051</x:v>
      </x:c>
      <x:c r="B55" s="144" t="str">
        <x:v>命運</x:v>
      </x:c>
      <x:c r="C55" s="136" t="str">
        <x:v>跑者照護：受傷處理、身體修復與健康</x:v>
      </x:c>
      <x:c r="D55" s="136" t="str">
        <x:v>足底與足跟</x:v>
      </x:c>
      <x:c r="E55" s="136" t="str">
        <x:v>管理晨間痛與足部負荷</x:v>
      </x:c>
      <x:c r="F55" s="136" t="str">
        <x:v>第一步痛是常見線索</x:v>
      </x:c>
      <x:c r="G55" s="136" t="str">
        <x:v>起床或久坐後第一步足跟痛，常見於足底筋膜問題，但仍需評估其他原因。
行動：記錄晨間痛與跑後反應，先降低誘發活動。</x:v>
      </x:c>
      <x:c r="H55" s="136" t="str">
        <x:v>記錄晨間痛與跑後反應，先降低誘發活動。</x:v>
      </x:c>
      <x:c r="I55" s="136" t="str">
        <x:v>足跟疼痛</x:v>
      </x:c>
      <x:c r="J55" s="144" t="str">
        <x:v>中</x:v>
      </x:c>
      <x:c r="K55" s="144" t="str">
        <x:v>一般</x:v>
      </x:c>
      <x:c r="L55" s="136" t="str">
        <x:v>修復值 +1</x:v>
      </x:c>
      <x:c r="M55" s="136" t="str">
        <x:v>若症狀持續、反覆或惡化，請由合格醫療專業評估。</x:v>
      </x:c>
      <x:c r="N55" s="154" t="n">
        <x:f>LEN(G55)</x:f>
        <x:v>56</x:v>
      </x:c>
      <x:c r="O55" s="144" t="str">
        <x:v>S031</x:v>
      </x:c>
      <x:c r="P55" s="136" t="str">
        <x:v>AAOS</x:v>
      </x:c>
      <x:c r="Q55" s="136" t="str">
        <x:v>Plantar Fasciitis and Bone Spurs</x:v>
      </x:c>
      <x:c r="R55" s="151" t="str">
        <x:v>https://orthoinfo.aaos.org/en/diseases--conditions/plantar-fasciitis-and-bone-spurs</x:v>
      </x:c>
      <x:c r="S55" s="148" t="str">
        <x:v>2026-07-27</x:v>
      </x:c>
    </x:row>
    <x:row r="56" ht="58" customHeight="1">
      <x:c r="A56" s="143" t="str">
        <x:v>FT-052</x:v>
      </x:c>
      <x:c r="B56" s="144" t="str">
        <x:v>命運</x:v>
      </x:c>
      <x:c r="C56" s="136" t="str">
        <x:v>跑者照護：受傷處理、身體修復與健康</x:v>
      </x:c>
      <x:c r="D56" s="136" t="str">
        <x:v>足底與足跟</x:v>
      </x:c>
      <x:c r="E56" s="136" t="str">
        <x:v>管理晨間痛與足部負荷</x:v>
      </x:c>
      <x:c r="F56" s="136" t="str">
        <x:v>小腿與足底可溫和伸展</x:v>
      </x:c>
      <x:c r="G56" s="136" t="str">
        <x:v>踝背屈受限與小腿緊繃可能增加足底負荷。
行動：做直膝、屈膝小腿伸展與足底輕柔活動，不拉到尖銳痛。</x:v>
      </x:c>
      <x:c r="H56" s="136" t="str">
        <x:v>做直膝、屈膝小腿伸展與足底輕柔活動，不拉到尖銳痛。</x:v>
      </x:c>
      <x:c r="I56" s="136" t="str">
        <x:v>每天</x:v>
      </x:c>
      <x:c r="J56" s="144" t="str">
        <x:v>中</x:v>
      </x:c>
      <x:c r="K56" s="144" t="str">
        <x:v>一般</x:v>
      </x:c>
      <x:c r="L56" s="136" t="str">
        <x:v>修復值 +1</x:v>
      </x:c>
      <x:c r="M56" s="136" t="str">
        <x:v>若症狀持續、反覆或惡化，請由合格醫療專業評估。</x:v>
      </x:c>
      <x:c r="N56" s="154" t="n">
        <x:f>LEN(G56)</x:f>
        <x:v>48</x:v>
      </x:c>
      <x:c r="O56" s="144" t="str">
        <x:v>S031</x:v>
      </x:c>
      <x:c r="P56" s="136" t="str">
        <x:v>AAOS</x:v>
      </x:c>
      <x:c r="Q56" s="136" t="str">
        <x:v>Plantar Fasciitis and Bone Spurs</x:v>
      </x:c>
      <x:c r="R56" s="151" t="str">
        <x:v>https://orthoinfo.aaos.org/en/diseases--conditions/plantar-fasciitis-and-bone-spurs</x:v>
      </x:c>
      <x:c r="S56" s="148" t="str">
        <x:v>2026-07-27</x:v>
      </x:c>
    </x:row>
    <x:row r="57" ht="58" customHeight="1">
      <x:c r="A57" s="143" t="str">
        <x:v>FT-053</x:v>
      </x:c>
      <x:c r="B57" s="144" t="str">
        <x:v>命運</x:v>
      </x:c>
      <x:c r="C57" s="136" t="str">
        <x:v>跑者照護：受傷處理、身體修復與健康</x:v>
      </x:c>
      <x:c r="D57" s="136" t="str">
        <x:v>足底與足跟</x:v>
      </x:c>
      <x:c r="E57" s="136" t="str">
        <x:v>管理晨間痛與足部負荷</x:v>
      </x:c>
      <x:c r="F57" s="136" t="str">
        <x:v>鞋底支撐以舒適為先</x:v>
      </x:c>
      <x:c r="G57" s="136" t="str">
        <x:v>合腳與舒適通常比追求特定鞋型更重要。
行動：試穿時保留趾部空間，選跑後仍舒適的鞋，不靠昂貴鞋墊保證治癒。</x:v>
      </x:c>
      <x:c r="H57" s="136" t="str">
        <x:v>試穿時保留趾部空間，選跑後仍舒適的鞋，不靠昂貴鞋墊保證治癒。</x:v>
      </x:c>
      <x:c r="I57" s="136" t="str">
        <x:v>選鞋</x:v>
      </x:c>
      <x:c r="J57" s="144" t="str">
        <x:v>中</x:v>
      </x:c>
      <x:c r="K57" s="144" t="str">
        <x:v>一般</x:v>
      </x:c>
      <x:c r="L57" s="136" t="str">
        <x:v>修復值 +1</x:v>
      </x:c>
      <x:c r="M57" s="136" t="str">
        <x:v>若症狀持續、反覆或惡化，請由合格醫療專業評估。</x:v>
      </x:c>
      <x:c r="N57" s="154" t="n">
        <x:f>LEN(G57)</x:f>
        <x:v>52</x:v>
      </x:c>
      <x:c r="O57" s="144" t="str">
        <x:v>S047</x:v>
      </x:c>
      <x:c r="P57" s="136" t="str">
        <x:v>AAOS</x:v>
      </x:c>
      <x:c r="Q57" s="136" t="str">
        <x:v>Shoes: Finding the Right Fit</x:v>
      </x:c>
      <x:c r="R57" s="151" t="str">
        <x:v>https://orthoinfo.aaos.org/en/staying-healthy/shoes-finding-the-right-fit/</x:v>
      </x:c>
      <x:c r="S57" s="148" t="str">
        <x:v>2026-07-27</x:v>
      </x:c>
    </x:row>
    <x:row r="58" ht="58" customHeight="1">
      <x:c r="A58" s="143" t="str">
        <x:v>FT-054</x:v>
      </x:c>
      <x:c r="B58" s="144" t="str">
        <x:v>命運</x:v>
      </x:c>
      <x:c r="C58" s="136" t="str">
        <x:v>跑者照護：受傷處理、身體修復與健康</x:v>
      </x:c>
      <x:c r="D58" s="136" t="str">
        <x:v>足底與足跟</x:v>
      </x:c>
      <x:c r="E58" s="136" t="str">
        <x:v>管理晨間痛與足部負荷</x:v>
      </x:c>
      <x:c r="F58" s="136" t="str">
        <x:v>疼痛期少走赤腳硬地</x:v>
      </x:c>
      <x:c r="G58" s="136" t="str">
        <x:v>赤腳與薄底會增加足底組織負荷，對症狀期不一定合適。
行動：在家也穿有支撐、合腳的室內鞋，改善後再逐步恢復。</x:v>
      </x:c>
      <x:c r="H58" s="136" t="str">
        <x:v>在家也穿有支撐、合腳的室內鞋，改善後再逐步恢復。</x:v>
      </x:c>
      <x:c r="I58" s="136" t="str">
        <x:v>症狀期</x:v>
      </x:c>
      <x:c r="J58" s="144" t="str">
        <x:v>中</x:v>
      </x:c>
      <x:c r="K58" s="144" t="str">
        <x:v>一般</x:v>
      </x:c>
      <x:c r="L58" s="136" t="str">
        <x:v>修復值 +1</x:v>
      </x:c>
      <x:c r="M58" s="136" t="str">
        <x:v>若症狀持續、反覆或惡化，請由合格醫療專業評估。</x:v>
      </x:c>
      <x:c r="N58" s="154" t="n">
        <x:f>LEN(G58)</x:f>
        <x:v>53</x:v>
      </x:c>
      <x:c r="O58" s="144" t="str">
        <x:v>S031</x:v>
      </x:c>
      <x:c r="P58" s="136" t="str">
        <x:v>AAOS</x:v>
      </x:c>
      <x:c r="Q58" s="136" t="str">
        <x:v>Plantar Fasciitis and Bone Spurs</x:v>
      </x:c>
      <x:c r="R58" s="151" t="str">
        <x:v>https://orthoinfo.aaos.org/en/diseases--conditions/plantar-fasciitis-and-bone-spurs</x:v>
      </x:c>
      <x:c r="S58" s="148" t="str">
        <x:v>2026-07-27</x:v>
      </x:c>
    </x:row>
    <x:row r="59" ht="58" customHeight="1">
      <x:c r="A59" s="143" t="str">
        <x:v>FT-055</x:v>
      </x:c>
      <x:c r="B59" s="144" t="str">
        <x:v>命運</x:v>
      </x:c>
      <x:c r="C59" s="136" t="str">
        <x:v>跑者照護：受傷處理、身體修復與健康</x:v>
      </x:c>
      <x:c r="D59" s="136" t="str">
        <x:v>足底與足跟</x:v>
      </x:c>
      <x:c r="E59" s="136" t="str">
        <x:v>管理晨間痛與足部負荷</x:v>
      </x:c>
      <x:c r="F59" s="136" t="str">
        <x:v>滾球只做到舒服</x:v>
      </x:c>
      <x:c r="G59" s="136" t="str">
        <x:v>足底滾球可暫時舒緩，但大力壓痛點可能刺激組織。
行動：用軟球輕滾 1–2 分鐘，避免麻木、刺痛或瘀傷。</x:v>
      </x:c>
      <x:c r="H59" s="136" t="str">
        <x:v>用軟球輕滾 1–2 分鐘，避免麻木、刺痛或瘀傷。</x:v>
      </x:c>
      <x:c r="I59" s="136" t="str">
        <x:v>自我照護</x:v>
      </x:c>
      <x:c r="J59" s="144" t="str">
        <x:v>中</x:v>
      </x:c>
      <x:c r="K59" s="144" t="str">
        <x:v>一般</x:v>
      </x:c>
      <x:c r="L59" s="136" t="str">
        <x:v>修復值 +1</x:v>
      </x:c>
      <x:c r="M59" s="136" t="str">
        <x:v>若症狀持續、反覆或惡化，請由合格醫療專業評估。</x:v>
      </x:c>
      <x:c r="N59" s="154" t="n">
        <x:f>LEN(G59)</x:f>
        <x:v>51</x:v>
      </x:c>
      <x:c r="O59" s="144" t="str">
        <x:v>S031</x:v>
      </x:c>
      <x:c r="P59" s="136" t="str">
        <x:v>AAOS</x:v>
      </x:c>
      <x:c r="Q59" s="136" t="str">
        <x:v>Plantar Fasciitis and Bone Spurs</x:v>
      </x:c>
      <x:c r="R59" s="151" t="str">
        <x:v>https://orthoinfo.aaos.org/en/diseases--conditions/plantar-fasciitis-and-bone-spurs</x:v>
      </x:c>
      <x:c r="S59" s="148" t="str">
        <x:v>2026-07-27</x:v>
      </x:c>
    </x:row>
    <x:row r="60" ht="58" customHeight="1">
      <x:c r="A60" s="143" t="str">
        <x:v>FT-056</x:v>
      </x:c>
      <x:c r="B60" s="144" t="str">
        <x:v>命運</x:v>
      </x:c>
      <x:c r="C60" s="136" t="str">
        <x:v>跑者照護：受傷處理、身體修復與健康</x:v>
      </x:c>
      <x:c r="D60" s="136" t="str">
        <x:v>足底與足跟</x:v>
      </x:c>
      <x:c r="E60" s="136" t="str">
        <x:v>管理晨間痛與足部負荷</x:v>
      </x:c>
      <x:c r="F60" s="136" t="str">
        <x:v>晨間痛是負荷儀表</x:v>
      </x:c>
      <x:c r="G60" s="136" t="str">
        <x:v>前一天跑量或站立過多，常反映在隔天第一步症狀。
行動：若連續數天晨間痛上升，降低跑量或改低衝擊。</x:v>
      </x:c>
      <x:c r="H60" s="136" t="str">
        <x:v>若連續數天晨間痛上升，降低跑量或改低衝擊。</x:v>
      </x:c>
      <x:c r="I60" s="136" t="str">
        <x:v>回跑監測</x:v>
      </x:c>
      <x:c r="J60" s="144" t="str">
        <x:v>中</x:v>
      </x:c>
      <x:c r="K60" s="144" t="str">
        <x:v>一般</x:v>
      </x:c>
      <x:c r="L60" s="136" t="str">
        <x:v>修復值 +1</x:v>
      </x:c>
      <x:c r="M60" s="136" t="str">
        <x:v>若症狀持續、反覆或惡化，請由合格醫療專業評估。</x:v>
      </x:c>
      <x:c r="N60" s="154" t="n">
        <x:f>LEN(G60)</x:f>
        <x:v>48</x:v>
      </x:c>
      <x:c r="O60" s="144" t="str">
        <x:v>S031</x:v>
      </x:c>
      <x:c r="P60" s="136" t="str">
        <x:v>AAOS</x:v>
      </x:c>
      <x:c r="Q60" s="136" t="str">
        <x:v>Plantar Fasciitis and Bone Spurs</x:v>
      </x:c>
      <x:c r="R60" s="151" t="str">
        <x:v>https://orthoinfo.aaos.org/en/diseases--conditions/plantar-fasciitis-and-bone-spurs</x:v>
      </x:c>
      <x:c r="S60" s="148" t="str">
        <x:v>2026-07-27</x:v>
      </x:c>
    </x:row>
    <x:row r="61" ht="58" customHeight="1">
      <x:c r="A61" s="143" t="str">
        <x:v>FT-057</x:v>
      </x:c>
      <x:c r="B61" s="144" t="str">
        <x:v>命運</x:v>
      </x:c>
      <x:c r="C61" s="136" t="str">
        <x:v>跑者照護：受傷處理、身體修復與健康</x:v>
      </x:c>
      <x:c r="D61" s="136" t="str">
        <x:v>足底與足跟</x:v>
      </x:c>
      <x:c r="E61" s="136" t="str">
        <x:v>管理晨間痛與足部負荷</x:v>
      </x:c>
      <x:c r="F61" s="136" t="str">
        <x:v>足跟骨壓痛要排除骨傷</x:v>
      </x:c>
      <x:c r="G61" s="136" t="str">
        <x:v>足跟深層局部痛、擠壓痛或走路痛，不應只當足底筋膜炎。
行動：停止跑步並安排評估，尤其近期里程大增時。</x:v>
      </x:c>
      <x:c r="H61" s="136" t="str">
        <x:v>停止跑步並安排評估，尤其近期里程大增時。</x:v>
      </x:c>
      <x:c r="I61" s="136" t="str">
        <x:v>足跟痛異常</x:v>
      </x:c>
      <x:c r="J61" s="144" t="str">
        <x:v>高</x:v>
      </x:c>
      <x:c r="K61" s="144" t="str">
        <x:v>停止運動</x:v>
      </x:c>
      <x:c r="L61" s="136" t="str">
        <x:v>停止跑步並處理：修復值 +2；本回合休息</x:v>
      </x:c>
      <x:c r="M61" s="136" t="str">
        <x:v>若症狀持續、反覆或惡化，請由合格醫療專業評估。</x:v>
      </x:c>
      <x:c r="N61" s="154" t="n">
        <x:f>LEN(G61)</x:f>
        <x:v>50</x:v>
      </x:c>
      <x:c r="O61" s="144" t="str">
        <x:v>S058</x:v>
      </x:c>
      <x:c r="P61" s="136" t="str">
        <x:v>AAOS</x:v>
      </x:c>
      <x:c r="Q61" s="136" t="str">
        <x:v>Stress Fractures of the Foot and Ankle</x:v>
      </x:c>
      <x:c r="R61" s="151" t="str">
        <x:v>https://orthoinfo.aaos.org/en/diseases--conditions/stress-fractures-of-the-foot-and-ankle/</x:v>
      </x:c>
      <x:c r="S61" s="148" t="str">
        <x:v>2026-07-27</x:v>
      </x:c>
    </x:row>
    <x:row r="62" ht="58" customHeight="1">
      <x:c r="A62" s="143" t="str">
        <x:v>FT-058</x:v>
      </x:c>
      <x:c r="B62" s="144" t="str">
        <x:v>命運</x:v>
      </x:c>
      <x:c r="C62" s="136" t="str">
        <x:v>跑者照護：受傷處理、身體修復與健康</x:v>
      </x:c>
      <x:c r="D62" s="136" t="str">
        <x:v>足底與足跟</x:v>
      </x:c>
      <x:c r="E62" s="136" t="str">
        <x:v>管理晨間痛與足部負荷</x:v>
      </x:c>
      <x:c r="F62" s="136" t="str">
        <x:v>久站也算足部負荷</x:v>
      </x:c>
      <x:c r="G62" s="136" t="str">
        <x:v>工作站立、旅遊步數與跑量會一起累積。
行動：症狀期同時管理日常步數、站立與跑步，不只刪課表。</x:v>
      </x:c>
      <x:c r="H62" s="136" t="str">
        <x:v>症狀期同時管理日常步數、站立與跑步，不只刪課表。</x:v>
      </x:c>
      <x:c r="I62" s="136" t="str">
        <x:v>足底復健</x:v>
      </x:c>
      <x:c r="J62" s="144" t="str">
        <x:v>中</x:v>
      </x:c>
      <x:c r="K62" s="144" t="str">
        <x:v>一般</x:v>
      </x:c>
      <x:c r="L62" s="136" t="str">
        <x:v>修復值 +1</x:v>
      </x:c>
      <x:c r="M62" s="136" t="str">
        <x:v>若症狀持續、反覆或惡化，請由合格醫療專業評估。</x:v>
      </x:c>
      <x:c r="N62" s="154" t="n">
        <x:f>LEN(G62)</x:f>
        <x:v>46</x:v>
      </x:c>
      <x:c r="O62" s="144" t="str">
        <x:v>S031</x:v>
      </x:c>
      <x:c r="P62" s="136" t="str">
        <x:v>AAOS</x:v>
      </x:c>
      <x:c r="Q62" s="136" t="str">
        <x:v>Plantar Fasciitis and Bone Spurs</x:v>
      </x:c>
      <x:c r="R62" s="151" t="str">
        <x:v>https://orthoinfo.aaos.org/en/diseases--conditions/plantar-fasciitis-and-bone-spurs</x:v>
      </x:c>
      <x:c r="S62" s="148" t="str">
        <x:v>2026-07-27</x:v>
      </x:c>
    </x:row>
    <x:row r="63" ht="58" customHeight="1">
      <x:c r="A63" s="143" t="str">
        <x:v>FT-059</x:v>
      </x:c>
      <x:c r="B63" s="144" t="str">
        <x:v>命運</x:v>
      </x:c>
      <x:c r="C63" s="136" t="str">
        <x:v>跑者照護：受傷處理、身體修復與健康</x:v>
      </x:c>
      <x:c r="D63" s="136" t="str">
        <x:v>足底與足跟</x:v>
      </x:c>
      <x:c r="E63" s="136" t="str">
        <x:v>管理晨間痛與足部負荷</x:v>
      </x:c>
      <x:c r="F63" s="136" t="str">
        <x:v>回跑先避開速度與坡</x:v>
      </x:c>
      <x:c r="G63" s="136" t="str">
        <x:v>快速與上坡會提高足踝推蹬需求。
行動：先平路輕鬆跑走，晨間痛穩定後才增加速度或爬升。</x:v>
      </x:c>
      <x:c r="H63" s="136" t="str">
        <x:v>先平路輕鬆跑走，晨間痛穩定後才增加速度或爬升。</x:v>
      </x:c>
      <x:c r="I63" s="136" t="str">
        <x:v>回跑期</x:v>
      </x:c>
      <x:c r="J63" s="144" t="str">
        <x:v>中</x:v>
      </x:c>
      <x:c r="K63" s="144" t="str">
        <x:v>一般</x:v>
      </x:c>
      <x:c r="L63" s="136" t="str">
        <x:v>修復值 +1</x:v>
      </x:c>
      <x:c r="M63" s="136" t="str">
        <x:v>若症狀持續、反覆或惡化，請由合格醫療專業評估。</x:v>
      </x:c>
      <x:c r="N63" s="154" t="n">
        <x:f>LEN(G63)</x:f>
        <x:v>42</x:v>
      </x:c>
      <x:c r="O63" s="144" t="str">
        <x:v>S031</x:v>
      </x:c>
      <x:c r="P63" s="136" t="str">
        <x:v>AAOS</x:v>
      </x:c>
      <x:c r="Q63" s="136" t="str">
        <x:v>Plantar Fasciitis and Bone Spurs</x:v>
      </x:c>
      <x:c r="R63" s="151" t="str">
        <x:v>https://orthoinfo.aaos.org/en/diseases--conditions/plantar-fasciitis-and-bone-spurs</x:v>
      </x:c>
      <x:c r="S63" s="148" t="str">
        <x:v>2026-07-27</x:v>
      </x:c>
    </x:row>
    <x:row r="64" ht="58" customHeight="1">
      <x:c r="A64" s="143" t="str">
        <x:v>FT-060</x:v>
      </x:c>
      <x:c r="B64" s="144" t="str">
        <x:v>命運</x:v>
      </x:c>
      <x:c r="C64" s="136" t="str">
        <x:v>跑者照護：受傷處理、身體修復與健康</x:v>
      </x:c>
      <x:c r="D64" s="136" t="str">
        <x:v>足底與足跟</x:v>
      </x:c>
      <x:c r="E64" s="136" t="str">
        <x:v>管理晨間痛與足部負荷</x:v>
      </x:c>
      <x:c r="F64" s="136" t="str">
        <x:v>持續數週未改善要評估</x:v>
      </x:c>
      <x:c r="G64" s="136" t="str">
        <x:v>足跟痛可能涉及神經、骨骼或其他結構，不能無限自我處理。
行動：若影響走路、夜間痛或持續惡化，尋求醫療與復健專業。</x:v>
      </x:c>
      <x:c r="H64" s="136" t="str">
        <x:v>若影響走路、夜間痛或持續惡化，尋求醫療與復健專業。</x:v>
      </x:c>
      <x:c r="I64" s="136" t="str">
        <x:v>久治不癒</x:v>
      </x:c>
      <x:c r="J64" s="144" t="str">
        <x:v>高</x:v>
      </x:c>
      <x:c r="K64" s="144" t="str">
        <x:v>留意</x:v>
      </x:c>
      <x:c r="L64" s="136" t="str">
        <x:v>做出正確照護：修復值 +1</x:v>
      </x:c>
      <x:c r="M64" s="136" t="str">
        <x:v>若症狀持續、反覆或惡化，請由合格醫療專業評估。</x:v>
      </x:c>
      <x:c r="N64" s="154" t="n">
        <x:f>LEN(G64)</x:f>
        <x:v>56</x:v>
      </x:c>
      <x:c r="O64" s="144" t="str">
        <x:v>S031</x:v>
      </x:c>
      <x:c r="P64" s="136" t="str">
        <x:v>AAOS</x:v>
      </x:c>
      <x:c r="Q64" s="136" t="str">
        <x:v>Plantar Fasciitis and Bone Spurs</x:v>
      </x:c>
      <x:c r="R64" s="151" t="str">
        <x:v>https://orthoinfo.aaos.org/en/diseases--conditions/plantar-fasciitis-and-bone-spurs</x:v>
      </x:c>
      <x:c r="S64" s="148" t="str">
        <x:v>2026-07-27</x:v>
      </x:c>
    </x:row>
    <x:row r="65" ht="58" customHeight="1">
      <x:c r="A65" s="143" t="str">
        <x:v>FT-061</x:v>
      </x:c>
      <x:c r="B65" s="144" t="str">
        <x:v>命運</x:v>
      </x:c>
      <x:c r="C65" s="136" t="str">
        <x:v>跑者照護：受傷處理、身體修復與健康</x:v>
      </x:c>
      <x:c r="D65" s="136" t="str">
        <x:v>阿基里斯腱</x:v>
      </x:c>
      <x:c r="E65" s="136" t="str">
        <x:v>以漸進負荷重建彈性</x:v>
      </x:c>
      <x:c r="F65" s="136" t="str">
        <x:v>晨間僵硬是重要追蹤值</x:v>
      </x:c>
      <x:c r="G65" s="136" t="str">
        <x:v>阿基里斯腱病變常在起床第一步或跑前僵硬。
行動：每天記錄晨間僵硬時間與疼痛，趨勢惡化就調低負荷。</x:v>
      </x:c>
      <x:c r="H65" s="136" t="str">
        <x:v>每天記錄晨間僵硬時間與疼痛，趨勢惡化就調低負荷。</x:v>
      </x:c>
      <x:c r="I65" s="136" t="str">
        <x:v>日常監測</x:v>
      </x:c>
      <x:c r="J65" s="144" t="str">
        <x:v>中</x:v>
      </x:c>
      <x:c r="K65" s="144" t="str">
        <x:v>一般</x:v>
      </x:c>
      <x:c r="L65" s="136" t="str">
        <x:v>修復值 +1</x:v>
      </x:c>
      <x:c r="M65" s="136" t="str">
        <x:v>若症狀持續、反覆或惡化，請由合格醫療專業評估。</x:v>
      </x:c>
      <x:c r="N65" s="154" t="n">
        <x:f>LEN(G65)</x:f>
        <x:v>48</x:v>
      </x:c>
      <x:c r="O65" s="144" t="str">
        <x:v>S030</x:v>
      </x:c>
      <x:c r="P65" s="136" t="str">
        <x:v>AAOS</x:v>
      </x:c>
      <x:c r="Q65" s="136" t="str">
        <x:v>Achilles Tendinitis</x:v>
      </x:c>
      <x:c r="R65" s="151" t="str">
        <x:v>https://orthoinfo.aaos.org/en/diseases--conditions/achilles-tendinitis/</x:v>
      </x:c>
      <x:c r="S65" s="148" t="str">
        <x:v>2026-07-27</x:v>
      </x:c>
    </x:row>
    <x:row r="66" ht="58" customHeight="1">
      <x:c r="A66" s="143" t="str">
        <x:v>FT-062</x:v>
      </x:c>
      <x:c r="B66" s="144" t="str">
        <x:v>命運</x:v>
      </x:c>
      <x:c r="C66" s="136" t="str">
        <x:v>跑者照護：受傷處理、身體修復與健康</x:v>
      </x:c>
      <x:c r="D66" s="136" t="str">
        <x:v>阿基里斯腱</x:v>
      </x:c>
      <x:c r="E66" s="136" t="str">
        <x:v>以漸進負荷重建彈性</x:v>
      </x:c>
      <x:c r="F66" s="136" t="str">
        <x:v>突然加坡與速度是常見誘因</x:v>
      </x:c>
      <x:c r="G66" s="136" t="str">
        <x:v>上坡、衝刺與跳躍會提高阿基里斯腱負荷。
行動：症狀期先減少這些刺激，平路穩定後再逐項加回。</x:v>
      </x:c>
      <x:c r="H66" s="136" t="str">
        <x:v>症狀期先減少這些刺激，平路穩定後再逐項加回。</x:v>
      </x:c>
      <x:c r="I66" s="136" t="str">
        <x:v>疼痛期</x:v>
      </x:c>
      <x:c r="J66" s="144" t="str">
        <x:v>高</x:v>
      </x:c>
      <x:c r="K66" s="144" t="str">
        <x:v>一般</x:v>
      </x:c>
      <x:c r="L66" s="136" t="str">
        <x:v>健康值 +1；修復值 +1</x:v>
      </x:c>
      <x:c r="M66" s="136" t="str">
        <x:v>若症狀持續、反覆或惡化，請由合格醫療專業評估。</x:v>
      </x:c>
      <x:c r="N66" s="154" t="n">
        <x:f>LEN(G66)</x:f>
        <x:v>45</x:v>
      </x:c>
      <x:c r="O66" s="144" t="str">
        <x:v>S030</x:v>
      </x:c>
      <x:c r="P66" s="136" t="str">
        <x:v>AAOS</x:v>
      </x:c>
      <x:c r="Q66" s="136" t="str">
        <x:v>Achilles Tendinitis</x:v>
      </x:c>
      <x:c r="R66" s="151" t="str">
        <x:v>https://orthoinfo.aaos.org/en/diseases--conditions/achilles-tendinitis/</x:v>
      </x:c>
      <x:c r="S66" s="148" t="str">
        <x:v>2026-07-27</x:v>
      </x:c>
    </x:row>
    <x:row r="67" ht="58" customHeight="1">
      <x:c r="A67" s="143" t="str">
        <x:v>FT-063</x:v>
      </x:c>
      <x:c r="B67" s="144" t="str">
        <x:v>命運</x:v>
      </x:c>
      <x:c r="C67" s="136" t="str">
        <x:v>跑者照護：受傷處理、身體修復與健康</x:v>
      </x:c>
      <x:c r="D67" s="136" t="str">
        <x:v>阿基里斯腱</x:v>
      </x:c>
      <x:c r="E67" s="136" t="str">
        <x:v>以漸進負荷重建彈性</x:v>
      </x:c>
      <x:c r="F67" s="136" t="str">
        <x:v>完全休息通常不是長期答案</x:v>
      </x:c>
      <x:c r="G67" s="136" t="str">
        <x:v>肌腱需要適當負荷維持容量，但負荷必須可控制。
行動：從無痛或低痛的等長提踵與慢速提踵開始，依專業計畫進階。</x:v>
      </x:c>
      <x:c r="H67" s="136" t="str">
        <x:v>從無痛或低痛的等長提踵與慢速提踵開始，依專業計畫進階。</x:v>
      </x:c>
      <x:c r="I67" s="136" t="str">
        <x:v>復健期</x:v>
      </x:c>
      <x:c r="J67" s="144" t="str">
        <x:v>中</x:v>
      </x:c>
      <x:c r="K67" s="144" t="str">
        <x:v>一般</x:v>
      </x:c>
      <x:c r="L67" s="136" t="str">
        <x:v>修復值 +1</x:v>
      </x:c>
      <x:c r="M67" s="136" t="str">
        <x:v>若症狀持續、反覆或惡化，請由合格醫療專業評估。</x:v>
      </x:c>
      <x:c r="N67" s="154" t="n">
        <x:f>LEN(G67)</x:f>
        <x:v>53</x:v>
      </x:c>
      <x:c r="O67" s="144" t="str">
        <x:v>S030</x:v>
      </x:c>
      <x:c r="P67" s="136" t="str">
        <x:v>AAOS</x:v>
      </x:c>
      <x:c r="Q67" s="136" t="str">
        <x:v>Achilles Tendinitis</x:v>
      </x:c>
      <x:c r="R67" s="151" t="str">
        <x:v>https://orthoinfo.aaos.org/en/diseases--conditions/achilles-tendinitis/</x:v>
      </x:c>
      <x:c r="S67" s="148" t="str">
        <x:v>2026-07-27</x:v>
      </x:c>
    </x:row>
    <x:row r="68" ht="58" customHeight="1">
      <x:c r="A68" s="143" t="str">
        <x:v>FT-064</x:v>
      </x:c>
      <x:c r="B68" s="144" t="str">
        <x:v>命運</x:v>
      </x:c>
      <x:c r="C68" s="136" t="str">
        <x:v>跑者照護：受傷處理、身體修復與健康</x:v>
      </x:c>
      <x:c r="D68" s="136" t="str">
        <x:v>阿基里斯腱</x:v>
      </x:c>
      <x:c r="E68" s="136" t="str">
        <x:v>以漸進負荷重建彈性</x:v>
      </x:c>
      <x:c r="F68" s="136" t="str">
        <x:v>提踵要練直膝與彎膝</x:v>
      </x:c>
      <x:c r="G68" s="136" t="str">
        <x:v>不同膝角度可訓練腓腸肌與比目魚肌，都是跑步推進的重要來源。
行動：先雙腳、再單腳，逐步增加次數、重量與速度。</x:v>
      </x:c>
      <x:c r="H68" s="136" t="str">
        <x:v>先雙腳、再單腳，逐步增加次數、重量與速度。</x:v>
      </x:c>
      <x:c r="I68" s="136" t="str">
        <x:v>肌腱復健</x:v>
      </x:c>
      <x:c r="J68" s="144" t="str">
        <x:v>中</x:v>
      </x:c>
      <x:c r="K68" s="144" t="str">
        <x:v>一般</x:v>
      </x:c>
      <x:c r="L68" s="136" t="str">
        <x:v>修復值 +1</x:v>
      </x:c>
      <x:c r="M68" s="136" t="str">
        <x:v>若症狀持續、反覆或惡化，請由合格醫療專業評估。</x:v>
      </x:c>
      <x:c r="N68" s="154" t="n">
        <x:f>LEN(G68)</x:f>
        <x:v>54</x:v>
      </x:c>
      <x:c r="O68" s="144" t="str">
        <x:v>S030</x:v>
      </x:c>
      <x:c r="P68" s="136" t="str">
        <x:v>AAOS</x:v>
      </x:c>
      <x:c r="Q68" s="136" t="str">
        <x:v>Achilles Tendinitis</x:v>
      </x:c>
      <x:c r="R68" s="151" t="str">
        <x:v>https://orthoinfo.aaos.org/en/diseases--conditions/achilles-tendinitis/</x:v>
      </x:c>
      <x:c r="S68" s="148" t="str">
        <x:v>2026-07-27</x:v>
      </x:c>
    </x:row>
    <x:row r="69" ht="58" customHeight="1">
      <x:c r="A69" s="143" t="str">
        <x:v>FT-065</x:v>
      </x:c>
      <x:c r="B69" s="144" t="str">
        <x:v>命運</x:v>
      </x:c>
      <x:c r="C69" s="136" t="str">
        <x:v>跑者照護：受傷處理、身體修復與健康</x:v>
      </x:c>
      <x:c r="D69" s="136" t="str">
        <x:v>阿基里斯腱</x:v>
      </x:c>
      <x:c r="E69" s="136" t="str">
        <x:v>以漸進負荷重建彈性</x:v>
      </x:c>
      <x:c r="F69" s="136" t="str">
        <x:v>附著點痛別做深腳跟下降</x:v>
      </x:c>
      <x:c r="G69" s="136" t="str">
        <x:v>靠近跟骨的插入性疼痛，過深背屈可能增加壓迫。
行動：先在平地範圍做提踵，不讓腳跟低於前腳掌，依專業指示進階。</x:v>
      </x:c>
      <x:c r="H69" s="136" t="str">
        <x:v>先在平地範圍做提踵，不讓腳跟低於前腳掌，依專業指示進階。</x:v>
      </x:c>
      <x:c r="I69" s="136" t="str">
        <x:v>插入性疼痛</x:v>
      </x:c>
      <x:c r="J69" s="144" t="str">
        <x:v>高</x:v>
      </x:c>
      <x:c r="K69" s="144" t="str">
        <x:v>留意</x:v>
      </x:c>
      <x:c r="L69" s="136" t="str">
        <x:v>做出正確照護：修復值 +1</x:v>
      </x:c>
      <x:c r="M69" s="136" t="str">
        <x:v>若症狀持續、反覆或惡化，請由合格醫療專業評估。</x:v>
      </x:c>
      <x:c r="N69" s="154" t="n">
        <x:f>LEN(G69)</x:f>
        <x:v>54</x:v>
      </x:c>
      <x:c r="O69" s="144" t="str">
        <x:v>S030</x:v>
      </x:c>
      <x:c r="P69" s="136" t="str">
        <x:v>AAOS</x:v>
      </x:c>
      <x:c r="Q69" s="136" t="str">
        <x:v>Achilles Tendinitis</x:v>
      </x:c>
      <x:c r="R69" s="151" t="str">
        <x:v>https://orthoinfo.aaos.org/en/diseases--conditions/achilles-tendinitis/</x:v>
      </x:c>
      <x:c r="S69" s="148" t="str">
        <x:v>2026-07-27</x:v>
      </x:c>
    </x:row>
    <x:row r="70" ht="58" customHeight="1">
      <x:c r="A70" s="143" t="str">
        <x:v>FT-066</x:v>
      </x:c>
      <x:c r="B70" s="144" t="str">
        <x:v>命運</x:v>
      </x:c>
      <x:c r="C70" s="136" t="str">
        <x:v>跑者照護：受傷處理、身體修復與健康</x:v>
      </x:c>
      <x:c r="D70" s="136" t="str">
        <x:v>阿基里斯腱</x:v>
      </x:c>
      <x:c r="E70" s="136" t="str">
        <x:v>以漸進負荷重建彈性</x:v>
      </x:c>
      <x:c r="F70" s="136" t="str">
        <x:v>跑開不痛仍要看隔天</x:v>
      </x:c>
      <x:c r="G70" s="136" t="str">
        <x:v>熱身後症狀可能暫時下降，但負荷反應常延遲。
行動：以隔天晨間僵硬與走路感受決定下一次訓練。</x:v>
      </x:c>
      <x:c r="H70" s="136" t="str">
        <x:v>以隔天晨間僵硬與走路感受決定下一次訓練。</x:v>
      </x:c>
      <x:c r="I70" s="136" t="str">
        <x:v>回跑期</x:v>
      </x:c>
      <x:c r="J70" s="144" t="str">
        <x:v>中</x:v>
      </x:c>
      <x:c r="K70" s="144" t="str">
        <x:v>一般</x:v>
      </x:c>
      <x:c r="L70" s="136" t="str">
        <x:v>修復值 +1</x:v>
      </x:c>
      <x:c r="M70" s="136" t="str">
        <x:v>若症狀持續、反覆或惡化，請由合格醫療專業評估。</x:v>
      </x:c>
      <x:c r="N70" s="154" t="n">
        <x:f>LEN(G70)</x:f>
        <x:v>45</x:v>
      </x:c>
      <x:c r="O70" s="144" t="str">
        <x:v>S030</x:v>
      </x:c>
      <x:c r="P70" s="136" t="str">
        <x:v>AAOS</x:v>
      </x:c>
      <x:c r="Q70" s="136" t="str">
        <x:v>Achilles Tendinitis</x:v>
      </x:c>
      <x:c r="R70" s="151" t="str">
        <x:v>https://orthoinfo.aaos.org/en/diseases--conditions/achilles-tendinitis/</x:v>
      </x:c>
      <x:c r="S70" s="148" t="str">
        <x:v>2026-07-27</x:v>
      </x:c>
    </x:row>
    <x:row r="71" ht="58" customHeight="1">
      <x:c r="A71" s="143" t="str">
        <x:v>FT-067</x:v>
      </x:c>
      <x:c r="B71" s="144" t="str">
        <x:v>命運</x:v>
      </x:c>
      <x:c r="C71" s="136" t="str">
        <x:v>跑者照護：受傷處理、身體修復與健康</x:v>
      </x:c>
      <x:c r="D71" s="136" t="str">
        <x:v>阿基里斯腱</x:v>
      </x:c>
      <x:c r="E71" s="136" t="str">
        <x:v>以漸進負荷重建彈性</x:v>
      </x:c>
      <x:c r="F71" s="136" t="str">
        <x:v>鞋跟落差可暫時改變負荷</x:v>
      </x:c>
      <x:c r="G71" s="136" t="str">
        <x:v>較高後跟可能短期減少肌腱背屈，但不是治療根本。
行動：若更換鞋型，從短跑測試，避免同時大改里程。</x:v>
      </x:c>
      <x:c r="H71" s="136" t="str">
        <x:v>若更換鞋型，從短跑測試，避免同時大改里程。</x:v>
      </x:c>
      <x:c r="I71" s="136" t="str">
        <x:v>症狀管理</x:v>
      </x:c>
      <x:c r="J71" s="144" t="str">
        <x:v>中</x:v>
      </x:c>
      <x:c r="K71" s="144" t="str">
        <x:v>一般</x:v>
      </x:c>
      <x:c r="L71" s="136" t="str">
        <x:v>修復值 +1</x:v>
      </x:c>
      <x:c r="M71" s="136" t="str">
        <x:v>若症狀持續、反覆或惡化，請由合格醫療專業評估。</x:v>
      </x:c>
      <x:c r="N71" s="154" t="n">
        <x:f>LEN(G71)</x:f>
        <x:v>48</x:v>
      </x:c>
      <x:c r="O71" s="144" t="str">
        <x:v>S023</x:v>
      </x:c>
      <x:c r="P71" s="136" t="str">
        <x:v>AAOS</x:v>
      </x:c>
      <x:c r="Q71" s="136" t="str">
        <x:v>Athletic Shoes</x:v>
      </x:c>
      <x:c r="R71" s="151" t="str">
        <x:v>https://orthoinfo.aaos.org/en/staying-healthy/athletic-shoes/</x:v>
      </x:c>
      <x:c r="S71" s="148" t="str">
        <x:v>2026-07-27</x:v>
      </x:c>
    </x:row>
    <x:row r="72" ht="58" customHeight="1">
      <x:c r="A72" s="143" t="str">
        <x:v>FT-068</x:v>
      </x:c>
      <x:c r="B72" s="144" t="str">
        <x:v>命運</x:v>
      </x:c>
      <x:c r="C72" s="136" t="str">
        <x:v>跑者照護：受傷處理、身體修復與健康</x:v>
      </x:c>
      <x:c r="D72" s="136" t="str">
        <x:v>阿基里斯腱</x:v>
      </x:c>
      <x:c r="E72" s="136" t="str">
        <x:v>以漸進負荷重建彈性</x:v>
      </x:c>
      <x:c r="F72" s="136" t="str">
        <x:v>啪聲或凹陷要當斷裂處理</x:v>
      </x:c>
      <x:c r="G72" s="136" t="str">
        <x:v>突然爆裂感、腱部凹陷或無法單腳踮起，可能是斷裂。
行動：立即停止承重、固定並儘快就醫。</x:v>
      </x:c>
      <x:c r="H72" s="136" t="str">
        <x:v>立即停止承重、固定並儘快就醫。</x:v>
      </x:c>
      <x:c r="I72" s="136" t="str">
        <x:v>急性事件</x:v>
      </x:c>
      <x:c r="J72" s="144" t="str">
        <x:v>高</x:v>
      </x:c>
      <x:c r="K72" s="144" t="str">
        <x:v>停止運動</x:v>
      </x:c>
      <x:c r="L72" s="136" t="str">
        <x:v>停止跑步並處理：修復值 +2；本回合休息</x:v>
      </x:c>
      <x:c r="M72" s="136" t="str">
        <x:v>若症狀持續、反覆或惡化，請由合格醫療專業評估。</x:v>
      </x:c>
      <x:c r="N72" s="154" t="n">
        <x:f>LEN(G72)</x:f>
        <x:v>43</x:v>
      </x:c>
      <x:c r="O72" s="144" t="str">
        <x:v>S066</x:v>
      </x:c>
      <x:c r="P72" s="136" t="str">
        <x:v>AAOS</x:v>
      </x:c>
      <x:c r="Q72" s="136" t="str">
        <x:v>Achilles Tendon Rupture</x:v>
      </x:c>
      <x:c r="R72" s="151" t="str">
        <x:v>https://orthoinfo.aaos.org/en/diseases--conditions/achilles-tendon-rupture-tear/</x:v>
      </x:c>
      <x:c r="S72" s="148" t="str">
        <x:v>2026-07-27</x:v>
      </x:c>
    </x:row>
    <x:row r="73" ht="58" customHeight="1">
      <x:c r="A73" s="143" t="str">
        <x:v>FT-069</x:v>
      </x:c>
      <x:c r="B73" s="144" t="str">
        <x:v>命運</x:v>
      </x:c>
      <x:c r="C73" s="136" t="str">
        <x:v>跑者照護：受傷處理、身體修復與健康</x:v>
      </x:c>
      <x:c r="D73" s="136" t="str">
        <x:v>阿基里斯腱</x:v>
      </x:c>
      <x:c r="E73" s="136" t="str">
        <x:v>以漸進負荷重建彈性</x:v>
      </x:c>
      <x:c r="F73" s="136" t="str">
        <x:v>回跑先求頻率穩定</x:v>
      </x:c>
      <x:c r="G73" s="136" t="str">
        <x:v>肌腱適應需要規律、可恢復的刺激，而非一次長距離測試。
行動：以短平路跑走開始，總量穩定後再加入速度與坡。</x:v>
      </x:c>
      <x:c r="H73" s="136" t="str">
        <x:v>以短平路跑走開始，總量穩定後再加入速度與坡。</x:v>
      </x:c>
      <x:c r="I73" s="136" t="str">
        <x:v>回跑</x:v>
      </x:c>
      <x:c r="J73" s="144" t="str">
        <x:v>中</x:v>
      </x:c>
      <x:c r="K73" s="144" t="str">
        <x:v>一般</x:v>
      </x:c>
      <x:c r="L73" s="136" t="str">
        <x:v>修復值 +1</x:v>
      </x:c>
      <x:c r="M73" s="136" t="str">
        <x:v>若症狀持續、反覆或惡化，請由合格醫療專業評估。</x:v>
      </x:c>
      <x:c r="N73" s="154" t="n">
        <x:f>LEN(G73)</x:f>
        <x:v>52</x:v>
      </x:c>
      <x:c r="O73" s="144" t="str">
        <x:v>S030</x:v>
      </x:c>
      <x:c r="P73" s="136" t="str">
        <x:v>AAOS</x:v>
      </x:c>
      <x:c r="Q73" s="136" t="str">
        <x:v>Achilles Tendinitis</x:v>
      </x:c>
      <x:c r="R73" s="151" t="str">
        <x:v>https://orthoinfo.aaos.org/en/diseases--conditions/achilles-tendinitis/</x:v>
      </x:c>
      <x:c r="S73" s="148" t="str">
        <x:v>2026-07-27</x:v>
      </x:c>
    </x:row>
    <x:row r="74" ht="58" customHeight="1">
      <x:c r="A74" s="143" t="str">
        <x:v>FT-070</x:v>
      </x:c>
      <x:c r="B74" s="144" t="str">
        <x:v>命運</x:v>
      </x:c>
      <x:c r="C74" s="136" t="str">
        <x:v>跑者照護：受傷處理、身體修復與健康</x:v>
      </x:c>
      <x:c r="D74" s="136" t="str">
        <x:v>阿基里斯腱</x:v>
      </x:c>
      <x:c r="E74" s="136" t="str">
        <x:v>以漸進負荷重建彈性</x:v>
      </x:c>
      <x:c r="F74" s="136" t="str">
        <x:v>肌腱恢復看週月，不看兩天</x:v>
      </x:c>
      <x:c r="G74" s="136" t="str">
        <x:v>肌腱適應通常比心肺慢，短期不痛也不代表容量完全恢復。
行動：持續力量訓練並按數週趨勢進階，不因一堂好課跳級。</x:v>
      </x:c>
      <x:c r="H74" s="136" t="str">
        <x:v>持續力量訓練並按數週趨勢進階，不因一堂好課跳級。</x:v>
      </x:c>
      <x:c r="I74" s="136" t="str">
        <x:v>長期復健</x:v>
      </x:c>
      <x:c r="J74" s="144" t="str">
        <x:v>中</x:v>
      </x:c>
      <x:c r="K74" s="144" t="str">
        <x:v>一般</x:v>
      </x:c>
      <x:c r="L74" s="136" t="str">
        <x:v>修復值 +1</x:v>
      </x:c>
      <x:c r="M74" s="136" t="str">
        <x:v>若症狀持續、反覆或惡化，請由合格醫療專業評估。</x:v>
      </x:c>
      <x:c r="N74" s="154" t="n">
        <x:f>LEN(G74)</x:f>
        <x:v>54</x:v>
      </x:c>
      <x:c r="O74" s="144" t="str">
        <x:v>S030</x:v>
      </x:c>
      <x:c r="P74" s="136" t="str">
        <x:v>AAOS</x:v>
      </x:c>
      <x:c r="Q74" s="136" t="str">
        <x:v>Achilles Tendinitis</x:v>
      </x:c>
      <x:c r="R74" s="151" t="str">
        <x:v>https://orthoinfo.aaos.org/en/diseases--conditions/achilles-tendinitis/</x:v>
      </x:c>
      <x:c r="S74" s="148" t="str">
        <x:v>2026-07-27</x:v>
      </x:c>
    </x:row>
    <x:row r="75" ht="58" customHeight="1">
      <x:c r="A75" s="143" t="str">
        <x:v>FT-071</x:v>
      </x:c>
      <x:c r="B75" s="144" t="str">
        <x:v>命運</x:v>
      </x:c>
      <x:c r="C75" s="136" t="str">
        <x:v>跑者照護：受傷處理、身體修復與健康</x:v>
      </x:c>
      <x:c r="D75" s="136" t="str">
        <x:v>足踝與扭傷</x:v>
      </x:c>
      <x:c r="E75" s="136" t="str">
        <x:v>恢復承重、力量與平衡</x:v>
      </x:c>
      <x:c r="F75" s="136" t="str">
        <x:v>扭傷當下先停止測試</x:v>
      </x:c>
      <x:c r="G75" s="136" t="str">
        <x:v>反覆轉動或跳躍檢查會增加疼痛與腫脹。
行動：保護踝部、抬高並依需要適度壓迫。</x:v>
      </x:c>
      <x:c r="H75" s="136" t="str">
        <x:v>保護踝部、抬高並依需要適度壓迫。</x:v>
      </x:c>
      <x:c r="I75" s="136" t="str">
        <x:v>扭傷當下</x:v>
      </x:c>
      <x:c r="J75" s="144" t="str">
        <x:v>高</x:v>
      </x:c>
      <x:c r="K75" s="144" t="str">
        <x:v>停止運動</x:v>
      </x:c>
      <x:c r="L75" s="136" t="str">
        <x:v>停止跑步並處理：修復值 +2；本回合休息</x:v>
      </x:c>
      <x:c r="M75" s="136" t="str">
        <x:v>若症狀持續、反覆或惡化，請由合格醫療專業評估。</x:v>
      </x:c>
      <x:c r="N75" s="154" t="n">
        <x:f>LEN(G75)</x:f>
        <x:v>38</x:v>
      </x:c>
      <x:c r="O75" s="144" t="str">
        <x:v>S032</x:v>
      </x:c>
      <x:c r="P75" s="136" t="str">
        <x:v>AAOS</x:v>
      </x:c>
      <x:c r="Q75" s="136" t="str">
        <x:v>Sprained Ankle</x:v>
      </x:c>
      <x:c r="R75" s="151" t="str">
        <x:v>https://orthoinfo.aaos.org/en/diseases--conditions/sprained-ankle/</x:v>
      </x:c>
      <x:c r="S75" s="148" t="str">
        <x:v>2026-07-27</x:v>
      </x:c>
    </x:row>
    <x:row r="76" ht="58" customHeight="1">
      <x:c r="A76" s="143" t="str">
        <x:v>FT-072</x:v>
      </x:c>
      <x:c r="B76" s="144" t="str">
        <x:v>命運</x:v>
      </x:c>
      <x:c r="C76" s="136" t="str">
        <x:v>跑者照護：受傷處理、身體修復與健康</x:v>
      </x:c>
      <x:c r="D76" s="136" t="str">
        <x:v>足踝與扭傷</x:v>
      </x:c>
      <x:c r="E76" s="136" t="str">
        <x:v>恢復承重、力量與平衡</x:v>
      </x:c>
      <x:c r="F76" s="136" t="str">
        <x:v>走不了四步需評估骨折</x:v>
      </x:c>
      <x:c r="G76" s="136" t="str">
        <x:v>明顯骨性壓痛或無法承重可能需要影像檢查。
行動：不要硬走回終點，使用協助並儘快就醫。</x:v>
      </x:c>
      <x:c r="H76" s="136" t="str">
        <x:v>不要硬走回終點，使用協助並儘快就醫。</x:v>
      </x:c>
      <x:c r="I76" s="136" t="str">
        <x:v>踝傷後</x:v>
      </x:c>
      <x:c r="J76" s="144" t="str">
        <x:v>高</x:v>
      </x:c>
      <x:c r="K76" s="144" t="str">
        <x:v>停止運動</x:v>
      </x:c>
      <x:c r="L76" s="136" t="str">
        <x:v>停止跑步並處理：修復值 +2；本回合休息</x:v>
      </x:c>
      <x:c r="M76" s="136" t="str">
        <x:v>若症狀持續、反覆或惡化，請由合格醫療專業評估。</x:v>
      </x:c>
      <x:c r="N76" s="154" t="n">
        <x:f>LEN(G76)</x:f>
        <x:v>42</x:v>
      </x:c>
      <x:c r="O76" s="144" t="str">
        <x:v>S032</x:v>
      </x:c>
      <x:c r="P76" s="136" t="str">
        <x:v>AAOS</x:v>
      </x:c>
      <x:c r="Q76" s="136" t="str">
        <x:v>Sprained Ankle</x:v>
      </x:c>
      <x:c r="R76" s="151" t="str">
        <x:v>https://orthoinfo.aaos.org/en/diseases--conditions/sprained-ankle/</x:v>
      </x:c>
      <x:c r="S76" s="148" t="str">
        <x:v>2026-07-27</x:v>
      </x:c>
    </x:row>
    <x:row r="77" ht="58" customHeight="1">
      <x:c r="A77" s="143" t="str">
        <x:v>FT-073</x:v>
      </x:c>
      <x:c r="B77" s="144" t="str">
        <x:v>命運</x:v>
      </x:c>
      <x:c r="C77" s="136" t="str">
        <x:v>跑者照護：受傷處理、身體修復與健康</x:v>
      </x:c>
      <x:c r="D77" s="136" t="str">
        <x:v>足踝與扭傷</x:v>
      </x:c>
      <x:c r="E77" s="136" t="str">
        <x:v>恢復承重、力量與平衡</x:v>
      </x:c>
      <x:c r="F77" s="136" t="str">
        <x:v>早期適度承重可依疼痛進行</x:v>
      </x:c>
      <x:c r="G77" s="136" t="str">
        <x:v>排除骨折與嚴重傷害後，漸進承重有助恢復功能。
行動：先短距離走路，保持步態不跛，疼痛或腫脹增加就退階。</x:v>
      </x:c>
      <x:c r="H77" s="136" t="str">
        <x:v>先短距離走路，保持步態不跛，疼痛或腫脹增加就退階。</x:v>
      </x:c>
      <x:c r="I77" s="136" t="str">
        <x:v>扭傷恢復初期</x:v>
      </x:c>
      <x:c r="J77" s="144" t="str">
        <x:v>中</x:v>
      </x:c>
      <x:c r="K77" s="144" t="str">
        <x:v>一般</x:v>
      </x:c>
      <x:c r="L77" s="136" t="str">
        <x:v>修復值 +1</x:v>
      </x:c>
      <x:c r="M77" s="136" t="str">
        <x:v>若症狀持續、反覆或惡化，請由合格醫療專業評估。</x:v>
      </x:c>
      <x:c r="N77" s="154" t="n">
        <x:f>LEN(G77)</x:f>
        <x:v>51</x:v>
      </x:c>
      <x:c r="O77" s="144" t="str">
        <x:v>S032</x:v>
      </x:c>
      <x:c r="P77" s="136" t="str">
        <x:v>AAOS</x:v>
      </x:c>
      <x:c r="Q77" s="136" t="str">
        <x:v>Sprained Ankle</x:v>
      </x:c>
      <x:c r="R77" s="151" t="str">
        <x:v>https://orthoinfo.aaos.org/en/diseases--conditions/sprained-ankle/</x:v>
      </x:c>
      <x:c r="S77" s="148" t="str">
        <x:v>2026-07-27</x:v>
      </x:c>
    </x:row>
    <x:row r="78" ht="58" customHeight="1">
      <x:c r="A78" s="143" t="str">
        <x:v>FT-074</x:v>
      </x:c>
      <x:c r="B78" s="144" t="str">
        <x:v>命運</x:v>
      </x:c>
      <x:c r="C78" s="136" t="str">
        <x:v>跑者照護：受傷處理、身體修復與健康</x:v>
      </x:c>
      <x:c r="D78" s="136" t="str">
        <x:v>足踝與扭傷</x:v>
      </x:c>
      <x:c r="E78" s="136" t="str">
        <x:v>恢復承重、力量與平衡</x:v>
      </x:c>
      <x:c r="F78" s="136" t="str">
        <x:v>腫脹變少不等於穩定恢復</x:v>
      </x:c>
      <x:c r="G78" s="136" t="str">
        <x:v>韌帶與神經控制可能尚未恢復，即使外觀看起來正常。
行動：加入單腳站、提踵與方向控制，再考慮跑跳。</x:v>
      </x:c>
      <x:c r="H78" s="136" t="str">
        <x:v>加入單腳站、提踵與方向控制，再考慮跑跳。</x:v>
      </x:c>
      <x:c r="I78" s="136" t="str">
        <x:v>復健中期</x:v>
      </x:c>
      <x:c r="J78" s="144" t="str">
        <x:v>中</x:v>
      </x:c>
      <x:c r="K78" s="144" t="str">
        <x:v>一般</x:v>
      </x:c>
      <x:c r="L78" s="136" t="str">
        <x:v>修復值 +1</x:v>
      </x:c>
      <x:c r="M78" s="136" t="str">
        <x:v>若症狀持續、反覆或惡化，請由合格醫療專業評估。</x:v>
      </x:c>
      <x:c r="N78" s="154" t="n">
        <x:f>LEN(G78)</x:f>
        <x:v>48</x:v>
      </x:c>
      <x:c r="O78" s="144" t="str">
        <x:v>S032</x:v>
      </x:c>
      <x:c r="P78" s="136" t="str">
        <x:v>AAOS</x:v>
      </x:c>
      <x:c r="Q78" s="136" t="str">
        <x:v>Sprained Ankle</x:v>
      </x:c>
      <x:c r="R78" s="151" t="str">
        <x:v>https://orthoinfo.aaos.org/en/diseases--conditions/sprained-ankle/</x:v>
      </x:c>
      <x:c r="S78" s="148" t="str">
        <x:v>2026-07-27</x:v>
      </x:c>
    </x:row>
    <x:row r="79" ht="58" customHeight="1">
      <x:c r="A79" s="143" t="str">
        <x:v>FT-075</x:v>
      </x:c>
      <x:c r="B79" s="144" t="str">
        <x:v>命運</x:v>
      </x:c>
      <x:c r="C79" s="136" t="str">
        <x:v>跑者照護：受傷處理、身體修復與健康</x:v>
      </x:c>
      <x:c r="D79" s="136" t="str">
        <x:v>足踝與扭傷</x:v>
      </x:c>
      <x:c r="E79" s="136" t="str">
        <x:v>恢復承重、力量與平衡</x:v>
      </x:c>
      <x:c r="F79" s="136" t="str">
        <x:v>平衡訓練可降低再扭風險</x:v>
      </x:c>
      <x:c r="G79" s="136" t="str">
        <x:v>踝扭傷後本體感覺與反應可能下降。
行動：從穩定地面單腳站開始，再進階到擾動與運動專項。</x:v>
      </x:c>
      <x:c r="H79" s="136" t="str">
        <x:v>從穩定地面單腳站開始，再進階到擾動與運動專項。</x:v>
      </x:c>
      <x:c r="I79" s="136" t="str">
        <x:v>復健與預防</x:v>
      </x:c>
      <x:c r="J79" s="144" t="str">
        <x:v>中</x:v>
      </x:c>
      <x:c r="K79" s="144" t="str">
        <x:v>一般</x:v>
      </x:c>
      <x:c r="L79" s="136" t="str">
        <x:v>修復值 +1</x:v>
      </x:c>
      <x:c r="M79" s="136" t="str">
        <x:v>若症狀持續、反覆或惡化，請由合格醫療專業評估。</x:v>
      </x:c>
      <x:c r="N79" s="154" t="n">
        <x:f>LEN(G79)</x:f>
        <x:v>43</x:v>
      </x:c>
      <x:c r="O79" s="144" t="str">
        <x:v>S032</x:v>
      </x:c>
      <x:c r="P79" s="136" t="str">
        <x:v>AAOS</x:v>
      </x:c>
      <x:c r="Q79" s="136" t="str">
        <x:v>Sprained Ankle</x:v>
      </x:c>
      <x:c r="R79" s="151" t="str">
        <x:v>https://orthoinfo.aaos.org/en/diseases--conditions/sprained-ankle/</x:v>
      </x:c>
      <x:c r="S79" s="148" t="str">
        <x:v>2026-07-27</x:v>
      </x:c>
    </x:row>
    <x:row r="80" ht="58" customHeight="1">
      <x:c r="A80" s="143" t="str">
        <x:v>FT-076</x:v>
      </x:c>
      <x:c r="B80" s="144" t="str">
        <x:v>命運</x:v>
      </x:c>
      <x:c r="C80" s="136" t="str">
        <x:v>跑者照護：受傷處理、身體修復與健康</x:v>
      </x:c>
      <x:c r="D80" s="136" t="str">
        <x:v>足踝與扭傷</x:v>
      </x:c>
      <x:c r="E80" s="136" t="str">
        <x:v>恢復承重、力量與平衡</x:v>
      </x:c>
      <x:c r="F80" s="136" t="str">
        <x:v>護踝是工具，不是免死金牌</x:v>
      </x:c>
      <x:c r="G80" s="136" t="str">
        <x:v>護具可提供外部支撐，但不能取代力量、平衡與漸進負荷。
行動：高風險活動依專業建議使用，同時完成復健。</x:v>
      </x:c>
      <x:c r="H80" s="136" t="str">
        <x:v>高風險活動依專業建議使用，同時完成復健。</x:v>
      </x:c>
      <x:c r="I80" s="136" t="str">
        <x:v>回場初期</x:v>
      </x:c>
      <x:c r="J80" s="144" t="str">
        <x:v>中</x:v>
      </x:c>
      <x:c r="K80" s="144" t="str">
        <x:v>一般</x:v>
      </x:c>
      <x:c r="L80" s="136" t="str">
        <x:v>修復值 +1</x:v>
      </x:c>
      <x:c r="M80" s="136" t="str">
        <x:v>若症狀持續、反覆或惡化，請由合格醫療專業評估。</x:v>
      </x:c>
      <x:c r="N80" s="154" t="n">
        <x:f>LEN(G80)</x:f>
        <x:v>50</x:v>
      </x:c>
      <x:c r="O80" s="144" t="str">
        <x:v>S032</x:v>
      </x:c>
      <x:c r="P80" s="136" t="str">
        <x:v>AAOS</x:v>
      </x:c>
      <x:c r="Q80" s="136" t="str">
        <x:v>Sprained Ankle</x:v>
      </x:c>
      <x:c r="R80" s="151" t="str">
        <x:v>https://orthoinfo.aaos.org/en/diseases--conditions/sprained-ankle/</x:v>
      </x:c>
      <x:c r="S80" s="148" t="str">
        <x:v>2026-07-27</x:v>
      </x:c>
    </x:row>
    <x:row r="81" ht="58" customHeight="1">
      <x:c r="A81" s="143" t="str">
        <x:v>FT-077</x:v>
      </x:c>
      <x:c r="B81" s="144" t="str">
        <x:v>命運</x:v>
      </x:c>
      <x:c r="C81" s="136" t="str">
        <x:v>跑者照護：受傷處理、身體修復與健康</x:v>
      </x:c>
      <x:c r="D81" s="136" t="str">
        <x:v>足踝與扭傷</x:v>
      </x:c>
      <x:c r="E81" s="136" t="str">
        <x:v>恢復承重、力量與平衡</x:v>
      </x:c>
      <x:c r="F81" s="136" t="str">
        <x:v>跑步前先通過基本功能</x:v>
      </x:c>
      <x:c r="G81" s="136" t="str">
        <x:v>能走路不代表能承受跑步的反覆單腳衝擊。
行動：先達到無痛快走、單腳提踵與小跳，再開始跑走。</x:v>
      </x:c>
      <x:c r="H81" s="136" t="str">
        <x:v>先達到無痛快走、單腳提踵與小跳，再開始跑走。</x:v>
      </x:c>
      <x:c r="I81" s="136" t="str">
        <x:v>回跑前</x:v>
      </x:c>
      <x:c r="J81" s="144" t="str">
        <x:v>高</x:v>
      </x:c>
      <x:c r="K81" s="144" t="str">
        <x:v>一般</x:v>
      </x:c>
      <x:c r="L81" s="136" t="str">
        <x:v>健康值 +1；修復值 +1</x:v>
      </x:c>
      <x:c r="M81" s="136" t="str">
        <x:v>若症狀持續、反覆或惡化，請由合格醫療專業評估。</x:v>
      </x:c>
      <x:c r="N81" s="154" t="n">
        <x:f>LEN(G81)</x:f>
        <x:v>45</x:v>
      </x:c>
      <x:c r="O81" s="144" t="str">
        <x:v>S032</x:v>
      </x:c>
      <x:c r="P81" s="136" t="str">
        <x:v>AAOS</x:v>
      </x:c>
      <x:c r="Q81" s="136" t="str">
        <x:v>Sprained Ankle</x:v>
      </x:c>
      <x:c r="R81" s="151" t="str">
        <x:v>https://orthoinfo.aaos.org/en/diseases--conditions/sprained-ankle/</x:v>
      </x:c>
      <x:c r="S81" s="148" t="str">
        <x:v>2026-07-27</x:v>
      </x:c>
    </x:row>
    <x:row r="82" ht="58" customHeight="1">
      <x:c r="A82" s="143" t="str">
        <x:v>FT-078</x:v>
      </x:c>
      <x:c r="B82" s="144" t="str">
        <x:v>命運</x:v>
      </x:c>
      <x:c r="C82" s="136" t="str">
        <x:v>跑者照護：受傷處理、身體修復與健康</x:v>
      </x:c>
      <x:c r="D82" s="136" t="str">
        <x:v>足踝與扭傷</x:v>
      </x:c>
      <x:c r="E82" s="136" t="str">
        <x:v>恢復承重、力量與平衡</x:v>
      </x:c>
      <x:c r="F82" s="136" t="str">
        <x:v>不平地形最後再回來</x:v>
      </x:c>
      <x:c r="G82" s="136" t="str">
        <x:v>越野、路肩與急轉彎對踝部穩定要求更高。
行動：先平路直線，再加速度、轉向，最後才回到技術地形。</x:v>
      </x:c>
      <x:c r="H82" s="136" t="str">
        <x:v>先平路直線，再加速度、轉向，最後才回到技術地形。</x:v>
      </x:c>
      <x:c r="I82" s="136" t="str">
        <x:v>回跑進階</x:v>
      </x:c>
      <x:c r="J82" s="144" t="str">
        <x:v>中</x:v>
      </x:c>
      <x:c r="K82" s="144" t="str">
        <x:v>一般</x:v>
      </x:c>
      <x:c r="L82" s="136" t="str">
        <x:v>修復值 +1</x:v>
      </x:c>
      <x:c r="M82" s="136" t="str">
        <x:v>若症狀持續、反覆或惡化，請由合格醫療專業評估。</x:v>
      </x:c>
      <x:c r="N82" s="154" t="n">
        <x:f>LEN(G82)</x:f>
        <x:v>47</x:v>
      </x:c>
      <x:c r="O82" s="144" t="str">
        <x:v>S032</x:v>
      </x:c>
      <x:c r="P82" s="136" t="str">
        <x:v>AAOS</x:v>
      </x:c>
      <x:c r="Q82" s="136" t="str">
        <x:v>Sprained Ankle</x:v>
      </x:c>
      <x:c r="R82" s="151" t="str">
        <x:v>https://orthoinfo.aaos.org/en/diseases--conditions/sprained-ankle/</x:v>
      </x:c>
      <x:c r="S82" s="148" t="str">
        <x:v>2026-07-27</x:v>
      </x:c>
    </x:row>
    <x:row r="83" ht="58" customHeight="1">
      <x:c r="A83" s="143" t="str">
        <x:v>FT-079</x:v>
      </x:c>
      <x:c r="B83" s="144" t="str">
        <x:v>命運</x:v>
      </x:c>
      <x:c r="C83" s="136" t="str">
        <x:v>跑者照護：受傷處理、身體修復與健康</x:v>
      </x:c>
      <x:c r="D83" s="136" t="str">
        <x:v>足踝與扭傷</x:v>
      </x:c>
      <x:c r="E83" s="136" t="str">
        <x:v>恢復承重、力量與平衡</x:v>
      </x:c>
      <x:c r="F83" s="136" t="str">
        <x:v>反覆扭傷要找殘留不穩</x:v>
      </x:c>
      <x:c r="G83" s="136" t="str">
        <x:v>慢性踝不穩可能造成反覆『軟腳』，不是單純運氣差。
行動：接受功能評估並持續平衡與小腿力量訓練。</x:v>
      </x:c>
      <x:c r="H83" s="136" t="str">
        <x:v>接受功能評估並持續平衡與小腿力量訓練。</x:v>
      </x:c>
      <x:c r="I83" s="136" t="str">
        <x:v>多次扭傷者</x:v>
      </x:c>
      <x:c r="J83" s="144" t="str">
        <x:v>中</x:v>
      </x:c>
      <x:c r="K83" s="144" t="str">
        <x:v>一般</x:v>
      </x:c>
      <x:c r="L83" s="136" t="str">
        <x:v>修復值 +1</x:v>
      </x:c>
      <x:c r="M83" s="136" t="str">
        <x:v>若症狀持續、反覆或惡化，請由合格醫療專業評估。</x:v>
      </x:c>
      <x:c r="N83" s="154" t="n">
        <x:f>LEN(G83)</x:f>
        <x:v>47</x:v>
      </x:c>
      <x:c r="O83" s="144" t="str">
        <x:v>S032</x:v>
      </x:c>
      <x:c r="P83" s="136" t="str">
        <x:v>AAOS</x:v>
      </x:c>
      <x:c r="Q83" s="136" t="str">
        <x:v>Sprained Ankle</x:v>
      </x:c>
      <x:c r="R83" s="151" t="str">
        <x:v>https://orthoinfo.aaos.org/en/diseases--conditions/sprained-ankle/</x:v>
      </x:c>
      <x:c r="S83" s="148" t="str">
        <x:v>2026-07-27</x:v>
      </x:c>
    </x:row>
    <x:row r="84" ht="58" customHeight="1">
      <x:c r="A84" s="143" t="str">
        <x:v>FT-080</x:v>
      </x:c>
      <x:c r="B84" s="144" t="str">
        <x:v>命運</x:v>
      </x:c>
      <x:c r="C84" s="136" t="str">
        <x:v>跑者照護：受傷處理、身體修復與健康</x:v>
      </x:c>
      <x:c r="D84" s="136" t="str">
        <x:v>足踝與扭傷</x:v>
      </x:c>
      <x:c r="E84" s="136" t="str">
        <x:v>恢復承重、力量與平衡</x:v>
      </x:c>
      <x:c r="F84" s="136" t="str">
        <x:v>外踝以上疼痛別忽略</x:v>
      </x:c>
      <x:c r="G84" s="136" t="str">
        <x:v>高位踝扭傷或其他傷害恢復期可能更長。
行動：疼痛位置偏高、夾壓痛或走路困難時儘快評估。</x:v>
      </x:c>
      <x:c r="H84" s="136" t="str">
        <x:v>疼痛位置偏高、夾壓痛或走路困難時儘快評估。</x:v>
      </x:c>
      <x:c r="I84" s="136" t="str">
        <x:v>非典型踝痛</x:v>
      </x:c>
      <x:c r="J84" s="144" t="str">
        <x:v>高</x:v>
      </x:c>
      <x:c r="K84" s="144" t="str">
        <x:v>停止運動</x:v>
      </x:c>
      <x:c r="L84" s="136" t="str">
        <x:v>停止跑步並處理：修復值 +2；本回合休息</x:v>
      </x:c>
      <x:c r="M84" s="136" t="str">
        <x:v>若症狀持續、反覆或惡化，請由合格醫療專業評估。</x:v>
      </x:c>
      <x:c r="N84" s="154" t="n">
        <x:f>LEN(G84)</x:f>
        <x:v>43</x:v>
      </x:c>
      <x:c r="O84" s="144" t="str">
        <x:v>S032</x:v>
      </x:c>
      <x:c r="P84" s="136" t="str">
        <x:v>AAOS</x:v>
      </x:c>
      <x:c r="Q84" s="136" t="str">
        <x:v>Sprained Ankle</x:v>
      </x:c>
      <x:c r="R84" s="151" t="str">
        <x:v>https://orthoinfo.aaos.org/en/diseases--conditions/sprained-ankle/</x:v>
      </x:c>
      <x:c r="S84" s="148" t="str">
        <x:v>2026-07-27</x:v>
      </x:c>
    </x:row>
    <x:row r="85" ht="58" customHeight="1">
      <x:c r="A85" s="143" t="str">
        <x:v>FT-081</x:v>
      </x:c>
      <x:c r="B85" s="144" t="str">
        <x:v>命運</x:v>
      </x:c>
      <x:c r="C85" s="136" t="str">
        <x:v>跑者照護：受傷處理、身體修復與健康</x:v>
      </x:c>
      <x:c r="D85" s="136" t="str">
        <x:v>抽筋與肌肉傷</x:v>
      </x:c>
      <x:c r="E85" s="136" t="str">
        <x:v>先停止刺激，再找誘因</x:v>
      </x:c>
      <x:c r="F85" s="136" t="str">
        <x:v>抽筋先停下並溫和伸展</x:v>
      </x:c>
      <x:c r="G85" s="136" t="str">
        <x:v>運動相關抽筋多與神經肌肉疲勞有關，不一定只是缺鹽。
行動：停止跑步，溫和拉長與按摩痙攣肌肉，恢復後先走路。</x:v>
      </x:c>
      <x:c r="H85" s="136" t="str">
        <x:v>停止跑步，溫和拉長與按摩痙攣肌肉，恢復後先走路。</x:v>
      </x:c>
      <x:c r="I85" s="136" t="str">
        <x:v>抽筋當下</x:v>
      </x:c>
      <x:c r="J85" s="144" t="str">
        <x:v>中</x:v>
      </x:c>
      <x:c r="K85" s="144" t="str">
        <x:v>一般</x:v>
      </x:c>
      <x:c r="L85" s="136" t="str">
        <x:v>修復值 +1</x:v>
      </x:c>
      <x:c r="M85" s="136" t="str">
        <x:v>若症狀持續、反覆或惡化，請由合格醫療專業評估。</x:v>
      </x:c>
      <x:c r="N85" s="154" t="n">
        <x:f>LEN(G85)</x:f>
        <x:v>53</x:v>
      </x:c>
      <x:c r="O85" s="144" t="str">
        <x:v>S046</x:v>
      </x:c>
      <x:c r="P85" s="136" t="str">
        <x:v>Journal of Athletic Training／PubMed</x:v>
      </x:c>
      <x:c r="Q85" s="136" t="str">
        <x:v>Exercise-associated muscle cramps review</x:v>
      </x:c>
      <x:c r="R85" s="151" t="str">
        <x:v>https://pubmed.ncbi.nlm.nih.gov/34185846/</x:v>
      </x:c>
      <x:c r="S85" s="148" t="str">
        <x:v>2026-07-27</x:v>
      </x:c>
    </x:row>
    <x:row r="86" ht="58" customHeight="1">
      <x:c r="A86" s="143" t="str">
        <x:v>FT-082</x:v>
      </x:c>
      <x:c r="B86" s="144" t="str">
        <x:v>命運</x:v>
      </x:c>
      <x:c r="C86" s="136" t="str">
        <x:v>跑者照護：受傷處理、身體修復與健康</x:v>
      </x:c>
      <x:c r="D86" s="136" t="str">
        <x:v>抽筋與肌肉傷</x:v>
      </x:c>
      <x:c r="E86" s="136" t="str">
        <x:v>先停止刺激，再找誘因</x:v>
      </x:c>
      <x:c r="F86" s="136" t="str">
        <x:v>鹽不是所有抽筋的解答</x:v>
      </x:c>
      <x:c r="G86" s="136" t="str">
        <x:v>單純猛吃鹽無法處理疲勞、配速過快或訓練不足。
行動：回顧強度、時長、天候與補給；鹽分依個人汗量規劃。</x:v>
      </x:c>
      <x:c r="H86" s="136" t="str">
        <x:v>回顧強度、時長、天候與補給；鹽分依個人汗量規劃。</x:v>
      </x:c>
      <x:c r="I86" s="136" t="str">
        <x:v>抽筋後</x:v>
      </x:c>
      <x:c r="J86" s="144" t="str">
        <x:v>中</x:v>
      </x:c>
      <x:c r="K86" s="144" t="str">
        <x:v>一般</x:v>
      </x:c>
      <x:c r="L86" s="136" t="str">
        <x:v>修復值 +1</x:v>
      </x:c>
      <x:c r="M86" s="136" t="str">
        <x:v>若症狀持續、反覆或惡化，請由合格醫療專業評估。</x:v>
      </x:c>
      <x:c r="N86" s="154" t="n">
        <x:f>LEN(G86)</x:f>
        <x:v>50</x:v>
      </x:c>
      <x:c r="O86" s="144" t="str">
        <x:v>S046</x:v>
      </x:c>
      <x:c r="P86" s="136" t="str">
        <x:v>Journal of Athletic Training／PubMed</x:v>
      </x:c>
      <x:c r="Q86" s="136" t="str">
        <x:v>Exercise-associated muscle cramps review</x:v>
      </x:c>
      <x:c r="R86" s="151" t="str">
        <x:v>https://pubmed.ncbi.nlm.nih.gov/34185846/</x:v>
      </x:c>
      <x:c r="S86" s="148" t="str">
        <x:v>2026-07-27</x:v>
      </x:c>
    </x:row>
    <x:row r="87" ht="58" customHeight="1">
      <x:c r="A87" s="143" t="str">
        <x:v>FT-083</x:v>
      </x:c>
      <x:c r="B87" s="144" t="str">
        <x:v>命運</x:v>
      </x:c>
      <x:c r="C87" s="136" t="str">
        <x:v>跑者照護：受傷處理、身體修復與健康</x:v>
      </x:c>
      <x:c r="D87" s="136" t="str">
        <x:v>抽筋與肌肉傷</x:v>
      </x:c>
      <x:c r="E87" s="136" t="str">
        <x:v>先停止刺激，再找誘因</x:v>
      </x:c>
      <x:c r="F87" s="136" t="str">
        <x:v>頻繁抽筋先降速度</x:v>
      </x:c>
      <x:c r="G87" s="136" t="str">
        <x:v>比平常更快或更久會提高局部疲勞，常在比賽後段出現。
行動：下次從更保守配速起跑，並強化常抽筋肌群。</x:v>
      </x:c>
      <x:c r="H87" s="136" t="str">
        <x:v>下次從更保守配速起跑，並強化常抽筋肌群。</x:v>
      </x:c>
      <x:c r="I87" s="136" t="str">
        <x:v>反覆抽筋</x:v>
      </x:c>
      <x:c r="J87" s="144" t="str">
        <x:v>中</x:v>
      </x:c>
      <x:c r="K87" s="144" t="str">
        <x:v>一般</x:v>
      </x:c>
      <x:c r="L87" s="136" t="str">
        <x:v>修復值 +1</x:v>
      </x:c>
      <x:c r="M87" s="136" t="str">
        <x:v>若症狀持續、反覆或惡化，請由合格醫療專業評估。</x:v>
      </x:c>
      <x:c r="N87" s="154" t="n">
        <x:f>LEN(G87)</x:f>
        <x:v>49</x:v>
      </x:c>
      <x:c r="O87" s="144" t="str">
        <x:v>S046</x:v>
      </x:c>
      <x:c r="P87" s="136" t="str">
        <x:v>Journal of Athletic Training／PubMed</x:v>
      </x:c>
      <x:c r="Q87" s="136" t="str">
        <x:v>Exercise-associated muscle cramps review</x:v>
      </x:c>
      <x:c r="R87" s="151" t="str">
        <x:v>https://pubmed.ncbi.nlm.nih.gov/34185846/</x:v>
      </x:c>
      <x:c r="S87" s="148" t="str">
        <x:v>2026-07-27</x:v>
      </x:c>
    </x:row>
    <x:row r="88" ht="58" customHeight="1">
      <x:c r="A88" s="143" t="str">
        <x:v>FT-084</x:v>
      </x:c>
      <x:c r="B88" s="144" t="str">
        <x:v>命運</x:v>
      </x:c>
      <x:c r="C88" s="136" t="str">
        <x:v>跑者照護：受傷處理、身體修復與健康</x:v>
      </x:c>
      <x:c r="D88" s="136" t="str">
        <x:v>抽筋與肌肉傷</x:v>
      </x:c>
      <x:c r="E88" s="136" t="str">
        <x:v>先停止刺激，再找誘因</x:v>
      </x:c>
      <x:c r="F88" s="136" t="str">
        <x:v>小腿突然刺痛可能是拉傷</x:v>
      </x:c>
      <x:c r="G88" s="136" t="str">
        <x:v>突然局部銳痛、踩地痛或後續瘀青，不像一般抽筋可快速緩解。
行動：停止跑步、保護患部並依嚴重度評估。</x:v>
      </x:c>
      <x:c r="H88" s="136" t="str">
        <x:v>停止跑步、保護患部並依嚴重度評估。</x:v>
      </x:c>
      <x:c r="I88" s="136" t="str">
        <x:v>急性小腿痛</x:v>
      </x:c>
      <x:c r="J88" s="144" t="str">
        <x:v>高</x:v>
      </x:c>
      <x:c r="K88" s="144" t="str">
        <x:v>停止運動</x:v>
      </x:c>
      <x:c r="L88" s="136" t="str">
        <x:v>停止跑步並處理：修復值 +2；本回合休息</x:v>
      </x:c>
      <x:c r="M88" s="136" t="str">
        <x:v>若症狀持續、反覆或惡化，請由合格醫療專業評估。</x:v>
      </x:c>
      <x:c r="N88" s="154" t="n">
        <x:f>LEN(G88)</x:f>
        <x:v>49</x:v>
      </x:c>
      <x:c r="O88" s="144" t="str">
        <x:v>S025</x:v>
      </x:c>
      <x:c r="P88" s="136" t="str">
        <x:v>AAOS</x:v>
      </x:c>
      <x:c r="Q88" s="136" t="str">
        <x:v>Sprains, Strains and Other Soft-Tissue Injuries</x:v>
      </x:c>
      <x:c r="R88" s="151" t="str">
        <x:v>https://orthoinfo.aaos.org/en/diseases--conditions/sprains-strains-and-other-soft-tissue-injuries/</x:v>
      </x:c>
      <x:c r="S88" s="148" t="str">
        <x:v>2026-07-27</x:v>
      </x:c>
    </x:row>
    <x:row r="89" ht="58" customHeight="1">
      <x:c r="A89" s="143" t="str">
        <x:v>FT-085</x:v>
      </x:c>
      <x:c r="B89" s="144" t="str">
        <x:v>命運</x:v>
      </x:c>
      <x:c r="C89" s="136" t="str">
        <x:v>跑者照護：受傷處理、身體修復與健康</x:v>
      </x:c>
      <x:c r="D89" s="136" t="str">
        <x:v>抽筋與肌肉傷</x:v>
      </x:c>
      <x:c r="E89" s="136" t="str">
        <x:v>先停止刺激，再找誘因</x:v>
      </x:c>
      <x:c r="F89" s="136" t="str">
        <x:v>拉傷初期不要大力拉開</x:v>
      </x:c>
      <x:c r="G89" s="136" t="str">
        <x:v>受傷纖維在急性期反覆強拉可能增加疼痛。
行動：先用舒適範圍活動，等疼痛下降後再漸進伸展與力量。</x:v>
      </x:c>
      <x:c r="H89" s="136" t="str">
        <x:v>先用舒適範圍活動，等疼痛下降後再漸進伸展與力量。</x:v>
      </x:c>
      <x:c r="I89" s="136" t="str">
        <x:v>拉傷初期</x:v>
      </x:c>
      <x:c r="J89" s="144" t="str">
        <x:v>高</x:v>
      </x:c>
      <x:c r="K89" s="144" t="str">
        <x:v>留意</x:v>
      </x:c>
      <x:c r="L89" s="136" t="str">
        <x:v>做出正確照護：修復值 +1</x:v>
      </x:c>
      <x:c r="M89" s="136" t="str">
        <x:v>若症狀持續、反覆或惡化，請由合格醫療專業評估。</x:v>
      </x:c>
      <x:c r="N89" s="154" t="n">
        <x:f>LEN(G89)</x:f>
        <x:v>47</x:v>
      </x:c>
      <x:c r="O89" s="144" t="str">
        <x:v>S025</x:v>
      </x:c>
      <x:c r="P89" s="136" t="str">
        <x:v>AAOS</x:v>
      </x:c>
      <x:c r="Q89" s="136" t="str">
        <x:v>Sprains, Strains and Other Soft-Tissue Injuries</x:v>
      </x:c>
      <x:c r="R89" s="151" t="str">
        <x:v>https://orthoinfo.aaos.org/en/diseases--conditions/sprains-strains-and-other-soft-tissue-injuries/</x:v>
      </x:c>
      <x:c r="S89" s="148" t="str">
        <x:v>2026-07-27</x:v>
      </x:c>
    </x:row>
    <x:row r="90" ht="58" customHeight="1">
      <x:c r="A90" s="143" t="str">
        <x:v>FT-086</x:v>
      </x:c>
      <x:c r="B90" s="144" t="str">
        <x:v>命運</x:v>
      </x:c>
      <x:c r="C90" s="136" t="str">
        <x:v>跑者照護：受傷處理、身體修復與健康</x:v>
      </x:c>
      <x:c r="D90" s="136" t="str">
        <x:v>抽筋與肌肉傷</x:v>
      </x:c>
      <x:c r="E90" s="136" t="str">
        <x:v>先停止刺激，再找誘因</x:v>
      </x:c>
      <x:c r="F90" s="136" t="str">
        <x:v>瘀青與力量下降代表較重</x:v>
      </x:c>
      <x:c r="G90" s="136" t="str">
        <x:v>廣泛瘀青、凹陷或無法正常踮腳可能是較大範圍損傷。
行動：停止承重測試並安排醫療評估。</x:v>
      </x:c>
      <x:c r="H90" s="136" t="str">
        <x:v>停止承重測試並安排醫療評估。</x:v>
      </x:c>
      <x:c r="I90" s="136" t="str">
        <x:v>肌肉傷後</x:v>
      </x:c>
      <x:c r="J90" s="144" t="str">
        <x:v>高</x:v>
      </x:c>
      <x:c r="K90" s="144" t="str">
        <x:v>停止運動</x:v>
      </x:c>
      <x:c r="L90" s="136" t="str">
        <x:v>停止跑步並處理：修復值 +2；本回合休息</x:v>
      </x:c>
      <x:c r="M90" s="136" t="str">
        <x:v>若症狀持續、反覆或惡化，請由合格醫療專業評估。</x:v>
      </x:c>
      <x:c r="N90" s="154" t="n">
        <x:f>LEN(G90)</x:f>
        <x:v>42</x:v>
      </x:c>
      <x:c r="O90" s="144" t="str">
        <x:v>S025</x:v>
      </x:c>
      <x:c r="P90" s="136" t="str">
        <x:v>AAOS</x:v>
      </x:c>
      <x:c r="Q90" s="136" t="str">
        <x:v>Sprains, Strains and Other Soft-Tissue Injuries</x:v>
      </x:c>
      <x:c r="R90" s="151" t="str">
        <x:v>https://orthoinfo.aaos.org/en/diseases--conditions/sprains-strains-and-other-soft-tissue-injuries/</x:v>
      </x:c>
      <x:c r="S90" s="148" t="str">
        <x:v>2026-07-27</x:v>
      </x:c>
    </x:row>
    <x:row r="91" ht="58" customHeight="1">
      <x:c r="A91" s="143" t="str">
        <x:v>FT-087</x:v>
      </x:c>
      <x:c r="B91" s="144" t="str">
        <x:v>命運</x:v>
      </x:c>
      <x:c r="C91" s="136" t="str">
        <x:v>跑者照護：受傷處理、身體修復與健康</x:v>
      </x:c>
      <x:c r="D91" s="136" t="str">
        <x:v>抽筋與肌肉傷</x:v>
      </x:c>
      <x:c r="E91" s="136" t="str">
        <x:v>先停止刺激，再找誘因</x:v>
      </x:c>
      <x:c r="F91" s="136" t="str">
        <x:v>恢復要從等長到動態</x:v>
      </x:c>
      <x:c r="G91" s="136" t="str">
        <x:v>肌肉需要逐步重新承受縮短、拉長與快速力量。
行動：先做無痛等長，再進到慢速提踵、單腳與跑步專項。</x:v>
      </x:c>
      <x:c r="H91" s="136" t="str">
        <x:v>先做無痛等長，再進到慢速提踵、單腳與跑步專項。</x:v>
      </x:c>
      <x:c r="I91" s="136" t="str">
        <x:v>復健期</x:v>
      </x:c>
      <x:c r="J91" s="144" t="str">
        <x:v>中</x:v>
      </x:c>
      <x:c r="K91" s="144" t="str">
        <x:v>一般</x:v>
      </x:c>
      <x:c r="L91" s="136" t="str">
        <x:v>修復值 +1</x:v>
      </x:c>
      <x:c r="M91" s="136" t="str">
        <x:v>若症狀持續、反覆或惡化，請由合格醫療專業評估。</x:v>
      </x:c>
      <x:c r="N91" s="154" t="n">
        <x:f>LEN(G91)</x:f>
        <x:v>48</x:v>
      </x:c>
      <x:c r="O91" s="144" t="str">
        <x:v>S025</x:v>
      </x:c>
      <x:c r="P91" s="136" t="str">
        <x:v>AAOS</x:v>
      </x:c>
      <x:c r="Q91" s="136" t="str">
        <x:v>Sprains, Strains and Other Soft-Tissue Injuries</x:v>
      </x:c>
      <x:c r="R91" s="151" t="str">
        <x:v>https://orthoinfo.aaos.org/en/diseases--conditions/sprains-strains-and-other-soft-tissue-injuries/</x:v>
      </x:c>
      <x:c r="S91" s="148" t="str">
        <x:v>2026-07-27</x:v>
      </x:c>
    </x:row>
    <x:row r="92" ht="58" customHeight="1">
      <x:c r="A92" s="143" t="str">
        <x:v>FT-088</x:v>
      </x:c>
      <x:c r="B92" s="144" t="str">
        <x:v>命運</x:v>
      </x:c>
      <x:c r="C92" s="136" t="str">
        <x:v>跑者照護：受傷處理、身體修復與健康</x:v>
      </x:c>
      <x:c r="D92" s="136" t="str">
        <x:v>抽筋與肌肉傷</x:v>
      </x:c>
      <x:c r="E92" s="136" t="str">
        <x:v>先停止刺激，再找誘因</x:v>
      </x:c>
      <x:c r="F92" s="136" t="str">
        <x:v>高溫抽筋同時看熱傷害</x:v>
      </x:c>
      <x:c r="G92" s="136" t="str">
        <x:v>抽筋若伴隨頭痛、噁心、虛弱或意識改變，可能不是單純局部問題。
行動：移到陰涼處降溫並停止運動；意識異常立即 119。</x:v>
      </x:c>
      <x:c r="H92" s="136" t="str">
        <x:v>移到陰涼處降溫並停止運動；意識異常立即 119。</x:v>
      </x:c>
      <x:c r="I92" s="136" t="str">
        <x:v>熱天抽筋</x:v>
      </x:c>
      <x:c r="J92" s="144" t="str">
        <x:v>高</x:v>
      </x:c>
      <x:c r="K92" s="144" t="str">
        <x:v>緊急</x:v>
      </x:c>
      <x:c r="L92" s="136" t="str">
        <x:v>立即停止並求助：健康值保全；本回合休息</x:v>
      </x:c>
      <x:c r="M92" s="136" t="str">
        <x:v>若症狀持續、反覆或惡化，請由合格醫療專業評估。</x:v>
      </x:c>
      <x:c r="N92" s="154" t="n">
        <x:f>LEN(G92)</x:f>
        <x:v>58</x:v>
      </x:c>
      <x:c r="O92" s="144" t="str">
        <x:v>S035</x:v>
      </x:c>
      <x:c r="P92" s="136" t="str">
        <x:v>美國疾病管制與預防中心（CDC/NIOSH）</x:v>
      </x:c>
      <x:c r="Q92" s="136" t="str">
        <x:v>Heat-related Illnesses</x:v>
      </x:c>
      <x:c r="R92" s="151" t="str">
        <x:v>https://www.cdc.gov/niosh/heat-stress/about/illnesses.html</x:v>
      </x:c>
      <x:c r="S92" s="148" t="str">
        <x:v>2026-07-27</x:v>
      </x:c>
    </x:row>
    <x:row r="93" ht="58" customHeight="1">
      <x:c r="A93" s="143" t="str">
        <x:v>FT-089</x:v>
      </x:c>
      <x:c r="B93" s="144" t="str">
        <x:v>命運</x:v>
      </x:c>
      <x:c r="C93" s="136" t="str">
        <x:v>跑者照護：受傷處理、身體修復與健康</x:v>
      </x:c>
      <x:c r="D93" s="136" t="str">
        <x:v>抽筋與肌肉傷</x:v>
      </x:c>
      <x:c r="E93" s="136" t="str">
        <x:v>先停止刺激，再找誘因</x:v>
      </x:c>
      <x:c r="F93" s="136" t="str">
        <x:v>夜間抽筋也要看疾病與藥物</x:v>
      </x:c>
      <x:c r="G93" s="136" t="str">
        <x:v>反覆夜間抽筋可能與訓練外因素有關。
行動：記錄頻率、用藥與伴隨麻木無力，持續時諮詢醫療人員。</x:v>
      </x:c>
      <x:c r="H93" s="136" t="str">
        <x:v>記錄頻率、用藥與伴隨麻木無力，持續時諮詢醫療人員。</x:v>
      </x:c>
      <x:c r="I93" s="136" t="str">
        <x:v>非運動時抽筋</x:v>
      </x:c>
      <x:c r="J93" s="144" t="str">
        <x:v>中</x:v>
      </x:c>
      <x:c r="K93" s="144" t="str">
        <x:v>留意</x:v>
      </x:c>
      <x:c r="L93" s="136" t="str">
        <x:v>做出正確照護：修復值 +1</x:v>
      </x:c>
      <x:c r="M93" s="136" t="str">
        <x:v>若症狀持續、反覆或惡化，請由合格醫療專業評估。</x:v>
      </x:c>
      <x:c r="N93" s="154" t="n">
        <x:f>LEN(G93)</x:f>
        <x:v>46</x:v>
      </x:c>
      <x:c r="O93" s="144" t="str">
        <x:v>S067</x:v>
      </x:c>
      <x:c r="P93" s="136" t="str">
        <x:v>AAOS</x:v>
      </x:c>
      <x:c r="Q93" s="136" t="str">
        <x:v>Muscle Cramps</x:v>
      </x:c>
      <x:c r="R93" s="151" t="str">
        <x:v>https://orthoinfo.aaos.org/en/diseases--conditions/muscle-cramps</x:v>
      </x:c>
      <x:c r="S93" s="148" t="str">
        <x:v>2026-07-27</x:v>
      </x:c>
    </x:row>
    <x:row r="94" ht="58" customHeight="1">
      <x:c r="A94" s="143" t="str">
        <x:v>FT-090</x:v>
      </x:c>
      <x:c r="B94" s="144" t="str">
        <x:v>命運</x:v>
      </x:c>
      <x:c r="C94" s="136" t="str">
        <x:v>跑者照護：受傷處理、身體修復與健康</x:v>
      </x:c>
      <x:c r="D94" s="136" t="str">
        <x:v>抽筋與肌肉傷</x:v>
      </x:c>
      <x:c r="E94" s="136" t="str">
        <x:v>先停止刺激，再找誘因</x:v>
      </x:c>
      <x:c r="F94" s="136" t="str">
        <x:v>預防靠專項耐力與配速</x:v>
      </x:c>
      <x:c r="G94" s="136" t="str">
        <x:v>單靠拉筋不一定防抽筋；讓肌肉適應比賽強度與時長更關鍵。
行動：逐步增加長跑、坡度與肌力，並避免起跑過快。</x:v>
      </x:c>
      <x:c r="H94" s="136" t="str">
        <x:v>逐步增加長跑、坡度與肌力，並避免起跑過快。</x:v>
      </x:c>
      <x:c r="I94" s="136" t="str">
        <x:v>賽前訓練</x:v>
      </x:c>
      <x:c r="J94" s="144" t="str">
        <x:v>中</x:v>
      </x:c>
      <x:c r="K94" s="144" t="str">
        <x:v>一般</x:v>
      </x:c>
      <x:c r="L94" s="136" t="str">
        <x:v>修復值 +1</x:v>
      </x:c>
      <x:c r="M94" s="136" t="str">
        <x:v>若症狀持續、反覆或惡化，請由合格醫療專業評估。</x:v>
      </x:c>
      <x:c r="N94" s="154" t="n">
        <x:f>LEN(G94)</x:f>
        <x:v>52</x:v>
      </x:c>
      <x:c r="O94" s="144" t="str">
        <x:v>S046</x:v>
      </x:c>
      <x:c r="P94" s="136" t="str">
        <x:v>Journal of Athletic Training／PubMed</x:v>
      </x:c>
      <x:c r="Q94" s="136" t="str">
        <x:v>Exercise-associated muscle cramps review</x:v>
      </x:c>
      <x:c r="R94" s="151" t="str">
        <x:v>https://pubmed.ncbi.nlm.nih.gov/34185846/</x:v>
      </x:c>
      <x:c r="S94" s="148" t="str">
        <x:v>2026-07-27</x:v>
      </x:c>
    </x:row>
    <x:row r="95" ht="58" customHeight="1">
      <x:c r="A95" s="143" t="str">
        <x:v>FT-091</x:v>
      </x:c>
      <x:c r="B95" s="144" t="str">
        <x:v>命運</x:v>
      </x:c>
      <x:c r="C95" s="136" t="str">
        <x:v>跑者照護：受傷處理、身體修復與健康</x:v>
      </x:c>
      <x:c r="D95" s="136" t="str">
        <x:v>大腿後側與臀部</x:v>
      </x:c>
      <x:c r="E95" s="136" t="str">
        <x:v>重建高速伸縮能力</x:v>
      </x:c>
      <x:c r="F95" s="136" t="str">
        <x:v>後大腿啪痛要立即停</x:v>
      </x:c>
      <x:c r="G95" s="136" t="str">
        <x:v>衝刺時突然後大腿銳痛、像被打到，可能是腿後肌拉傷。
行動：停止跑步，避免當場拉筋測試，依功能下降程度就醫。</x:v>
      </x:c>
      <x:c r="H95" s="136" t="str">
        <x:v>停止跑步，避免當場拉筋測試，依功能下降程度就醫。</x:v>
      </x:c>
      <x:c r="I95" s="136" t="str">
        <x:v>速度課中</x:v>
      </x:c>
      <x:c r="J95" s="144" t="str">
        <x:v>高</x:v>
      </x:c>
      <x:c r="K95" s="144" t="str">
        <x:v>停止運動</x:v>
      </x:c>
      <x:c r="L95" s="136" t="str">
        <x:v>停止跑步並處理：修復值 +2；本回合休息</x:v>
      </x:c>
      <x:c r="M95" s="136" t="str">
        <x:v>若症狀持續、反覆或惡化，請由合格醫療專業評估。</x:v>
      </x:c>
      <x:c r="N95" s="154" t="n">
        <x:f>LEN(G95)</x:f>
        <x:v>53</x:v>
      </x:c>
      <x:c r="O95" s="144" t="str">
        <x:v>S033</x:v>
      </x:c>
      <x:c r="P95" s="136" t="str">
        <x:v>AAOS</x:v>
      </x:c>
      <x:c r="Q95" s="136" t="str">
        <x:v>Hamstring Muscle Injuries</x:v>
      </x:c>
      <x:c r="R95" s="151" t="str">
        <x:v>https://orthoinfo.aaos.org/en/diseases--conditions/hamstring-muscle-injuries/</x:v>
      </x:c>
      <x:c r="S95" s="148" t="str">
        <x:v>2026-07-27</x:v>
      </x:c>
    </x:row>
    <x:row r="96" ht="58" customHeight="1">
      <x:c r="A96" s="143" t="str">
        <x:v>FT-092</x:v>
      </x:c>
      <x:c r="B96" s="144" t="str">
        <x:v>命運</x:v>
      </x:c>
      <x:c r="C96" s="136" t="str">
        <x:v>跑者照護：受傷處理、身體修復與健康</x:v>
      </x:c>
      <x:c r="D96" s="136" t="str">
        <x:v>大腿後側與臀部</x:v>
      </x:c>
      <x:c r="E96" s="136" t="str">
        <x:v>重建高速伸縮能力</x:v>
      </x:c>
      <x:c r="F96" s="136" t="str">
        <x:v>瘀青可能延後出現</x:v>
      </x:c>
      <x:c r="G96" s="136" t="str">
        <x:v>腿後肌損傷的瘀青與腫脹可能在數小時到數天後顯現。
行動：前幾天持續觀察範圍、走路與力量變化。</x:v>
      </x:c>
      <x:c r="H96" s="136" t="str">
        <x:v>前幾天持續觀察範圍、走路與力量變化。</x:v>
      </x:c>
      <x:c r="I96" s="136" t="str">
        <x:v>拉傷後</x:v>
      </x:c>
      <x:c r="J96" s="144" t="str">
        <x:v>中</x:v>
      </x:c>
      <x:c r="K96" s="144" t="str">
        <x:v>一般</x:v>
      </x:c>
      <x:c r="L96" s="136" t="str">
        <x:v>修復值 +1</x:v>
      </x:c>
      <x:c r="M96" s="136" t="str">
        <x:v>若症狀持續、反覆或惡化，請由合格醫療專業評估。</x:v>
      </x:c>
      <x:c r="N96" s="154" t="n">
        <x:f>LEN(G96)</x:f>
        <x:v>46</x:v>
      </x:c>
      <x:c r="O96" s="144" t="str">
        <x:v>S033</x:v>
      </x:c>
      <x:c r="P96" s="136" t="str">
        <x:v>AAOS</x:v>
      </x:c>
      <x:c r="Q96" s="136" t="str">
        <x:v>Hamstring Muscle Injuries</x:v>
      </x:c>
      <x:c r="R96" s="151" t="str">
        <x:v>https://orthoinfo.aaos.org/en/diseases--conditions/hamstring-muscle-injuries/</x:v>
      </x:c>
      <x:c r="S96" s="148" t="str">
        <x:v>2026-07-27</x:v>
      </x:c>
    </x:row>
    <x:row r="97" ht="58" customHeight="1">
      <x:c r="A97" s="143" t="str">
        <x:v>FT-093</x:v>
      </x:c>
      <x:c r="B97" s="144" t="str">
        <x:v>命運</x:v>
      </x:c>
      <x:c r="C97" s="136" t="str">
        <x:v>跑者照護：受傷處理、身體修復與健康</x:v>
      </x:c>
      <x:c r="D97" s="136" t="str">
        <x:v>大腿後側與臀部</x:v>
      </x:c>
      <x:c r="E97" s="136" t="str">
        <x:v>重建高速伸縮能力</x:v>
      </x:c>
      <x:c r="F97" s="136" t="str">
        <x:v>先恢復正常走路</x:v>
      </x:c>
      <x:c r="G97" s="136" t="str">
        <x:v>走路仍跛時直接跑步，通常超過組織可承受負荷。
行動：先達到無痛快走，再開始短跑走交替。</x:v>
      </x:c>
      <x:c r="H97" s="136" t="str">
        <x:v>先達到無痛快走，再開始短跑走交替。</x:v>
      </x:c>
      <x:c r="I97" s="136" t="str">
        <x:v>回跑前</x:v>
      </x:c>
      <x:c r="J97" s="144" t="str">
        <x:v>高</x:v>
      </x:c>
      <x:c r="K97" s="144" t="str">
        <x:v>一般</x:v>
      </x:c>
      <x:c r="L97" s="136" t="str">
        <x:v>健康值 +1；修復值 +1</x:v>
      </x:c>
      <x:c r="M97" s="136" t="str">
        <x:v>若症狀持續、反覆或惡化，請由合格醫療專業評估。</x:v>
      </x:c>
      <x:c r="N97" s="154" t="n">
        <x:f>LEN(G97)</x:f>
        <x:v>43</x:v>
      </x:c>
      <x:c r="O97" s="144" t="str">
        <x:v>S033</x:v>
      </x:c>
      <x:c r="P97" s="136" t="str">
        <x:v>AAOS</x:v>
      </x:c>
      <x:c r="Q97" s="136" t="str">
        <x:v>Hamstring Muscle Injuries</x:v>
      </x:c>
      <x:c r="R97" s="151" t="str">
        <x:v>https://orthoinfo.aaos.org/en/diseases--conditions/hamstring-muscle-injuries/</x:v>
      </x:c>
      <x:c r="S97" s="148" t="str">
        <x:v>2026-07-27</x:v>
      </x:c>
    </x:row>
    <x:row r="98" ht="58" customHeight="1">
      <x:c r="A98" s="143" t="str">
        <x:v>FT-094</x:v>
      </x:c>
      <x:c r="B98" s="144" t="str">
        <x:v>命運</x:v>
      </x:c>
      <x:c r="C98" s="136" t="str">
        <x:v>跑者照護：受傷處理、身體修復與健康</x:v>
      </x:c>
      <x:c r="D98" s="136" t="str">
        <x:v>大腿後側與臀部</x:v>
      </x:c>
      <x:c r="E98" s="136" t="str">
        <x:v>重建高速伸縮能力</x:v>
      </x:c>
      <x:c r="F98" s="136" t="str">
        <x:v>離心力量是回速基礎</x:v>
      </x:c>
      <x:c r="G98" s="136" t="str">
        <x:v>腿後肌在高速跑中需要承受拉長時的力量。
行動：由橋式、滑腿彎舉進階到北歐腿彎舉與跑步專項，依專業指導增加。</x:v>
      </x:c>
      <x:c r="H98" s="136" t="str">
        <x:v>由橋式、滑腿彎舉進階到北歐腿彎舉與跑步專項，依專業指導增加。</x:v>
      </x:c>
      <x:c r="I98" s="136" t="str">
        <x:v>復健中後期</x:v>
      </x:c>
      <x:c r="J98" s="144" t="str">
        <x:v>中</x:v>
      </x:c>
      <x:c r="K98" s="144" t="str">
        <x:v>一般</x:v>
      </x:c>
      <x:c r="L98" s="136" t="str">
        <x:v>修復值 +1</x:v>
      </x:c>
      <x:c r="M98" s="136" t="str">
        <x:v>若症狀持續、反覆或惡化，請由合格醫療專業評估。</x:v>
      </x:c>
      <x:c r="N98" s="154" t="n">
        <x:f>LEN(G98)</x:f>
        <x:v>53</x:v>
      </x:c>
      <x:c r="O98" s="144" t="str">
        <x:v>S033</x:v>
      </x:c>
      <x:c r="P98" s="136" t="str">
        <x:v>AAOS</x:v>
      </x:c>
      <x:c r="Q98" s="136" t="str">
        <x:v>Hamstring Muscle Injuries</x:v>
      </x:c>
      <x:c r="R98" s="151" t="str">
        <x:v>https://orthoinfo.aaos.org/en/diseases--conditions/hamstring-muscle-injuries/</x:v>
      </x:c>
      <x:c r="S98" s="148" t="str">
        <x:v>2026-07-27</x:v>
      </x:c>
    </x:row>
    <x:row r="99" ht="58" customHeight="1">
      <x:c r="A99" s="143" t="str">
        <x:v>FT-095</x:v>
      </x:c>
      <x:c r="B99" s="144" t="str">
        <x:v>命運</x:v>
      </x:c>
      <x:c r="C99" s="136" t="str">
        <x:v>跑者照護：受傷處理、身體修復與健康</x:v>
      </x:c>
      <x:c r="D99" s="136" t="str">
        <x:v>大腿後側與臀部</x:v>
      </x:c>
      <x:c r="E99" s="136" t="str">
        <x:v>重建高速伸縮能力</x:v>
      </x:c>
      <x:c r="F99" s="136" t="str">
        <x:v>衝刺速度要分階段回來</x:v>
      </x:c>
      <x:c r="G99" s="136" t="str">
        <x:v>能輕鬆跑不代表能承受接近最高速。
行動：用 60%、70%、80% 等逐步加速，隔天無惡化再提升。</x:v>
      </x:c>
      <x:c r="H99" s="136" t="str">
        <x:v>用 60%、70%、80% 等逐步加速，隔天無惡化再提升。</x:v>
      </x:c>
      <x:c r="I99" s="136" t="str">
        <x:v>回速期</x:v>
      </x:c>
      <x:c r="J99" s="144" t="str">
        <x:v>高</x:v>
      </x:c>
      <x:c r="K99" s="144" t="str">
        <x:v>一般</x:v>
      </x:c>
      <x:c r="L99" s="136" t="str">
        <x:v>健康值 +1；修復值 +1</x:v>
      </x:c>
      <x:c r="M99" s="136" t="str">
        <x:v>若症狀持續、反覆或惡化，請由合格醫療專業評估。</x:v>
      </x:c>
      <x:c r="N99" s="154" t="n">
        <x:f>LEN(G99)</x:f>
        <x:v>49</x:v>
      </x:c>
      <x:c r="O99" s="144" t="str">
        <x:v>S033</x:v>
      </x:c>
      <x:c r="P99" s="136" t="str">
        <x:v>AAOS</x:v>
      </x:c>
      <x:c r="Q99" s="136" t="str">
        <x:v>Hamstring Muscle Injuries</x:v>
      </x:c>
      <x:c r="R99" s="151" t="str">
        <x:v>https://orthoinfo.aaos.org/en/diseases--conditions/hamstring-muscle-injuries/</x:v>
      </x:c>
      <x:c r="S99" s="148" t="str">
        <x:v>2026-07-27</x:v>
      </x:c>
    </x:row>
    <x:row r="100" ht="58" customHeight="1">
      <x:c r="A100" s="143" t="str">
        <x:v>FT-096</x:v>
      </x:c>
      <x:c r="B100" s="144" t="str">
        <x:v>命運</x:v>
      </x:c>
      <x:c r="C100" s="136" t="str">
        <x:v>跑者照護：受傷處理、身體修復與健康</x:v>
      </x:c>
      <x:c r="D100" s="136" t="str">
        <x:v>大腿後側與臀部</x:v>
      </x:c>
      <x:c r="E100" s="136" t="str">
        <x:v>重建高速伸縮能力</x:v>
      </x:c>
      <x:c r="F100" s="136" t="str">
        <x:v>坐骨附近痛要更謹慎</x:v>
      </x:c>
      <x:c r="G100" s="136" t="str">
        <x:v>臀下深層痛、久坐痛或反覆拉扯，可能涉及近端腿後肌或其他原因。
行動：避免大力拉伸與硬跑，安排專業評估。</x:v>
      </x:c>
      <x:c r="H100" s="136" t="str">
        <x:v>避免大力拉伸與硬跑，安排專業評估。</x:v>
      </x:c>
      <x:c r="I100" s="136" t="str">
        <x:v>近端疼痛</x:v>
      </x:c>
      <x:c r="J100" s="144" t="str">
        <x:v>高</x:v>
      </x:c>
      <x:c r="K100" s="144" t="str">
        <x:v>留意</x:v>
      </x:c>
      <x:c r="L100" s="136" t="str">
        <x:v>做出正確照護：修復值 +1</x:v>
      </x:c>
      <x:c r="M100" s="136" t="str">
        <x:v>若症狀持續、反覆或惡化，請由合格醫療專業評估。</x:v>
      </x:c>
      <x:c r="N100" s="154" t="n">
        <x:f>LEN(G100)</x:f>
        <x:v>51</x:v>
      </x:c>
      <x:c r="O100" s="144" t="str">
        <x:v>S033</x:v>
      </x:c>
      <x:c r="P100" s="136" t="str">
        <x:v>AAOS</x:v>
      </x:c>
      <x:c r="Q100" s="136" t="str">
        <x:v>Hamstring Muscle Injuries</x:v>
      </x:c>
      <x:c r="R100" s="151" t="str">
        <x:v>https://orthoinfo.aaos.org/en/diseases--conditions/hamstring-muscle-injuries/</x:v>
      </x:c>
      <x:c r="S100" s="148" t="str">
        <x:v>2026-07-27</x:v>
      </x:c>
    </x:row>
    <x:row r="101" ht="58" customHeight="1">
      <x:c r="A101" s="143" t="str">
        <x:v>FT-097</x:v>
      </x:c>
      <x:c r="B101" s="144" t="str">
        <x:v>命運</x:v>
      </x:c>
      <x:c r="C101" s="136" t="str">
        <x:v>跑者照護：受傷處理、身體修復與健康</x:v>
      </x:c>
      <x:c r="D101" s="136" t="str">
        <x:v>大腿後側與臀部</x:v>
      </x:c>
      <x:c r="E101" s="136" t="str">
        <x:v>重建高速伸縮能力</x:v>
      </x:c>
      <x:c r="F101" s="136" t="str">
        <x:v>臀痛不一定是梨狀肌</x:v>
      </x:c>
      <x:c r="G101" s="136" t="str">
        <x:v>臀部疼痛也可能來自腰椎、髖關節或肌腱。
行動：若伴隨麻、放射痛或無力，不自行用球重壓，先評估。</x:v>
      </x:c>
      <x:c r="H101" s="136" t="str">
        <x:v>若伴隨麻、放射痛或無力，不自行用球重壓，先評估。</x:v>
      </x:c>
      <x:c r="I101" s="136" t="str">
        <x:v>臀部疼痛</x:v>
      </x:c>
      <x:c r="J101" s="144" t="str">
        <x:v>高</x:v>
      </x:c>
      <x:c r="K101" s="144" t="str">
        <x:v>留意</x:v>
      </x:c>
      <x:c r="L101" s="136" t="str">
        <x:v>做出正確照護：修復值 +1</x:v>
      </x:c>
      <x:c r="M101" s="136" t="str">
        <x:v>若症狀持續、反覆或惡化，請由合格醫療專業評估。</x:v>
      </x:c>
      <x:c r="N101" s="154" t="n">
        <x:f>LEN(G101)</x:f>
        <x:v>47</x:v>
      </x:c>
      <x:c r="O101" s="144" t="str">
        <x:v>S034</x:v>
      </x:c>
      <x:c r="P101" s="136" t="str">
        <x:v>AAOS</x:v>
      </x:c>
      <x:c r="Q101" s="136" t="str">
        <x:v>Hip Strains</x:v>
      </x:c>
      <x:c r="R101" s="151" t="str">
        <x:v>https://orthoinfo.aaos.org/en/diseases--conditions/hip-strains/</x:v>
      </x:c>
      <x:c r="S101" s="148" t="str">
        <x:v>2026-07-27</x:v>
      </x:c>
    </x:row>
    <x:row r="102" ht="58" customHeight="1">
      <x:c r="A102" s="143" t="str">
        <x:v>FT-098</x:v>
      </x:c>
      <x:c r="B102" s="144" t="str">
        <x:v>命運</x:v>
      </x:c>
      <x:c r="C102" s="136" t="str">
        <x:v>跑者照護：受傷處理、身體修復與健康</x:v>
      </x:c>
      <x:c r="D102" s="136" t="str">
        <x:v>大腿後側與臀部</x:v>
      </x:c>
      <x:c r="E102" s="136" t="str">
        <x:v>重建高速伸縮能力</x:v>
      </x:c>
      <x:c r="F102" s="136" t="str">
        <x:v>高強度前要有完整熱身</x:v>
      </x:c>
      <x:c r="G102" s="136" t="str">
        <x:v>突然從靜止進入衝刺會提高腿後肌負擔。
行動：慢跑、動態活動與數次漸快跑後，再進入工作速度。</x:v>
      </x:c>
      <x:c r="H102" s="136" t="str">
        <x:v>慢跑、動態活動與數次漸快跑後，再進入工作速度。</x:v>
      </x:c>
      <x:c r="I102" s="136" t="str">
        <x:v>速度課前</x:v>
      </x:c>
      <x:c r="J102" s="144" t="str">
        <x:v>中</x:v>
      </x:c>
      <x:c r="K102" s="144" t="str">
        <x:v>一般</x:v>
      </x:c>
      <x:c r="L102" s="136" t="str">
        <x:v>修復值 +1</x:v>
      </x:c>
      <x:c r="M102" s="136" t="str">
        <x:v>若症狀持續、反覆或惡化，請由合格醫療專業評估。</x:v>
      </x:c>
      <x:c r="N102" s="154" t="n">
        <x:f>LEN(G102)</x:f>
        <x:v>45</x:v>
      </x:c>
      <x:c r="O102" s="144" t="str">
        <x:v>S011</x:v>
      </x:c>
      <x:c r="P102" s="136" t="str">
        <x:v>Applied Physiology, Nutrition, and Metabolism／PubMed</x:v>
      </x:c>
      <x:c r="Q102" s="136" t="str">
        <x:v>Warm-up and stretching review</x:v>
      </x:c>
      <x:c r="R102" s="151" t="str">
        <x:v>https://pubmed.ncbi.nlm.nih.gov/26642915/</x:v>
      </x:c>
      <x:c r="S102" s="148" t="str">
        <x:v>2026-07-27</x:v>
      </x:c>
    </x:row>
    <x:row r="103" ht="58" customHeight="1">
      <x:c r="A103" s="143" t="str">
        <x:v>FT-099</x:v>
      </x:c>
      <x:c r="B103" s="144" t="str">
        <x:v>命運</x:v>
      </x:c>
      <x:c r="C103" s="136" t="str">
        <x:v>跑者照護：受傷處理、身體修復與健康</x:v>
      </x:c>
      <x:c r="D103" s="136" t="str">
        <x:v>大腿後側與臀部</x:v>
      </x:c>
      <x:c r="E103" s="136" t="str">
        <x:v>重建高速伸縮能力</x:v>
      </x:c>
      <x:c r="F103" s="136" t="str">
        <x:v>左右力量差要看功能</x:v>
      </x:c>
      <x:c r="G103" s="136" t="str">
        <x:v>單次測試差異可能受疼痛與技巧影響，需結合跑步表現。
行動：比較單腳橋式、髖鉸鏈與漸快跑，持續差異請專業評估。</x:v>
      </x:c>
      <x:c r="H103" s="136" t="str">
        <x:v>比較單腳橋式、髖鉸鏈與漸快跑，持續差異請專業評估。</x:v>
      </x:c>
      <x:c r="I103" s="136" t="str">
        <x:v>復健檢查</x:v>
      </x:c>
      <x:c r="J103" s="144" t="str">
        <x:v>中</x:v>
      </x:c>
      <x:c r="K103" s="144" t="str">
        <x:v>一般</x:v>
      </x:c>
      <x:c r="L103" s="136" t="str">
        <x:v>修復值 +1</x:v>
      </x:c>
      <x:c r="M103" s="136" t="str">
        <x:v>若症狀持續、反覆或惡化，請由合格醫療專業評估。</x:v>
      </x:c>
      <x:c r="N103" s="154" t="n">
        <x:f>LEN(G103)</x:f>
        <x:v>54</x:v>
      </x:c>
      <x:c r="O103" s="144" t="str">
        <x:v>S033</x:v>
      </x:c>
      <x:c r="P103" s="136" t="str">
        <x:v>AAOS</x:v>
      </x:c>
      <x:c r="Q103" s="136" t="str">
        <x:v>Hamstring Muscle Injuries</x:v>
      </x:c>
      <x:c r="R103" s="151" t="str">
        <x:v>https://orthoinfo.aaos.org/en/diseases--conditions/hamstring-muscle-injuries/</x:v>
      </x:c>
      <x:c r="S103" s="148" t="str">
        <x:v>2026-07-27</x:v>
      </x:c>
    </x:row>
    <x:row r="104" ht="58" customHeight="1">
      <x:c r="A104" s="143" t="str">
        <x:v>FT-100</x:v>
      </x:c>
      <x:c r="B104" s="144" t="str">
        <x:v>命運</x:v>
      </x:c>
      <x:c r="C104" s="136" t="str">
        <x:v>跑者照護：受傷處理、身體修復與健康</x:v>
      </x:c>
      <x:c r="D104" s="136" t="str">
        <x:v>大腿後側與臀部</x:v>
      </x:c>
      <x:c r="E104" s="136" t="str">
        <x:v>重建高速伸縮能力</x:v>
      </x:c>
      <x:c r="F104" s="136" t="str">
        <x:v>回歸後仍需維持力量</x:v>
      </x:c>
      <x:c r="G104" s="136" t="str">
        <x:v>腿後肌曾受傷者若停止力量與速度暴露，可能再度失去容量。
行動：全年保留髖鉸鏈、離心腿後肌與少量漸快跑。</x:v>
      </x:c>
      <x:c r="H104" s="136" t="str">
        <x:v>全年保留髖鉸鏈、離心腿後肌與少量漸快跑。</x:v>
      </x:c>
      <x:c r="I104" s="136" t="str">
        <x:v>復發預防</x:v>
      </x:c>
      <x:c r="J104" s="144" t="str">
        <x:v>中</x:v>
      </x:c>
      <x:c r="K104" s="144" t="str">
        <x:v>一般</x:v>
      </x:c>
      <x:c r="L104" s="136" t="str">
        <x:v>修復值 +1</x:v>
      </x:c>
      <x:c r="M104" s="136" t="str">
        <x:v>若症狀持續、反覆或惡化，請由合格醫療專業評估。</x:v>
      </x:c>
      <x:c r="N104" s="154" t="n">
        <x:f>LEN(G104)</x:f>
        <x:v>51</x:v>
      </x:c>
      <x:c r="O104" s="144" t="str">
        <x:v>S033</x:v>
      </x:c>
      <x:c r="P104" s="136" t="str">
        <x:v>AAOS</x:v>
      </x:c>
      <x:c r="Q104" s="136" t="str">
        <x:v>Hamstring Muscle Injuries</x:v>
      </x:c>
      <x:c r="R104" s="151" t="str">
        <x:v>https://orthoinfo.aaos.org/en/diseases--conditions/hamstring-muscle-injuries/</x:v>
      </x:c>
      <x:c r="S104" s="148" t="str">
        <x:v>2026-07-27</x:v>
      </x:c>
    </x:row>
    <x:row r="105" ht="58" customHeight="1">
      <x:c r="A105" s="143" t="str">
        <x:v>FT-101</x:v>
      </x:c>
      <x:c r="B105" s="144" t="str">
        <x:v>命運</x:v>
      </x:c>
      <x:c r="C105" s="136" t="str">
        <x:v>跑者照護：受傷處理、身體修復與健康</x:v>
      </x:c>
      <x:c r="D105" s="136" t="str">
        <x:v>髖部與下背</x:v>
      </x:c>
      <x:c r="E105" s="136" t="str">
        <x:v>辨識深層痛與神經警訊</x:v>
      </x:c>
      <x:c r="F105" s="136" t="str">
        <x:v>腹股溝深層痛要排除骨傷</x:v>
      </x:c>
      <x:c r="G105" s="136" t="str">
        <x:v>跑步與單腳承重引發的腹股溝深層痛，可能涉及髖部骨壓力傷害。
行動：立即停跑並安排醫療評估，尤其伴隨夜間痛或能量不足風險時。</x:v>
      </x:c>
      <x:c r="H105" s="136" t="str">
        <x:v>立即停跑並安排醫療評估，尤其伴隨夜間痛或能量不足風險時。</x:v>
      </x:c>
      <x:c r="I105" s="136" t="str">
        <x:v>髖前或腹股溝痛</x:v>
      </x:c>
      <x:c r="J105" s="144" t="str">
        <x:v>高</x:v>
      </x:c>
      <x:c r="K105" s="144" t="str">
        <x:v>停止運動</x:v>
      </x:c>
      <x:c r="L105" s="136" t="str">
        <x:v>停止跑步並處理：修復值 +2；本回合休息</x:v>
      </x:c>
      <x:c r="M105" s="136" t="str">
        <x:v>若症狀持續、反覆或惡化，請由合格醫療專業評估。</x:v>
      </x:c>
      <x:c r="N105" s="154" t="n">
        <x:f>LEN(G105)</x:f>
        <x:v>61</x:v>
      </x:c>
      <x:c r="O105" s="144" t="str">
        <x:v>S080</x:v>
      </x:c>
      <x:c r="P105" s="136" t="str">
        <x:v>BJSM</x:v>
      </x:c>
      <x:c r="Q105" s="136" t="str">
        <x:v>International Delphi on bone stress injuries</x:v>
      </x:c>
      <x:c r="R105" s="151" t="str">
        <x:v>https://bjsm.bmj.com/content/59/2/78</x:v>
      </x:c>
      <x:c r="S105" s="148" t="str">
        <x:v>2026-07-27</x:v>
      </x:c>
    </x:row>
    <x:row r="106" ht="58" customHeight="1">
      <x:c r="A106" s="143" t="str">
        <x:v>FT-102</x:v>
      </x:c>
      <x:c r="B106" s="144" t="str">
        <x:v>命運</x:v>
      </x:c>
      <x:c r="C106" s="136" t="str">
        <x:v>跑者照護：受傷處理、身體修復與健康</x:v>
      </x:c>
      <x:c r="D106" s="136" t="str">
        <x:v>髖部與下背</x:v>
      </x:c>
      <x:c r="E106" s="136" t="str">
        <x:v>辨識深層痛與神經警訊</x:v>
      </x:c>
      <x:c r="F106" s="136" t="str">
        <x:v>大小便異常加會陰麻木是急症</x:v>
      </x:c>
      <x:c r="G106" s="136" t="str">
        <x:v>下背痛若伴隨排尿排便控制改變、會陰麻木或雙腿無力，需緊急處理。
行動：立即到急診或撥打 119，不自行開車。</x:v>
      </x:c>
      <x:c r="H106" s="136" t="str">
        <x:v>立即到急診或撥打 119，不自行開車。</x:v>
      </x:c>
      <x:c r="I106" s="136" t="str">
        <x:v>下背痛紅旗</x:v>
      </x:c>
      <x:c r="J106" s="144" t="str">
        <x:v>高</x:v>
      </x:c>
      <x:c r="K106" s="144" t="str">
        <x:v>緊急</x:v>
      </x:c>
      <x:c r="L106" s="136" t="str">
        <x:v>立即停止並求助：健康值保全；本回合休息</x:v>
      </x:c>
      <x:c r="M106" s="136" t="str">
        <x:v>若症狀持續、反覆或惡化，請由合格醫療專業評估。</x:v>
      </x:c>
      <x:c r="N106" s="154" t="n">
        <x:f>LEN(G106)</x:f>
        <x:v>54</x:v>
      </x:c>
      <x:c r="O106" s="144" t="str">
        <x:v>S050</x:v>
      </x:c>
      <x:c r="P106" s="136" t="str">
        <x:v>內政部消防署</x:v>
      </x:c>
      <x:c r="Q106" s="136" t="str">
        <x:v>119 報案專線</x:v>
      </x:c>
      <x:c r="R106" s="151" t="str">
        <x:v>https://www.nfa.gov.tw/cht/index.php?article_id=795&amp;code=list&amp;flag=detail&amp;ids=66</x:v>
      </x:c>
      <x:c r="S106" s="148" t="str">
        <x:v>2026-07-27</x:v>
      </x:c>
    </x:row>
    <x:row r="107" ht="58" customHeight="1">
      <x:c r="A107" s="143" t="str">
        <x:v>FT-103</x:v>
      </x:c>
      <x:c r="B107" s="144" t="str">
        <x:v>命運</x:v>
      </x:c>
      <x:c r="C107" s="136" t="str">
        <x:v>跑者照護：受傷處理、身體修復與健康</x:v>
      </x:c>
      <x:c r="D107" s="136" t="str">
        <x:v>髖部與下背</x:v>
      </x:c>
      <x:c r="E107" s="136" t="str">
        <x:v>辨識深層痛與神經警訊</x:v>
      </x:c>
      <x:c r="F107" s="136" t="str">
        <x:v>放射痛與無力不要硬拉</x:v>
      </x:c>
      <x:c r="G107" s="136" t="str">
        <x:v>疼痛沿腿向下、麻木或肌力下降，可能涉及神經，不宜只當肌肉緊。
行動：停止誘發動作並安排醫療評估。</x:v>
      </x:c>
      <x:c r="H107" s="136" t="str">
        <x:v>停止誘發動作並安排醫療評估。</x:v>
      </x:c>
      <x:c r="I107" s="136" t="str">
        <x:v>下背或臀腿痛</x:v>
      </x:c>
      <x:c r="J107" s="144" t="str">
        <x:v>高</x:v>
      </x:c>
      <x:c r="K107" s="144" t="str">
        <x:v>停止運動</x:v>
      </x:c>
      <x:c r="L107" s="136" t="str">
        <x:v>停止跑步並處理：修復值 +2；本回合休息</x:v>
      </x:c>
      <x:c r="M107" s="136" t="str">
        <x:v>若症狀持續、反覆或惡化，請由合格醫療專業評估。</x:v>
      </x:c>
      <x:c r="N107" s="154" t="n">
        <x:f>LEN(G107)</x:f>
        <x:v>48</x:v>
      </x:c>
      <x:c r="O107" s="144" t="str">
        <x:v>S034</x:v>
      </x:c>
      <x:c r="P107" s="136" t="str">
        <x:v>AAOS</x:v>
      </x:c>
      <x:c r="Q107" s="136" t="str">
        <x:v>Hip Strains</x:v>
      </x:c>
      <x:c r="R107" s="151" t="str">
        <x:v>https://orthoinfo.aaos.org/en/diseases--conditions/hip-strains/</x:v>
      </x:c>
      <x:c r="S107" s="148" t="str">
        <x:v>2026-07-27</x:v>
      </x:c>
    </x:row>
    <x:row r="108" ht="58" customHeight="1">
      <x:c r="A108" s="143" t="str">
        <x:v>FT-104</x:v>
      </x:c>
      <x:c r="B108" s="144" t="str">
        <x:v>命運</x:v>
      </x:c>
      <x:c r="C108" s="136" t="str">
        <x:v>跑者照護：受傷處理、身體修復與健康</x:v>
      </x:c>
      <x:c r="D108" s="136" t="str">
        <x:v>髖部與下背</x:v>
      </x:c>
      <x:c r="E108" s="136" t="str">
        <x:v>辨識深層痛與神經警訊</x:v>
      </x:c>
      <x:c r="F108" s="136" t="str">
        <x:v>一般下背痛不必永久臥床</x:v>
      </x:c>
      <x:c r="G108" s="136" t="str">
        <x:v>排除紅旗後，適度活動通常比長時間不動更有利恢復。
行動：從走路與舒適範圍活動開始，逐步恢復日常與肌力。</x:v>
      </x:c>
      <x:c r="H108" s="136" t="str">
        <x:v>從走路與舒適範圍活動開始，逐步恢復日常與肌力。</x:v>
      </x:c>
      <x:c r="I108" s="136" t="str">
        <x:v>非特異性下背痛</x:v>
      </x:c>
      <x:c r="J108" s="144" t="str">
        <x:v>中</x:v>
      </x:c>
      <x:c r="K108" s="144" t="str">
        <x:v>一般</x:v>
      </x:c>
      <x:c r="L108" s="136" t="str">
        <x:v>修復值 +1</x:v>
      </x:c>
      <x:c r="M108" s="136" t="str">
        <x:v>若症狀持續、反覆或惡化，請由合格醫療專業評估。</x:v>
      </x:c>
      <x:c r="N108" s="154" t="n">
        <x:f>LEN(G108)</x:f>
        <x:v>51</x:v>
      </x:c>
      <x:c r="O108" s="144" t="str">
        <x:v>S024</x:v>
      </x:c>
      <x:c r="P108" s="136" t="str">
        <x:v>BJSM</x:v>
      </x:c>
      <x:c r="Q108" s="136" t="str">
        <x:v>Soft-tissue injuries simply need PEACE and LOVE</x:v>
      </x:c>
      <x:c r="R108" s="151" t="str">
        <x:v>https://bjsm.bmj.com/content/54/2/72</x:v>
      </x:c>
      <x:c r="S108" s="148" t="str">
        <x:v>2026-07-27</x:v>
      </x:c>
    </x:row>
    <x:row r="109" ht="58" customHeight="1">
      <x:c r="A109" s="143" t="str">
        <x:v>FT-105</x:v>
      </x:c>
      <x:c r="B109" s="144" t="str">
        <x:v>命運</x:v>
      </x:c>
      <x:c r="C109" s="136" t="str">
        <x:v>跑者照護：受傷處理、身體修復與健康</x:v>
      </x:c>
      <x:c r="D109" s="136" t="str">
        <x:v>髖部與下背</x:v>
      </x:c>
      <x:c r="E109" s="136" t="str">
        <x:v>辨識深層痛與神經警訊</x:v>
      </x:c>
      <x:c r="F109" s="136" t="str">
        <x:v>髖周肌力支援單腳穩定</x:v>
      </x:c>
      <x:c r="G109" s="136" t="str">
        <x:v>臀肌與軀幹控制可協助跑步時骨盆穩定。
行動：加入橋式、分腿蹲、側向走與單腳平衡。</x:v>
      </x:c>
      <x:c r="H109" s="136" t="str">
        <x:v>加入橋式、分腿蹲、側向走與單腳平衡。</x:v>
      </x:c>
      <x:c r="I109" s="136" t="str">
        <x:v>復健與預防</x:v>
      </x:c>
      <x:c r="J109" s="144" t="str">
        <x:v>中</x:v>
      </x:c>
      <x:c r="K109" s="144" t="str">
        <x:v>一般</x:v>
      </x:c>
      <x:c r="L109" s="136" t="str">
        <x:v>修復值 +1</x:v>
      </x:c>
      <x:c r="M109" s="136" t="str">
        <x:v>若症狀持續、反覆或惡化，請由合格醫療專業評估。</x:v>
      </x:c>
      <x:c r="N109" s="154" t="n">
        <x:f>LEN(G109)</x:f>
        <x:v>40</x:v>
      </x:c>
      <x:c r="O109" s="144" t="str">
        <x:v>S034</x:v>
      </x:c>
      <x:c r="P109" s="136" t="str">
        <x:v>AAOS</x:v>
      </x:c>
      <x:c r="Q109" s="136" t="str">
        <x:v>Hip Strains</x:v>
      </x:c>
      <x:c r="R109" s="151" t="str">
        <x:v>https://orthoinfo.aaos.org/en/diseases--conditions/hip-strains/</x:v>
      </x:c>
      <x:c r="S109" s="148" t="str">
        <x:v>2026-07-27</x:v>
      </x:c>
    </x:row>
    <x:row r="110" ht="58" customHeight="1">
      <x:c r="A110" s="143" t="str">
        <x:v>FT-106</x:v>
      </x:c>
      <x:c r="B110" s="144" t="str">
        <x:v>命運</x:v>
      </x:c>
      <x:c r="C110" s="136" t="str">
        <x:v>跑者照護：受傷處理、身體修復與健康</x:v>
      </x:c>
      <x:c r="D110" s="136" t="str">
        <x:v>髖部與下背</x:v>
      </x:c>
      <x:c r="E110" s="136" t="str">
        <x:v>辨識深層痛與神經警訊</x:v>
      </x:c>
      <x:c r="F110" s="136" t="str">
        <x:v>坐太久也是負荷來源</x:v>
      </x:c>
      <x:c r="G110" s="136" t="str">
        <x:v>久坐可能加重髖屈肌、臀部或下背不適，與跑量一起累積。
行動：每 30–60 分鐘起身活動，調整工位並分散跑量。</x:v>
      </x:c>
      <x:c r="H110" s="136" t="str">
        <x:v>每 30–60 分鐘起身活動，調整工位並分散跑量。</x:v>
      </x:c>
      <x:c r="I110" s="136" t="str">
        <x:v>上班日</x:v>
      </x:c>
      <x:c r="J110" s="144" t="str">
        <x:v>中</x:v>
      </x:c>
      <x:c r="K110" s="144" t="str">
        <x:v>一般</x:v>
      </x:c>
      <x:c r="L110" s="136" t="str">
        <x:v>修復值 +1</x:v>
      </x:c>
      <x:c r="M110" s="136" t="str">
        <x:v>若症狀持續、反覆或惡化，請由合格醫療專業評估。</x:v>
      </x:c>
      <x:c r="N110" s="154" t="n">
        <x:f>LEN(G110)</x:f>
        <x:v>55</x:v>
      </x:c>
      <x:c r="O110" s="144" t="str">
        <x:v>S034</x:v>
      </x:c>
      <x:c r="P110" s="136" t="str">
        <x:v>AAOS</x:v>
      </x:c>
      <x:c r="Q110" s="136" t="str">
        <x:v>Hip Strains</x:v>
      </x:c>
      <x:c r="R110" s="151" t="str">
        <x:v>https://orthoinfo.aaos.org/en/diseases--conditions/hip-strains/</x:v>
      </x:c>
      <x:c r="S110" s="148" t="str">
        <x:v>2026-07-27</x:v>
      </x:c>
    </x:row>
    <x:row r="111" ht="58" customHeight="1">
      <x:c r="A111" s="143" t="str">
        <x:v>FT-107</x:v>
      </x:c>
      <x:c r="B111" s="144" t="str">
        <x:v>命運</x:v>
      </x:c>
      <x:c r="C111" s="136" t="str">
        <x:v>跑者照護：受傷處理、身體修復與健康</x:v>
      </x:c>
      <x:c r="D111" s="136" t="str">
        <x:v>髖部與下背</x:v>
      </x:c>
      <x:c r="E111" s="136" t="str">
        <x:v>辨識深層痛與神經警訊</x:v>
      </x:c>
      <x:c r="F111" s="136" t="str">
        <x:v>不要用大幅扭腰解卡</x:v>
      </x:c>
      <x:c r="G111" s="136" t="str">
        <x:v>急性下背痛時用力旋轉或請人踩壓，可能加重症狀。
行動：以溫和活動、熱敷舒適與專業評估為主。</x:v>
      </x:c>
      <x:c r="H111" s="136" t="str">
        <x:v>以溫和活動、熱敷舒適與專業評估為主。</x:v>
      </x:c>
      <x:c r="I111" s="136" t="str">
        <x:v>急性下背痛</x:v>
      </x:c>
      <x:c r="J111" s="144" t="str">
        <x:v>高</x:v>
      </x:c>
      <x:c r="K111" s="144" t="str">
        <x:v>留意</x:v>
      </x:c>
      <x:c r="L111" s="136" t="str">
        <x:v>做出正確照護：修復值 +1</x:v>
      </x:c>
      <x:c r="M111" s="136" t="str">
        <x:v>若症狀持續、反覆或惡化，請由合格醫療專業評估。</x:v>
      </x:c>
      <x:c r="N111" s="154" t="n">
        <x:f>LEN(G111)</x:f>
        <x:v>45</x:v>
      </x:c>
      <x:c r="O111" s="144" t="str">
        <x:v>S024</x:v>
      </x:c>
      <x:c r="P111" s="136" t="str">
        <x:v>BJSM</x:v>
      </x:c>
      <x:c r="Q111" s="136" t="str">
        <x:v>Soft-tissue injuries simply need PEACE and LOVE</x:v>
      </x:c>
      <x:c r="R111" s="151" t="str">
        <x:v>https://bjsm.bmj.com/content/54/2/72</x:v>
      </x:c>
      <x:c r="S111" s="148" t="str">
        <x:v>2026-07-27</x:v>
      </x:c>
    </x:row>
    <x:row r="112" ht="58" customHeight="1">
      <x:c r="A112" s="143" t="str">
        <x:v>FT-108</x:v>
      </x:c>
      <x:c r="B112" s="144" t="str">
        <x:v>命運</x:v>
      </x:c>
      <x:c r="C112" s="136" t="str">
        <x:v>跑者照護：受傷處理、身體修復與健康</x:v>
      </x:c>
      <x:c r="D112" s="136" t="str">
        <x:v>髖部與下背</x:v>
      </x:c>
      <x:c r="E112" s="136" t="str">
        <x:v>辨識深層痛與神經警訊</x:v>
      </x:c>
      <x:c r="F112" s="136" t="str">
        <x:v>髖部活動度追求夠用即可</x:v>
      </x:c>
      <x:c r="G112" s="136" t="str">
        <x:v>過度拉伸不穩定的髖部，不一定能改善跑姿。
行動：找出真正受限方向，搭配力量與控制，而非只追更大角度。</x:v>
      </x:c>
      <x:c r="H112" s="136" t="str">
        <x:v>找出真正受限方向，搭配力量與控制，而非只追更大角度。</x:v>
      </x:c>
      <x:c r="I112" s="136" t="str">
        <x:v>日常保養</x:v>
      </x:c>
      <x:c r="J112" s="144" t="str">
        <x:v>中</x:v>
      </x:c>
      <x:c r="K112" s="144" t="str">
        <x:v>一般</x:v>
      </x:c>
      <x:c r="L112" s="136" t="str">
        <x:v>修復值 +1</x:v>
      </x:c>
      <x:c r="M112" s="136" t="str">
        <x:v>若症狀持續、反覆或惡化，請由合格醫療專業評估。</x:v>
      </x:c>
      <x:c r="N112" s="154" t="n">
        <x:f>LEN(G112)</x:f>
        <x:v>50</x:v>
      </x:c>
      <x:c r="O112" s="144" t="str">
        <x:v>S034</x:v>
      </x:c>
      <x:c r="P112" s="136" t="str">
        <x:v>AAOS</x:v>
      </x:c>
      <x:c r="Q112" s="136" t="str">
        <x:v>Hip Strains</x:v>
      </x:c>
      <x:c r="R112" s="151" t="str">
        <x:v>https://orthoinfo.aaos.org/en/diseases--conditions/hip-strains/</x:v>
      </x:c>
      <x:c r="S112" s="148" t="str">
        <x:v>2026-07-27</x:v>
      </x:c>
    </x:row>
    <x:row r="113" ht="58" customHeight="1">
      <x:c r="A113" s="143" t="str">
        <x:v>FT-109</x:v>
      </x:c>
      <x:c r="B113" s="144" t="str">
        <x:v>命運</x:v>
      </x:c>
      <x:c r="C113" s="136" t="str">
        <x:v>跑者照護：受傷處理、身體修復與健康</x:v>
      </x:c>
      <x:c r="D113" s="136" t="str">
        <x:v>髖部與下背</x:v>
      </x:c>
      <x:c r="E113" s="136" t="str">
        <x:v>辨識深層痛與神經警訊</x:v>
      </x:c>
      <x:c r="F113" s="136" t="str">
        <x:v>回跑先用平路測反應</x:v>
      </x:c>
      <x:c r="G113" s="136" t="str">
        <x:v>坡度與速度增加髖部力量需求，不適合當第一個測試。
行動：平路短跑走開始，隔天穩定後再延長。</x:v>
      </x:c>
      <x:c r="H113" s="136" t="str">
        <x:v>平路短跑走開始，隔天穩定後再延長。</x:v>
      </x:c>
      <x:c r="I113" s="136" t="str">
        <x:v>髖背痛回跑</x:v>
      </x:c>
      <x:c r="J113" s="144" t="str">
        <x:v>中</x:v>
      </x:c>
      <x:c r="K113" s="144" t="str">
        <x:v>一般</x:v>
      </x:c>
      <x:c r="L113" s="136" t="str">
        <x:v>修復值 +1</x:v>
      </x:c>
      <x:c r="M113" s="136" t="str">
        <x:v>若症狀持續、反覆或惡化，請由合格醫療專業評估。</x:v>
      </x:c>
      <x:c r="N113" s="154" t="n">
        <x:f>LEN(G113)</x:f>
        <x:v>45</x:v>
      </x:c>
      <x:c r="O113" s="144" t="str">
        <x:v>S034</x:v>
      </x:c>
      <x:c r="P113" s="136" t="str">
        <x:v>AAOS</x:v>
      </x:c>
      <x:c r="Q113" s="136" t="str">
        <x:v>Hip Strains</x:v>
      </x:c>
      <x:c r="R113" s="151" t="str">
        <x:v>https://orthoinfo.aaos.org/en/diseases--conditions/hip-strains/</x:v>
      </x:c>
      <x:c r="S113" s="148" t="str">
        <x:v>2026-07-27</x:v>
      </x:c>
    </x:row>
    <x:row r="114" ht="58" customHeight="1">
      <x:c r="A114" s="143" t="str">
        <x:v>FT-110</x:v>
      </x:c>
      <x:c r="B114" s="144" t="str">
        <x:v>命運</x:v>
      </x:c>
      <x:c r="C114" s="136" t="str">
        <x:v>跑者照護：受傷處理、身體修復與健康</x:v>
      </x:c>
      <x:c r="D114" s="136" t="str">
        <x:v>髖部與下背</x:v>
      </x:c>
      <x:c r="E114" s="136" t="str">
        <x:v>辨識深層痛與神經警訊</x:v>
      </x:c>
      <x:c r="F114" s="136" t="str">
        <x:v>持續夜痛、發燒或體重下降要就醫</x:v>
      </x:c>
      <x:c r="G114" s="136" t="str">
        <x:v>下背或髖痛伴隨全身症狀，不能只當訓練痠痛。
行動：停止自行處理並安排醫療檢查。</x:v>
      </x:c>
      <x:c r="H114" s="136" t="str">
        <x:v>停止自行處理並安排醫療檢查。</x:v>
      </x:c>
      <x:c r="I114" s="136" t="str">
        <x:v>非典型疼痛</x:v>
      </x:c>
      <x:c r="J114" s="144" t="str">
        <x:v>高</x:v>
      </x:c>
      <x:c r="K114" s="144" t="str">
        <x:v>停止運動</x:v>
      </x:c>
      <x:c r="L114" s="136" t="str">
        <x:v>停止跑步並處理：修復值 +2；本回合休息</x:v>
      </x:c>
      <x:c r="M114" s="136" t="str">
        <x:v>若症狀持續、反覆或惡化，請由合格醫療專業評估。</x:v>
      </x:c>
      <x:c r="N114" s="154" t="n">
        <x:f>LEN(G114)</x:f>
        <x:v>39</x:v>
      </x:c>
      <x:c r="O114" s="144" t="str">
        <x:v>S072</x:v>
      </x:c>
      <x:c r="P114" s="136" t="str">
        <x:v>AAOS</x:v>
      </x:c>
      <x:c r="Q114" s="136" t="str">
        <x:v>Starting an Exercise Program</x:v>
      </x:c>
      <x:c r="R114" s="151" t="str">
        <x:v>https://orthoinfo.aaos.org/en/staying-healthy/starting-an-exercise-program/</x:v>
      </x:c>
      <x:c r="S114" s="148" t="str">
        <x:v>2026-07-27</x:v>
      </x:c>
    </x:row>
    <x:row r="115" ht="58" customHeight="1">
      <x:c r="A115" s="143" t="str">
        <x:v>FT-111</x:v>
      </x:c>
      <x:c r="B115" s="144" t="str">
        <x:v>命運</x:v>
      </x:c>
      <x:c r="C115" s="136" t="str">
        <x:v>跑者照護：受傷處理、身體修復與健康</x:v>
      </x:c>
      <x:c r="D115" s="136" t="str">
        <x:v>水泡、趾甲與鞋襪</x:v>
      </x:c>
      <x:c r="E115" s="136" t="str">
        <x:v>在小問題變大前處理摩擦</x:v>
      </x:c>
      <x:c r="F115" s="136" t="str">
        <x:v>熱點比水泡更好處理</x:v>
      </x:c>
      <x:c r="G115" s="136" t="str">
        <x:v>局部灼熱或刺感通常是摩擦早期警訊。
行動：立刻停下擦乾，調整襪子或鞋帶並貼防磨貼。</x:v>
      </x:c>
      <x:c r="H115" s="136" t="str">
        <x:v>立刻停下擦乾，調整襪子或鞋帶並貼防磨貼。</x:v>
      </x:c>
      <x:c r="I115" s="136" t="str">
        <x:v>長跑中</x:v>
      </x:c>
      <x:c r="J115" s="144" t="str">
        <x:v>高</x:v>
      </x:c>
      <x:c r="K115" s="144" t="str">
        <x:v>一般</x:v>
      </x:c>
      <x:c r="L115" s="136" t="str">
        <x:v>健康值 +1；修復值 +1</x:v>
      </x:c>
      <x:c r="M115" s="136" t="str">
        <x:v>若症狀持續、反覆或惡化，請由合格醫療專業評估。</x:v>
      </x:c>
      <x:c r="N115" s="154" t="n">
        <x:f>LEN(G115)</x:f>
        <x:v>41</x:v>
      </x:c>
      <x:c r="O115" s="144" t="str">
        <x:v>S047</x:v>
      </x:c>
      <x:c r="P115" s="136" t="str">
        <x:v>AAOS</x:v>
      </x:c>
      <x:c r="Q115" s="136" t="str">
        <x:v>Shoes: Finding the Right Fit</x:v>
      </x:c>
      <x:c r="R115" s="151" t="str">
        <x:v>https://orthoinfo.aaos.org/en/staying-healthy/shoes-finding-the-right-fit/</x:v>
      </x:c>
      <x:c r="S115" s="148" t="str">
        <x:v>2026-07-27</x:v>
      </x:c>
    </x:row>
    <x:row r="116" ht="58" customHeight="1">
      <x:c r="A116" s="143" t="str">
        <x:v>FT-112</x:v>
      </x:c>
      <x:c r="B116" s="144" t="str">
        <x:v>命運</x:v>
      </x:c>
      <x:c r="C116" s="136" t="str">
        <x:v>跑者照護：受傷處理、身體修復與健康</x:v>
      </x:c>
      <x:c r="D116" s="136" t="str">
        <x:v>水泡、趾甲與鞋襪</x:v>
      </x:c>
      <x:c r="E116" s="136" t="str">
        <x:v>在小問題變大前處理摩擦</x:v>
      </x:c>
      <x:c r="F116" s="136" t="str">
        <x:v>完整水泡皮先保留</x:v>
      </x:c>
      <x:c r="G116" s="136" t="str">
        <x:v>未破水泡的表皮可作為天然保護層。
行動：清潔、乾燥並覆蓋減壓；不要為了繼續跑而隨意剪破。</x:v>
      </x:c>
      <x:c r="H116" s="136" t="str">
        <x:v>清潔、乾燥並覆蓋減壓；不要為了繼續跑而隨意剪破。</x:v>
      </x:c>
      <x:c r="I116" s="136" t="str">
        <x:v>水泡初期</x:v>
      </x:c>
      <x:c r="J116" s="144" t="str">
        <x:v>中</x:v>
      </x:c>
      <x:c r="K116" s="144" t="str">
        <x:v>一般</x:v>
      </x:c>
      <x:c r="L116" s="136" t="str">
        <x:v>修復值 +1</x:v>
      </x:c>
      <x:c r="M116" s="136" t="str">
        <x:v>若症狀持續、反覆或惡化，請由合格醫療專業評估。</x:v>
      </x:c>
      <x:c r="N116" s="154" t="n">
        <x:f>LEN(G116)</x:f>
        <x:v>44</x:v>
      </x:c>
      <x:c r="O116" s="144" t="str">
        <x:v>S047</x:v>
      </x:c>
      <x:c r="P116" s="136" t="str">
        <x:v>AAOS</x:v>
      </x:c>
      <x:c r="Q116" s="136" t="str">
        <x:v>Shoes: Finding the Right Fit</x:v>
      </x:c>
      <x:c r="R116" s="151" t="str">
        <x:v>https://orthoinfo.aaos.org/en/staying-healthy/shoes-finding-the-right-fit/</x:v>
      </x:c>
      <x:c r="S116" s="148" t="str">
        <x:v>2026-07-27</x:v>
      </x:c>
    </x:row>
    <x:row r="117" ht="58" customHeight="1">
      <x:c r="A117" s="143" t="str">
        <x:v>FT-113</x:v>
      </x:c>
      <x:c r="B117" s="144" t="str">
        <x:v>命運</x:v>
      </x:c>
      <x:c r="C117" s="136" t="str">
        <x:v>跑者照護：受傷處理、身體修復與健康</x:v>
      </x:c>
      <x:c r="D117" s="136" t="str">
        <x:v>水泡、趾甲與鞋襪</x:v>
      </x:c>
      <x:c r="E117" s="136" t="str">
        <x:v>在小問題變大前處理摩擦</x:v>
      </x:c>
      <x:c r="F117" s="136" t="str">
        <x:v>破水泡要保持清潔</x:v>
      </x:c>
      <x:c r="G117" s="136" t="str">
        <x:v>開放性水泡容易受到污染。
行動：用清水與溫和肥皂清潔、保留仍連接的表皮並覆蓋乾淨敷料。</x:v>
      </x:c>
      <x:c r="H117" s="136" t="str">
        <x:v>用清水與溫和肥皂清潔、保留仍連接的表皮並覆蓋乾淨敷料。</x:v>
      </x:c>
      <x:c r="I117" s="136" t="str">
        <x:v>水泡破裂</x:v>
      </x:c>
      <x:c r="J117" s="144" t="str">
        <x:v>高</x:v>
      </x:c>
      <x:c r="K117" s="144" t="str">
        <x:v>留意</x:v>
      </x:c>
      <x:c r="L117" s="136" t="str">
        <x:v>做出正確照護：修復值 +1</x:v>
      </x:c>
      <x:c r="M117" s="136" t="str">
        <x:v>若症狀持續、反覆或惡化，請由合格醫療專業評估。</x:v>
      </x:c>
      <x:c r="N117" s="154" t="n">
        <x:f>LEN(G117)</x:f>
        <x:v>43</x:v>
      </x:c>
      <x:c r="O117" s="144" t="str">
        <x:v>S047</x:v>
      </x:c>
      <x:c r="P117" s="136" t="str">
        <x:v>AAOS</x:v>
      </x:c>
      <x:c r="Q117" s="136" t="str">
        <x:v>Shoes: Finding the Right Fit</x:v>
      </x:c>
      <x:c r="R117" s="151" t="str">
        <x:v>https://orthoinfo.aaos.org/en/staying-healthy/shoes-finding-the-right-fit/</x:v>
      </x:c>
      <x:c r="S117" s="148" t="str">
        <x:v>2026-07-27</x:v>
      </x:c>
    </x:row>
    <x:row r="118" ht="58" customHeight="1">
      <x:c r="A118" s="143" t="str">
        <x:v>FT-114</x:v>
      </x:c>
      <x:c r="B118" s="144" t="str">
        <x:v>命運</x:v>
      </x:c>
      <x:c r="C118" s="136" t="str">
        <x:v>跑者照護：受傷處理、身體修復與健康</x:v>
      </x:c>
      <x:c r="D118" s="136" t="str">
        <x:v>水泡、趾甲與鞋襪</x:v>
      </x:c>
      <x:c r="E118" s="136" t="str">
        <x:v>在小問題變大前處理摩擦</x:v>
      </x:c>
      <x:c r="F118" s="136" t="str">
        <x:v>紅腫熱痛擴大要看感染</x:v>
      </x:c>
      <x:c r="G118" s="136" t="str">
        <x:v>膿液、紅線、發燒或紅腫範圍擴大，可能需要醫療處理。
行動：停止跑步並就醫，糖尿病或循環不良者更要及早處理。</x:v>
      </x:c>
      <x:c r="H118" s="136" t="str">
        <x:v>停止跑步並就醫，糖尿病或循環不良者更要及早處理。</x:v>
      </x:c>
      <x:c r="I118" s="136" t="str">
        <x:v>水泡或傷口後</x:v>
      </x:c>
      <x:c r="J118" s="144" t="str">
        <x:v>高</x:v>
      </x:c>
      <x:c r="K118" s="144" t="str">
        <x:v>停止運動</x:v>
      </x:c>
      <x:c r="L118" s="136" t="str">
        <x:v>停止跑步並處理：修復值 +2；本回合休息</x:v>
      </x:c>
      <x:c r="M118" s="136" t="str">
        <x:v>若症狀持續、反覆或惡化，請由合格醫療專業評估。</x:v>
      </x:c>
      <x:c r="N118" s="154" t="n">
        <x:f>LEN(G118)</x:f>
        <x:v>53</x:v>
      </x:c>
      <x:c r="O118" s="144" t="str">
        <x:v>S047</x:v>
      </x:c>
      <x:c r="P118" s="136" t="str">
        <x:v>AAOS</x:v>
      </x:c>
      <x:c r="Q118" s="136" t="str">
        <x:v>Shoes: Finding the Right Fit</x:v>
      </x:c>
      <x:c r="R118" s="151" t="str">
        <x:v>https://orthoinfo.aaos.org/en/staying-healthy/shoes-finding-the-right-fit/</x:v>
      </x:c>
      <x:c r="S118" s="148" t="str">
        <x:v>2026-07-27</x:v>
      </x:c>
    </x:row>
    <x:row r="119" ht="58" customHeight="1">
      <x:c r="A119" s="143" t="str">
        <x:v>FT-115</x:v>
      </x:c>
      <x:c r="B119" s="144" t="str">
        <x:v>命運</x:v>
      </x:c>
      <x:c r="C119" s="136" t="str">
        <x:v>跑者照護：受傷處理、身體修復與健康</x:v>
      </x:c>
      <x:c r="D119" s="136" t="str">
        <x:v>水泡、趾甲與鞋襪</x:v>
      </x:c>
      <x:c r="E119" s="136" t="str">
        <x:v>在小問題變大前處理摩擦</x:v>
      </x:c>
      <x:c r="F119" s="136" t="str">
        <x:v>腳趾要有前方空間</x:v>
      </x:c>
      <x:c r="G119" s="136" t="str">
        <x:v>長跑時足部可能腫脹，鞋頭太短會反覆撞擊趾甲。
行動：站立試鞋時保留約一拇指寬空間，並確認腳跟不滑。</x:v>
      </x:c>
      <x:c r="H119" s="136" t="str">
        <x:v>站立試鞋時保留約一拇指寬空間，並確認腳跟不滑。</x:v>
      </x:c>
      <x:c r="I119" s="136" t="str">
        <x:v>選鞋</x:v>
      </x:c>
      <x:c r="J119" s="144" t="str">
        <x:v>中</x:v>
      </x:c>
      <x:c r="K119" s="144" t="str">
        <x:v>一般</x:v>
      </x:c>
      <x:c r="L119" s="136" t="str">
        <x:v>修復值 +1</x:v>
      </x:c>
      <x:c r="M119" s="136" t="str">
        <x:v>若症狀持續、反覆或惡化，請由合格醫療專業評估。</x:v>
      </x:c>
      <x:c r="N119" s="154" t="n">
        <x:f>LEN(G119)</x:f>
        <x:v>49</x:v>
      </x:c>
      <x:c r="O119" s="144" t="str">
        <x:v>S047</x:v>
      </x:c>
      <x:c r="P119" s="136" t="str">
        <x:v>AAOS</x:v>
      </x:c>
      <x:c r="Q119" s="136" t="str">
        <x:v>Shoes: Finding the Right Fit</x:v>
      </x:c>
      <x:c r="R119" s="151" t="str">
        <x:v>https://orthoinfo.aaos.org/en/staying-healthy/shoes-finding-the-right-fit/</x:v>
      </x:c>
      <x:c r="S119" s="148" t="str">
        <x:v>2026-07-27</x:v>
      </x:c>
    </x:row>
    <x:row r="120" ht="58" customHeight="1">
      <x:c r="A120" s="143" t="str">
        <x:v>FT-116</x:v>
      </x:c>
      <x:c r="B120" s="144" t="str">
        <x:v>命運</x:v>
      </x:c>
      <x:c r="C120" s="136" t="str">
        <x:v>跑者照護：受傷處理、身體修復與健康</x:v>
      </x:c>
      <x:c r="D120" s="136" t="str">
        <x:v>水泡、趾甲與鞋襪</x:v>
      </x:c>
      <x:c r="E120" s="136" t="str">
        <x:v>在小問題變大前處理摩擦</x:v>
      </x:c>
      <x:c r="F120" s="136" t="str">
        <x:v>下坡先鎖住腳跟</x:v>
      </x:c>
      <x:c r="G120" s="136" t="str">
        <x:v>腳在鞋內向前滑，會增加黑趾甲與水泡。
行動：用跑者結等鞋帶法固定腳跟，但腳背麻木就鬆開。</x:v>
      </x:c>
      <x:c r="H120" s="136" t="str">
        <x:v>用跑者結等鞋帶法固定腳跟，但腳背麻木就鬆開。</x:v>
      </x:c>
      <x:c r="I120" s="136" t="str">
        <x:v>丘陵與越野</x:v>
      </x:c>
      <x:c r="J120" s="144" t="str">
        <x:v>中</x:v>
      </x:c>
      <x:c r="K120" s="144" t="str">
        <x:v>一般</x:v>
      </x:c>
      <x:c r="L120" s="136" t="str">
        <x:v>修復值 +1</x:v>
      </x:c>
      <x:c r="M120" s="136" t="str">
        <x:v>若症狀持續、反覆或惡化，請由合格醫療專業評估。</x:v>
      </x:c>
      <x:c r="N120" s="154" t="n">
        <x:f>LEN(G120)</x:f>
        <x:v>44</x:v>
      </x:c>
      <x:c r="O120" s="144" t="str">
        <x:v>S047</x:v>
      </x:c>
      <x:c r="P120" s="136" t="str">
        <x:v>AAOS</x:v>
      </x:c>
      <x:c r="Q120" s="136" t="str">
        <x:v>Shoes: Finding the Right Fit</x:v>
      </x:c>
      <x:c r="R120" s="151" t="str">
        <x:v>https://orthoinfo.aaos.org/en/staying-healthy/shoes-finding-the-right-fit/</x:v>
      </x:c>
      <x:c r="S120" s="148" t="str">
        <x:v>2026-07-27</x:v>
      </x:c>
    </x:row>
    <x:row r="121" ht="58" customHeight="1">
      <x:c r="A121" s="143" t="str">
        <x:v>FT-117</x:v>
      </x:c>
      <x:c r="B121" s="144" t="str">
        <x:v>命運</x:v>
      </x:c>
      <x:c r="C121" s="136" t="str">
        <x:v>跑者照護：受傷處理、身體修復與健康</x:v>
      </x:c>
      <x:c r="D121" s="136" t="str">
        <x:v>水泡、趾甲與鞋襪</x:v>
      </x:c>
      <x:c r="E121" s="136" t="str">
        <x:v>在小問題變大前處理摩擦</x:v>
      </x:c>
      <x:c r="F121" s="136" t="str">
        <x:v>黑趾甲先看疼痛與感染</x:v>
      </x:c>
      <x:c r="G121" s="136" t="str">
        <x:v>趾甲下出血常來自撞擊；劇烈跳痛、大片血腫或化膿需評估。
行動：停止擠壓，穿寬鞋；不要用未消毒工具自行鑽孔。</x:v>
      </x:c>
      <x:c r="H121" s="136" t="str">
        <x:v>停止擠壓，穿寬鞋；不要用未消毒工具自行鑽孔。</x:v>
      </x:c>
      <x:c r="I121" s="136" t="str">
        <x:v>黑趾甲</x:v>
      </x:c>
      <x:c r="J121" s="144" t="str">
        <x:v>高</x:v>
      </x:c>
      <x:c r="K121" s="144" t="str">
        <x:v>留意</x:v>
      </x:c>
      <x:c r="L121" s="136" t="str">
        <x:v>做出正確照護：修復值 +1</x:v>
      </x:c>
      <x:c r="M121" s="136" t="str">
        <x:v>若症狀持續、反覆或惡化，請由合格醫療專業評估。</x:v>
      </x:c>
      <x:c r="N121" s="154" t="n">
        <x:f>LEN(G121)</x:f>
        <x:v>53</x:v>
      </x:c>
      <x:c r="O121" s="144" t="str">
        <x:v>S047</x:v>
      </x:c>
      <x:c r="P121" s="136" t="str">
        <x:v>AAOS</x:v>
      </x:c>
      <x:c r="Q121" s="136" t="str">
        <x:v>Shoes: Finding the Right Fit</x:v>
      </x:c>
      <x:c r="R121" s="151" t="str">
        <x:v>https://orthoinfo.aaos.org/en/staying-healthy/shoes-finding-the-right-fit/</x:v>
      </x:c>
      <x:c r="S121" s="148" t="str">
        <x:v>2026-07-27</x:v>
      </x:c>
    </x:row>
    <x:row r="122" ht="58" customHeight="1">
      <x:c r="A122" s="143" t="str">
        <x:v>FT-118</x:v>
      </x:c>
      <x:c r="B122" s="144" t="str">
        <x:v>命運</x:v>
      </x:c>
      <x:c r="C122" s="136" t="str">
        <x:v>跑者照護：受傷處理、身體修復與健康</x:v>
      </x:c>
      <x:c r="D122" s="136" t="str">
        <x:v>水泡、趾甲與鞋襪</x:v>
      </x:c>
      <x:c r="E122" s="136" t="str">
        <x:v>在小問題變大前處理摩擦</x:v>
      </x:c>
      <x:c r="F122" s="136" t="str">
        <x:v>襪子要排汗且無皺褶</x:v>
      </x:c>
      <x:c r="G122" s="136" t="str">
        <x:v>潮濕與摺痕會增加摩擦。
行動：選合腳排汗襪，穿前拉平，長賽可備乾襪。</x:v>
      </x:c>
      <x:c r="H122" s="136" t="str">
        <x:v>選合腳排汗襪，穿前拉平，長賽可備乾襪。</x:v>
      </x:c>
      <x:c r="I122" s="136" t="str">
        <x:v>長距離</x:v>
      </x:c>
      <x:c r="J122" s="144" t="str">
        <x:v>中</x:v>
      </x:c>
      <x:c r="K122" s="144" t="str">
        <x:v>一般</x:v>
      </x:c>
      <x:c r="L122" s="136" t="str">
        <x:v>修復值 +1</x:v>
      </x:c>
      <x:c r="M122" s="136" t="str">
        <x:v>若症狀持續、反覆或惡化，請由合格醫療專業評估。</x:v>
      </x:c>
      <x:c r="N122" s="154" t="n">
        <x:f>LEN(G122)</x:f>
        <x:v>34</x:v>
      </x:c>
      <x:c r="O122" s="144" t="str">
        <x:v>S047</x:v>
      </x:c>
      <x:c r="P122" s="136" t="str">
        <x:v>AAOS</x:v>
      </x:c>
      <x:c r="Q122" s="136" t="str">
        <x:v>Shoes: Finding the Right Fit</x:v>
      </x:c>
      <x:c r="R122" s="151" t="str">
        <x:v>https://orthoinfo.aaos.org/en/staying-healthy/shoes-finding-the-right-fit/</x:v>
      </x:c>
      <x:c r="S122" s="148" t="str">
        <x:v>2026-07-27</x:v>
      </x:c>
    </x:row>
    <x:row r="123" ht="58" customHeight="1">
      <x:c r="A123" s="143" t="str">
        <x:v>FT-119</x:v>
      </x:c>
      <x:c r="B123" s="144" t="str">
        <x:v>命運</x:v>
      </x:c>
      <x:c r="C123" s="136" t="str">
        <x:v>跑者照護：受傷處理、身體修復與健康</x:v>
      </x:c>
      <x:c r="D123" s="136" t="str">
        <x:v>水泡、趾甲與鞋襪</x:v>
      </x:c>
      <x:c r="E123" s="136" t="str">
        <x:v>在小問題變大前處理摩擦</x:v>
      </x:c>
      <x:c r="F123" s="136" t="str">
        <x:v>防磨品要先測試</x:v>
      </x:c>
      <x:c r="G123" s="136" t="str">
        <x:v>凡士林、膏劑與貼布在流汗後可能移位或刺激皮膚。
行動：先在訓練使用於腋下、鼠蹊、胸前等常摩擦處。</x:v>
      </x:c>
      <x:c r="H123" s="136" t="str">
        <x:v>先在訓練使用於腋下、鼠蹊、胸前等常摩擦處。</x:v>
      </x:c>
      <x:c r="I123" s="136" t="str">
        <x:v>比賽前</x:v>
      </x:c>
      <x:c r="J123" s="144" t="str">
        <x:v>中</x:v>
      </x:c>
      <x:c r="K123" s="144" t="str">
        <x:v>一般</x:v>
      </x:c>
      <x:c r="L123" s="136" t="str">
        <x:v>修復值 +1</x:v>
      </x:c>
      <x:c r="M123" s="136" t="str">
        <x:v>若症狀持續、反覆或惡化，請由合格醫療專業評估。</x:v>
      </x:c>
      <x:c r="N123" s="154" t="n">
        <x:f>LEN(G123)</x:f>
        <x:v>48</x:v>
      </x:c>
      <x:c r="O123" s="144" t="str">
        <x:v>S039</x:v>
      </x:c>
      <x:c r="P123" s="136" t="str">
        <x:v>World Athletics</x:v>
      </x:c>
      <x:c r="Q123" s="136" t="str">
        <x:v>Competition Medical Guidelines</x:v>
      </x:c>
      <x:c r="R123" s="151" t="str">
        <x:v>https://worldathletics.org/download/download?filename=a20d107f-c682-48be-8c54-b4c3764de329.pdf&amp;urlslug=World+Athletics+Competition+Medical+Guidelines+-+October+2020+Second+Edition</x:v>
      </x:c>
      <x:c r="S123" s="148" t="str">
        <x:v>2026-07-27</x:v>
      </x:c>
    </x:row>
    <x:row r="124" ht="58" customHeight="1">
      <x:c r="A124" s="143" t="str">
        <x:v>FT-120</x:v>
      </x:c>
      <x:c r="B124" s="144" t="str">
        <x:v>命運</x:v>
      </x:c>
      <x:c r="C124" s="136" t="str">
        <x:v>跑者照護：受傷處理、身體修復與健康</x:v>
      </x:c>
      <x:c r="D124" s="136" t="str">
        <x:v>水泡、趾甲與鞋襪</x:v>
      </x:c>
      <x:c r="E124" s="136" t="str">
        <x:v>在小問題變大前處理摩擦</x:v>
      </x:c>
      <x:c r="F124" s="136" t="str">
        <x:v>換鞋看狀態與身體反應</x:v>
      </x:c>
      <x:c r="G124" s="136" t="str">
        <x:v>里程只是參考；中底塌陷、外底磨平或舒適度明顯下降更具意義。
行動：定期檢查鞋底與左右磨耗，逐步輪換新鞋。</x:v>
      </x:c>
      <x:c r="H124" s="136" t="str">
        <x:v>定期檢查鞋底與左右磨耗，逐步輪換新鞋。</x:v>
      </x:c>
      <x:c r="I124" s="136" t="str">
        <x:v>鞋況檢查</x:v>
      </x:c>
      <x:c r="J124" s="144" t="str">
        <x:v>中</x:v>
      </x:c>
      <x:c r="K124" s="144" t="str">
        <x:v>一般</x:v>
      </x:c>
      <x:c r="L124" s="136" t="str">
        <x:v>修復值 +1</x:v>
      </x:c>
      <x:c r="M124" s="136" t="str">
        <x:v>若症狀持續、反覆或惡化，請由合格醫療專業評估。</x:v>
      </x:c>
      <x:c r="N124" s="154" t="n">
        <x:f>LEN(G124)</x:f>
        <x:v>52</x:v>
      </x:c>
      <x:c r="O124" s="144" t="str">
        <x:v>S023</x:v>
      </x:c>
      <x:c r="P124" s="136" t="str">
        <x:v>AAOS</x:v>
      </x:c>
      <x:c r="Q124" s="136" t="str">
        <x:v>Athletic Shoes</x:v>
      </x:c>
      <x:c r="R124" s="151" t="str">
        <x:v>https://orthoinfo.aaos.org/en/staying-healthy/athletic-shoes/</x:v>
      </x:c>
      <x:c r="S124" s="148" t="str">
        <x:v>2026-07-27</x:v>
      </x:c>
    </x:row>
    <x:row r="125" ht="58" customHeight="1">
      <x:c r="A125" s="143" t="str">
        <x:v>FT-121</x:v>
      </x:c>
      <x:c r="B125" s="144" t="str">
        <x:v>命運</x:v>
      </x:c>
      <x:c r="C125" s="136" t="str">
        <x:v>跑者照護：受傷處理、身體修復與健康</x:v>
      </x:c>
      <x:c r="D125" s="136" t="str">
        <x:v>熱傷害</x:v>
      </x:c>
      <x:c r="E125" s="136" t="str">
        <x:v>高溫時先降溫再談完賽</x:v>
      </x:c>
      <x:c r="F125" s="136" t="str">
        <x:v>熱痙攣先離開高溫</x:v>
      </x:c>
      <x:c r="G125" s="136" t="str">
        <x:v>高溫下抽筋可能與疲勞和大量出汗有關，也可能是更嚴重熱傷害的前兆。
行動：停止運動、移到陰涼處、降溫並依口渴小量補充。</x:v>
      </x:c>
      <x:c r="H125" s="136" t="str">
        <x:v>停止運動、移到陰涼處、降溫並依口渴小量補充。</x:v>
      </x:c>
      <x:c r="I125" s="136" t="str">
        <x:v>熱天抽筋</x:v>
      </x:c>
      <x:c r="J125" s="144" t="str">
        <x:v>高</x:v>
      </x:c>
      <x:c r="K125" s="144" t="str">
        <x:v>停止運動</x:v>
      </x:c>
      <x:c r="L125" s="136" t="str">
        <x:v>停止跑步並處理：修復值 +2；本回合休息</x:v>
      </x:c>
      <x:c r="M125" s="136" t="str">
        <x:v>若症狀持續、反覆或惡化，請由合格醫療專業評估。</x:v>
      </x:c>
      <x:c r="N125" s="154" t="n">
        <x:f>LEN(G125)</x:f>
        <x:v>58</x:v>
      </x:c>
      <x:c r="O125" s="144" t="str">
        <x:v>S035</x:v>
      </x:c>
      <x:c r="P125" s="136" t="str">
        <x:v>美國疾病管制與預防中心（CDC/NIOSH）</x:v>
      </x:c>
      <x:c r="Q125" s="136" t="str">
        <x:v>Heat-related Illnesses</x:v>
      </x:c>
      <x:c r="R125" s="151" t="str">
        <x:v>https://www.cdc.gov/niosh/heat-stress/about/illnesses.html</x:v>
      </x:c>
      <x:c r="S125" s="148" t="str">
        <x:v>2026-07-27</x:v>
      </x:c>
    </x:row>
    <x:row r="126" ht="58" customHeight="1">
      <x:c r="A126" s="143" t="str">
        <x:v>FT-122</x:v>
      </x:c>
      <x:c r="B126" s="144" t="str">
        <x:v>命運</x:v>
      </x:c>
      <x:c r="C126" s="136" t="str">
        <x:v>跑者照護：受傷處理、身體修復與健康</x:v>
      </x:c>
      <x:c r="D126" s="136" t="str">
        <x:v>熱傷害</x:v>
      </x:c>
      <x:c r="E126" s="136" t="str">
        <x:v>高溫時先降溫再談完賽</x:v>
      </x:c>
      <x:c r="F126" s="136" t="str">
        <x:v>熱衰竭需要停止活動</x:v>
      </x:c>
      <x:c r="G126" s="136" t="str">
        <x:v>大量出汗、頭痛、噁心、虛弱、頭暈或皮膚濕冷，符合熱衰竭警訊。
行動：移至陰涼處、移除多餘衣物、主動降溫並由他人陪同觀察。
注意：症狀未迅速改善或惡化時立即求助。</x:v>
      </x:c>
      <x:c r="H126" s="136" t="str">
        <x:v>移至陰涼處、移除多餘衣物、主動降溫並由他人陪同觀察。</x:v>
      </x:c>
      <x:c r="I126" s="136" t="str">
        <x:v>炎熱運動</x:v>
      </x:c>
      <x:c r="J126" s="144" t="str">
        <x:v>高</x:v>
      </x:c>
      <x:c r="K126" s="144" t="str">
        <x:v>停止運動</x:v>
      </x:c>
      <x:c r="L126" s="136" t="str">
        <x:v>停止跑步並處理：修復值 +2；本回合休息</x:v>
      </x:c>
      <x:c r="M126" s="136" t="str">
        <x:v>症狀未迅速改善或惡化時立即求助。</x:v>
      </x:c>
      <x:c r="N126" s="154" t="n">
        <x:f>LEN(G126)</x:f>
        <x:v>80</x:v>
      </x:c>
      <x:c r="O126" s="144" t="str">
        <x:v>S035</x:v>
      </x:c>
      <x:c r="P126" s="136" t="str">
        <x:v>美國疾病管制與預防中心（CDC/NIOSH）</x:v>
      </x:c>
      <x:c r="Q126" s="136" t="str">
        <x:v>Heat-related Illnesses</x:v>
      </x:c>
      <x:c r="R126" s="151" t="str">
        <x:v>https://www.cdc.gov/niosh/heat-stress/about/illnesses.html</x:v>
      </x:c>
      <x:c r="S126" s="148" t="str">
        <x:v>2026-07-27</x:v>
      </x:c>
    </x:row>
    <x:row r="127" ht="58" customHeight="1">
      <x:c r="A127" s="143" t="str">
        <x:v>FT-123</x:v>
      </x:c>
      <x:c r="B127" s="144" t="str">
        <x:v>命運</x:v>
      </x:c>
      <x:c r="C127" s="136" t="str">
        <x:v>跑者照護：受傷處理、身體修復與健康</x:v>
      </x:c>
      <x:c r="D127" s="136" t="str">
        <x:v>熱傷害</x:v>
      </x:c>
      <x:c r="E127" s="136" t="str">
        <x:v>高溫時先降溫再談完賽</x:v>
      </x:c>
      <x:c r="F127" s="136" t="str">
        <x:v>熱中暑看意識，不看有沒有流汗</x:v>
      </x:c>
      <x:c r="G127" s="136" t="str">
        <x:v>熱中暑可出現混亂、抽搐或昏迷，患者可能仍在流汗。
行動：立刻 119，並在等待救護時持續全身快速降溫。</x:v>
      </x:c>
      <x:c r="H127" s="136" t="str">
        <x:v>立刻 119，並在等待救護時持續全身快速降溫。</x:v>
      </x:c>
      <x:c r="I127" s="136" t="str">
        <x:v>意識異常</x:v>
      </x:c>
      <x:c r="J127" s="144" t="str">
        <x:v>高</x:v>
      </x:c>
      <x:c r="K127" s="144" t="str">
        <x:v>緊急</x:v>
      </x:c>
      <x:c r="L127" s="136" t="str">
        <x:v>立即停止並求助：健康值保全；本回合休息</x:v>
      </x:c>
      <x:c r="M127" s="136" t="str">
        <x:v>若症狀持續、反覆或惡化，請由合格醫療專業評估。</x:v>
      </x:c>
      <x:c r="N127" s="154" t="n">
        <x:f>LEN(G127)</x:f>
        <x:v>51</x:v>
      </x:c>
      <x:c r="O127" s="144" t="str">
        <x:v>S036</x:v>
      </x:c>
      <x:c r="P127" s="136" t="str">
        <x:v>National Athletic Trainers' Association（NATA）</x:v>
      </x:c>
      <x:c r="Q127" s="136" t="str">
        <x:v>Exertional Heat Illnesses Position Statement</x:v>
      </x:c>
      <x:c r="R127" s="151" t="str">
        <x:v>https://www.nata.org/sites/default/files/2025-08/exertional_heat_illnesses.pdf</x:v>
      </x:c>
      <x:c r="S127" s="148" t="str">
        <x:v>2026-07-27</x:v>
      </x:c>
    </x:row>
    <x:row r="128" ht="58" customHeight="1">
      <x:c r="A128" s="143" t="str">
        <x:v>FT-124</x:v>
      </x:c>
      <x:c r="B128" s="144" t="str">
        <x:v>命運</x:v>
      </x:c>
      <x:c r="C128" s="136" t="str">
        <x:v>跑者照護：受傷處理、身體修復與健康</x:v>
      </x:c>
      <x:c r="D128" s="136" t="str">
        <x:v>熱傷害</x:v>
      </x:c>
      <x:c r="E128" s="136" t="str">
        <x:v>高溫時先降溫再談完賽</x:v>
      </x:c>
      <x:c r="F128" s="136" t="str">
        <x:v>冷水浸泡是有效快速降溫法</x:v>
      </x:c>
      <x:c r="G128" s="136" t="str">
        <x:v>運動性熱中暑需迅速降低核心體溫。
行動：可用全身冷水浸泡並持續攪動水；無法浸泡時用大量冷水、冰濕毛巾覆蓋。
注意：確保呼吸道安全並有人持續監測。</x:v>
      </x:c>
      <x:c r="H128" s="136" t="str">
        <x:v>可用全身冷水浸泡並持續攪動水；無法浸泡時用大量冷水、冰濕毛巾覆蓋。</x:v>
      </x:c>
      <x:c r="I128" s="136" t="str">
        <x:v>等待救護</x:v>
      </x:c>
      <x:c r="J128" s="144" t="str">
        <x:v>高</x:v>
      </x:c>
      <x:c r="K128" s="144" t="str">
        <x:v>緊急</x:v>
      </x:c>
      <x:c r="L128" s="136" t="str">
        <x:v>立即停止並求助：健康值保全；本回合休息</x:v>
      </x:c>
      <x:c r="M128" s="136" t="str">
        <x:v>確保呼吸道安全並有人持續監測。</x:v>
      </x:c>
      <x:c r="N128" s="154" t="n">
        <x:f>LEN(G128)</x:f>
        <x:v>72</x:v>
      </x:c>
      <x:c r="O128" s="144" t="str">
        <x:v>S036</x:v>
      </x:c>
      <x:c r="P128" s="136" t="str">
        <x:v>National Athletic Trainers' Association（NATA）</x:v>
      </x:c>
      <x:c r="Q128" s="136" t="str">
        <x:v>Exertional Heat Illnesses Position Statement</x:v>
      </x:c>
      <x:c r="R128" s="151" t="str">
        <x:v>https://www.nata.org/sites/default/files/2025-08/exertional_heat_illnesses.pdf</x:v>
      </x:c>
      <x:c r="S128" s="148" t="str">
        <x:v>2026-07-27</x:v>
      </x:c>
    </x:row>
    <x:row r="129" ht="58" customHeight="1">
      <x:c r="A129" s="143" t="str">
        <x:v>FT-125</x:v>
      </x:c>
      <x:c r="B129" s="144" t="str">
        <x:v>命運</x:v>
      </x:c>
      <x:c r="C129" s="136" t="str">
        <x:v>跑者照護：受傷處理、身體修復與健康</x:v>
      </x:c>
      <x:c r="D129" s="136" t="str">
        <x:v>熱傷害</x:v>
      </x:c>
      <x:c r="E129" s="136" t="str">
        <x:v>高溫時先降溫再談完賽</x:v>
      </x:c>
      <x:c r="F129" s="136" t="str">
        <x:v>補水不能抵消不合理配速</x:v>
      </x:c>
      <x:c r="G129" s="136" t="str">
        <x:v>喝足水仍可能熱中暑，因為產熱超過散熱能力。
行動：熱天同時降低配速、縮短時長、增加遮蔭與休息。</x:v>
      </x:c>
      <x:c r="H129" s="136" t="str">
        <x:v>熱天同時降低配速、縮短時長、增加遮蔭與休息。</x:v>
      </x:c>
      <x:c r="I129" s="136" t="str">
        <x:v>高溫高濕</x:v>
      </x:c>
      <x:c r="J129" s="144" t="str">
        <x:v>高</x:v>
      </x:c>
      <x:c r="K129" s="144" t="str">
        <x:v>一般</x:v>
      </x:c>
      <x:c r="L129" s="136" t="str">
        <x:v>健康值 +1；修復值 +1</x:v>
      </x:c>
      <x:c r="M129" s="136" t="str">
        <x:v>若症狀持續、反覆或惡化，請由合格醫療專業評估。</x:v>
      </x:c>
      <x:c r="N129" s="154" t="n">
        <x:f>LEN(G129)</x:f>
        <x:v>47</x:v>
      </x:c>
      <x:c r="O129" s="144" t="str">
        <x:v>S018</x:v>
      </x:c>
      <x:c r="P129" s="136" t="str">
        <x:v>國際奧會（IOC）／BJSM</x:v>
      </x:c>
      <x:c r="Q129" s="136" t="str">
        <x:v>Consensus on thermoregulatory and altitude challenges</x:v>
      </x:c>
      <x:c r="R129" s="151" t="str">
        <x:v>https://bjsm.bmj.com/content/57/1/8</x:v>
      </x:c>
      <x:c r="S129" s="148" t="str">
        <x:v>2026-07-27</x:v>
      </x:c>
    </x:row>
    <x:row r="130" ht="58" customHeight="1">
      <x:c r="A130" s="143" t="str">
        <x:v>FT-126</x:v>
      </x:c>
      <x:c r="B130" s="144" t="str">
        <x:v>命運</x:v>
      </x:c>
      <x:c r="C130" s="136" t="str">
        <x:v>跑者照護：受傷處理、身體修復與健康</x:v>
      </x:c>
      <x:c r="D130" s="136" t="str">
        <x:v>熱傷害</x:v>
      </x:c>
      <x:c r="E130" s="136" t="str">
        <x:v>高溫時先降溫再談完賽</x:v>
      </x:c>
      <x:c r="F130" s="136" t="str">
        <x:v>熱適應要漸進，不拿不適硬撐</x:v>
      </x:c>
      <x:c r="G130" s="136" t="str">
        <x:v>初到炎熱環境的前幾天風險較高。
行動：前 7–14 天降低強度與時長，逐步增加暴露。</x:v>
      </x:c>
      <x:c r="H130" s="136" t="str">
        <x:v>前 7–14 天降低強度與時長，逐步增加暴露。</x:v>
      </x:c>
      <x:c r="I130" s="136" t="str">
        <x:v>夏季或旅行</x:v>
      </x:c>
      <x:c r="J130" s="144" t="str">
        <x:v>高</x:v>
      </x:c>
      <x:c r="K130" s="144" t="str">
        <x:v>一般</x:v>
      </x:c>
      <x:c r="L130" s="136" t="str">
        <x:v>健康值 +1；修復值 +1</x:v>
      </x:c>
      <x:c r="M130" s="136" t="str">
        <x:v>若症狀持續、反覆或惡化，請由合格醫療專業評估。</x:v>
      </x:c>
      <x:c r="N130" s="154" t="n">
        <x:f>LEN(G130)</x:f>
        <x:v>42</x:v>
      </x:c>
      <x:c r="O130" s="144" t="str">
        <x:v>S017</x:v>
      </x:c>
      <x:c r="P130" s="136" t="str">
        <x:v>BJSM／PMC</x:v>
      </x:c>
      <x:c r="Q130" s="136" t="str">
        <x:v>Heat acclimatisation consensus recommendations</x:v>
      </x:c>
      <x:c r="R130" s="151" t="str">
        <x:v>https://pmc.ncbi.nlm.nih.gov/articles/PMC4473280/</x:v>
      </x:c>
      <x:c r="S130" s="148" t="str">
        <x:v>2026-07-27</x:v>
      </x:c>
    </x:row>
    <x:row r="131" ht="58" customHeight="1">
      <x:c r="A131" s="143" t="str">
        <x:v>FT-127</x:v>
      </x:c>
      <x:c r="B131" s="144" t="str">
        <x:v>命運</x:v>
      </x:c>
      <x:c r="C131" s="136" t="str">
        <x:v>跑者照護：受傷處理、身體修復與健康</x:v>
      </x:c>
      <x:c r="D131" s="136" t="str">
        <x:v>熱傷害</x:v>
      </x:c>
      <x:c r="E131" s="136" t="str">
        <x:v>高溫時先降溫再談完賽</x:v>
      </x:c>
      <x:c r="F131" s="136" t="str">
        <x:v>藥物與疾病可能提高熱風險</x:v>
      </x:c>
      <x:c r="G131" s="136" t="str">
        <x:v>發燒、腹瀉、利尿或影響出汗的藥物，可能降低耐熱能力。
行動：生病時取消高溫訓練；用藥者事先諮詢醫療人員。</x:v>
      </x:c>
      <x:c r="H131" s="136" t="str">
        <x:v>生病時取消高溫訓練；用藥者事先諮詢醫療人員。</x:v>
      </x:c>
      <x:c r="I131" s="136" t="str">
        <x:v>高溫前風險評估</x:v>
      </x:c>
      <x:c r="J131" s="144" t="str">
        <x:v>高</x:v>
      </x:c>
      <x:c r="K131" s="144" t="str">
        <x:v>留意</x:v>
      </x:c>
      <x:c r="L131" s="136" t="str">
        <x:v>做出正確照護：修復值 +1</x:v>
      </x:c>
      <x:c r="M131" s="136" t="str">
        <x:v>若症狀持續、反覆或惡化，請由合格醫療專業評估。</x:v>
      </x:c>
      <x:c r="N131" s="154" t="n">
        <x:f>LEN(G131)</x:f>
        <x:v>52</x:v>
      </x:c>
      <x:c r="O131" s="144" t="str">
        <x:v>S035</x:v>
      </x:c>
      <x:c r="P131" s="136" t="str">
        <x:v>美國疾病管制與預防中心（CDC/NIOSH）</x:v>
      </x:c>
      <x:c r="Q131" s="136" t="str">
        <x:v>Heat-related Illnesses</x:v>
      </x:c>
      <x:c r="R131" s="151" t="str">
        <x:v>https://www.cdc.gov/niosh/heat-stress/about/illnesses.html</x:v>
      </x:c>
      <x:c r="S131" s="148" t="str">
        <x:v>2026-07-27</x:v>
      </x:c>
    </x:row>
    <x:row r="132" ht="58" customHeight="1">
      <x:c r="A132" s="143" t="str">
        <x:v>FT-128</x:v>
      </x:c>
      <x:c r="B132" s="144" t="str">
        <x:v>命運</x:v>
      </x:c>
      <x:c r="C132" s="136" t="str">
        <x:v>跑者照護：受傷處理、身體修復與健康</x:v>
      </x:c>
      <x:c r="D132" s="136" t="str">
        <x:v>熱傷害</x:v>
      </x:c>
      <x:c r="E132" s="136" t="str">
        <x:v>高溫時先降溫再談完賽</x:v>
      </x:c>
      <x:c r="F132" s="136" t="str">
        <x:v>用環境條件改課表</x:v>
      </x:c>
      <x:c r="G132" s="136" t="str">
        <x:v>氣溫、濕度、日照與風共同決定熱壓力，單看溫度不夠。
行動：依官方熱指數或 WBGT 資訊改到清晨、室內或縮短。</x:v>
      </x:c>
      <x:c r="H132" s="136" t="str">
        <x:v>依官方熱指數或 WBGT 資訊改到清晨、室內或縮短。</x:v>
      </x:c>
      <x:c r="I132" s="136" t="str">
        <x:v>熱季每日</x:v>
      </x:c>
      <x:c r="J132" s="144" t="str">
        <x:v>中</x:v>
      </x:c>
      <x:c r="K132" s="144" t="str">
        <x:v>一般</x:v>
      </x:c>
      <x:c r="L132" s="136" t="str">
        <x:v>修復值 +1</x:v>
      </x:c>
      <x:c r="M132" s="136" t="str">
        <x:v>若症狀持續、反覆或惡化，請由合格醫療專業評估。</x:v>
      </x:c>
      <x:c r="N132" s="154" t="n">
        <x:f>LEN(G132)</x:f>
        <x:v>55</x:v>
      </x:c>
      <x:c r="O132" s="144" t="str">
        <x:v>S018</x:v>
      </x:c>
      <x:c r="P132" s="136" t="str">
        <x:v>國際奧會（IOC）／BJSM</x:v>
      </x:c>
      <x:c r="Q132" s="136" t="str">
        <x:v>Consensus on thermoregulatory and altitude challenges</x:v>
      </x:c>
      <x:c r="R132" s="151" t="str">
        <x:v>https://bjsm.bmj.com/content/57/1/8</x:v>
      </x:c>
      <x:c r="S132" s="148" t="str">
        <x:v>2026-07-27</x:v>
      </x:c>
    </x:row>
    <x:row r="133" ht="58" customHeight="1">
      <x:c r="A133" s="143" t="str">
        <x:v>FT-129</x:v>
      </x:c>
      <x:c r="B133" s="144" t="str">
        <x:v>命運</x:v>
      </x:c>
      <x:c r="C133" s="136" t="str">
        <x:v>跑者照護：受傷處理、身體修復與健康</x:v>
      </x:c>
      <x:c r="D133" s="136" t="str">
        <x:v>熱傷害</x:v>
      </x:c>
      <x:c r="E133" s="136" t="str">
        <x:v>高溫時先降溫再談完賽</x:v>
      </x:c>
      <x:c r="F133" s="136" t="str">
        <x:v>熱天不要一個人硬闖長路線</x:v>
      </x:c>
      <x:c r="G133" s="136" t="str">
        <x:v>熱傷害會影響判斷，當事人可能低估嚴重度。
行動：使用結伴、定位分享、補給與撤退點，讓他人知道預計返程時間。</x:v>
      </x:c>
      <x:c r="H133" s="136" t="str">
        <x:v>使用結伴、定位分享、補給與撤退點，讓他人知道預計返程時間。</x:v>
      </x:c>
      <x:c r="I133" s="136" t="str">
        <x:v>環台長距離</x:v>
      </x:c>
      <x:c r="J133" s="144" t="str">
        <x:v>高</x:v>
      </x:c>
      <x:c r="K133" s="144" t="str">
        <x:v>一般</x:v>
      </x:c>
      <x:c r="L133" s="136" t="str">
        <x:v>健康值 +1；修復值 +1</x:v>
      </x:c>
      <x:c r="M133" s="136" t="str">
        <x:v>若症狀持續、反覆或惡化，請由合格醫療專業評估。</x:v>
      </x:c>
      <x:c r="N133" s="154" t="n">
        <x:f>LEN(G133)</x:f>
        <x:v>53</x:v>
      </x:c>
      <x:c r="O133" s="144" t="str">
        <x:v>S039</x:v>
      </x:c>
      <x:c r="P133" s="136" t="str">
        <x:v>World Athletics</x:v>
      </x:c>
      <x:c r="Q133" s="136" t="str">
        <x:v>Competition Medical Guidelines</x:v>
      </x:c>
      <x:c r="R133" s="151" t="str">
        <x:v>https://worldathletics.org/download/download?filename=a20d107f-c682-48be-8c54-b4c3764de329.pdf&amp;urlslug=World+Athletics+Competition+Medical+Guidelines+-+October+2020+Second+Edition</x:v>
      </x:c>
      <x:c r="S133" s="148" t="str">
        <x:v>2026-07-27</x:v>
      </x:c>
    </x:row>
    <x:row r="134" ht="58" customHeight="1">
      <x:c r="A134" s="143" t="str">
        <x:v>FT-130</x:v>
      </x:c>
      <x:c r="B134" s="144" t="str">
        <x:v>命運</x:v>
      </x:c>
      <x:c r="C134" s="136" t="str">
        <x:v>跑者照護：受傷處理、身體修復與健康</x:v>
      </x:c>
      <x:c r="D134" s="136" t="str">
        <x:v>熱傷害</x:v>
      </x:c>
      <x:c r="E134" s="136" t="str">
        <x:v>高溫時先降溫再談完賽</x:v>
      </x:c>
      <x:c r="F134" s="136" t="str">
        <x:v>熱傷害後回跑要有醫療同意</x:v>
      </x:c>
      <x:c r="G134" s="136" t="str">
        <x:v>嚴重熱傷害可能影響多個器官，症狀消失不等於已恢復。
行動：完成醫療評估後，從低溫、低強度與短時間逐步回歸。</x:v>
      </x:c>
      <x:c r="H134" s="136" t="str">
        <x:v>完成醫療評估後，從低溫、低強度與短時間逐步回歸。</x:v>
      </x:c>
      <x:c r="I134" s="136" t="str">
        <x:v>熱傷害康復</x:v>
      </x:c>
      <x:c r="J134" s="144" t="str">
        <x:v>高</x:v>
      </x:c>
      <x:c r="K134" s="144" t="str">
        <x:v>停止運動</x:v>
      </x:c>
      <x:c r="L134" s="136" t="str">
        <x:v>停止跑步並處理：修復值 +2；本回合休息</x:v>
      </x:c>
      <x:c r="M134" s="136" t="str">
        <x:v>若症狀持續、反覆或惡化，請由合格醫療專業評估。</x:v>
      </x:c>
      <x:c r="N134" s="154" t="n">
        <x:f>LEN(G134)</x:f>
        <x:v>53</x:v>
      </x:c>
      <x:c r="O134" s="144" t="str">
        <x:v>S036</x:v>
      </x:c>
      <x:c r="P134" s="136" t="str">
        <x:v>National Athletic Trainers' Association（NATA）</x:v>
      </x:c>
      <x:c r="Q134" s="136" t="str">
        <x:v>Exertional Heat Illnesses Position Statement</x:v>
      </x:c>
      <x:c r="R134" s="151" t="str">
        <x:v>https://www.nata.org/sites/default/files/2025-08/exertional_heat_illnesses.pdf</x:v>
      </x:c>
      <x:c r="S134" s="148" t="str">
        <x:v>2026-07-27</x:v>
      </x:c>
    </x:row>
    <x:row r="135" ht="58" customHeight="1">
      <x:c r="A135" s="143" t="str">
        <x:v>FT-131</x:v>
      </x:c>
      <x:c r="B135" s="144" t="str">
        <x:v>命運</x:v>
      </x:c>
      <x:c r="C135" s="136" t="str">
        <x:v>跑者照護：受傷處理、身體修復與健康</x:v>
      </x:c>
      <x:c r="D135" s="136" t="str">
        <x:v>低溫、雨天與環境</x:v>
      </x:c>
      <x:c r="E135" s="136" t="str">
        <x:v>避免失溫、雷擊與路面意外</x:v>
      </x:c>
      <x:c r="F135" s="136" t="str">
        <x:v>發抖與動作笨拙是失溫警訊</x:v>
      </x:c>
      <x:c r="G135" s="136" t="str">
        <x:v>持續發抖、說話含糊、協調變差或嗜睡，可能是低體溫。
行動：立即停止、移到避風處、換乾衣並求助；意識異常撥 119。</x:v>
      </x:c>
      <x:c r="H135" s="136" t="str">
        <x:v>立即停止、移到避風處、換乾衣並求助；意識異常撥 119。</x:v>
      </x:c>
      <x:c r="I135" s="136" t="str">
        <x:v>寒冷濕環境</x:v>
      </x:c>
      <x:c r="J135" s="144" t="str">
        <x:v>高</x:v>
      </x:c>
      <x:c r="K135" s="144" t="str">
        <x:v>緊急</x:v>
      </x:c>
      <x:c r="L135" s="136" t="str">
        <x:v>立即停止並求助：健康值保全；本回合休息</x:v>
      </x:c>
      <x:c r="M135" s="136" t="str">
        <x:v>若症狀持續、反覆或惡化，請由合格醫療專業評估。</x:v>
      </x:c>
      <x:c r="N135" s="154" t="n">
        <x:f>LEN(G135)</x:f>
        <x:v>57</x:v>
      </x:c>
      <x:c r="O135" s="144" t="str">
        <x:v>S018</x:v>
      </x:c>
      <x:c r="P135" s="136" t="str">
        <x:v>國際奧會（IOC）／BJSM</x:v>
      </x:c>
      <x:c r="Q135" s="136" t="str">
        <x:v>Consensus on thermoregulatory and altitude challenges</x:v>
      </x:c>
      <x:c r="R135" s="151" t="str">
        <x:v>https://bjsm.bmj.com/content/57/1/8</x:v>
      </x:c>
      <x:c r="S135" s="148" t="str">
        <x:v>2026-07-27</x:v>
      </x:c>
    </x:row>
    <x:row r="136" ht="58" customHeight="1">
      <x:c r="A136" s="143" t="str">
        <x:v>FT-132</x:v>
      </x:c>
      <x:c r="B136" s="144" t="str">
        <x:v>命運</x:v>
      </x:c>
      <x:c r="C136" s="136" t="str">
        <x:v>跑者照護：受傷處理、身體修復與健康</x:v>
      </x:c>
      <x:c r="D136" s="136" t="str">
        <x:v>低溫、雨天與環境</x:v>
      </x:c>
      <x:c r="E136" s="136" t="str">
        <x:v>避免失溫、雷擊與路面意外</x:v>
      </x:c>
      <x:c r="F136" s="136" t="str">
        <x:v>濕衣會加速散熱</x:v>
      </x:c>
      <x:c r="G136" s="136" t="str">
        <x:v>雨水和汗水使衣物失去保溫效果，停下後體溫下降更快。
行動：穿排汗層與防風外層，攜帶乾衣，完跑後立即更換。</x:v>
      </x:c>
      <x:c r="H136" s="136" t="str">
        <x:v>穿排汗層與防風外層，攜帶乾衣，完跑後立即更換。</x:v>
      </x:c>
      <x:c r="I136" s="136" t="str">
        <x:v>冬雨長跑</x:v>
      </x:c>
      <x:c r="J136" s="144" t="str">
        <x:v>中</x:v>
      </x:c>
      <x:c r="K136" s="144" t="str">
        <x:v>一般</x:v>
      </x:c>
      <x:c r="L136" s="136" t="str">
        <x:v>修復值 +1</x:v>
      </x:c>
      <x:c r="M136" s="136" t="str">
        <x:v>若症狀持續、反覆或惡化，請由合格醫療專業評估。</x:v>
      </x:c>
      <x:c r="N136" s="154" t="n">
        <x:f>LEN(G136)</x:f>
        <x:v>52</x:v>
      </x:c>
      <x:c r="O136" s="144" t="str">
        <x:v>S018</x:v>
      </x:c>
      <x:c r="P136" s="136" t="str">
        <x:v>國際奧會（IOC）／BJSM</x:v>
      </x:c>
      <x:c r="Q136" s="136" t="str">
        <x:v>Consensus on thermoregulatory and altitude challenges</x:v>
      </x:c>
      <x:c r="R136" s="151" t="str">
        <x:v>https://bjsm.bmj.com/content/57/1/8</x:v>
      </x:c>
      <x:c r="S136" s="148" t="str">
        <x:v>2026-07-27</x:v>
      </x:c>
    </x:row>
    <x:row r="137" ht="58" customHeight="1">
      <x:c r="A137" s="143" t="str">
        <x:v>FT-133</x:v>
      </x:c>
      <x:c r="B137" s="144" t="str">
        <x:v>命運</x:v>
      </x:c>
      <x:c r="C137" s="136" t="str">
        <x:v>跑者照護：受傷處理、身體修復與健康</x:v>
      </x:c>
      <x:c r="D137" s="136" t="str">
        <x:v>低溫、雨天與環境</x:v>
      </x:c>
      <x:c r="E137" s="136" t="str">
        <x:v>避免失溫、雷擊與路面意外</x:v>
      </x:c>
      <x:c r="F137" s="136" t="str">
        <x:v>分層要能途中調整</x:v>
      </x:c>
      <x:c r="G137" s="136" t="str">
        <x:v>上坡產熱、下坡與休息變冷，同一套穿著難以全程合適。
行動：使用可開合或可收納外層，出發時略涼而非悶熱。</x:v>
      </x:c>
      <x:c r="H137" s="136" t="str">
        <x:v>使用可開合或可收納外層，出發時略涼而非悶熱。</x:v>
      </x:c>
      <x:c r="I137" s="136" t="str">
        <x:v>低溫訓練</x:v>
      </x:c>
      <x:c r="J137" s="144" t="str">
        <x:v>中</x:v>
      </x:c>
      <x:c r="K137" s="144" t="str">
        <x:v>一般</x:v>
      </x:c>
      <x:c r="L137" s="136" t="str">
        <x:v>修復值 +1</x:v>
      </x:c>
      <x:c r="M137" s="136" t="str">
        <x:v>若症狀持續、反覆或惡化，請由合格醫療專業評估。</x:v>
      </x:c>
      <x:c r="N137" s="154" t="n">
        <x:f>LEN(G137)</x:f>
        <x:v>51</x:v>
      </x:c>
      <x:c r="O137" s="144" t="str">
        <x:v>S018</x:v>
      </x:c>
      <x:c r="P137" s="136" t="str">
        <x:v>國際奧會（IOC）／BJSM</x:v>
      </x:c>
      <x:c r="Q137" s="136" t="str">
        <x:v>Consensus on thermoregulatory and altitude challenges</x:v>
      </x:c>
      <x:c r="R137" s="151" t="str">
        <x:v>https://bjsm.bmj.com/content/57/1/8</x:v>
      </x:c>
      <x:c r="S137" s="148" t="str">
        <x:v>2026-07-27</x:v>
      </x:c>
    </x:row>
    <x:row r="138" ht="58" customHeight="1">
      <x:c r="A138" s="143" t="str">
        <x:v>FT-134</x:v>
      </x:c>
      <x:c r="B138" s="144" t="str">
        <x:v>命運</x:v>
      </x:c>
      <x:c r="C138" s="136" t="str">
        <x:v>跑者照護：受傷處理、身體修復與健康</x:v>
      </x:c>
      <x:c r="D138" s="136" t="str">
        <x:v>低溫、雨天與環境</x:v>
      </x:c>
      <x:c r="E138" s="136" t="str">
        <x:v>避免失溫、雷擊與路面意外</x:v>
      </x:c>
      <x:c r="F138" s="136" t="str">
        <x:v>風寒會讓體感低於氣溫</x:v>
      </x:c>
      <x:c r="G138" s="136" t="str">
        <x:v>強風會加速散熱，橋面與海岸尤其明顯。
行動：縮短暴露、遮蔽頭手與軀幹，規劃順逆風次序與撤退點。</x:v>
      </x:c>
      <x:c r="H138" s="136" t="str">
        <x:v>縮短暴露、遮蔽頭手與軀幹，規劃順逆風次序與撤退點。</x:v>
      </x:c>
      <x:c r="I138" s="136" t="str">
        <x:v>東北季風</x:v>
      </x:c>
      <x:c r="J138" s="144" t="str">
        <x:v>中</x:v>
      </x:c>
      <x:c r="K138" s="144" t="str">
        <x:v>一般</x:v>
      </x:c>
      <x:c r="L138" s="136" t="str">
        <x:v>修復值 +1</x:v>
      </x:c>
      <x:c r="M138" s="136" t="str">
        <x:v>若症狀持續、反覆或惡化，請由合格醫療專業評估。</x:v>
      </x:c>
      <x:c r="N138" s="154" t="n">
        <x:f>LEN(G138)</x:f>
        <x:v>47</x:v>
      </x:c>
      <x:c r="O138" s="144" t="str">
        <x:v>S018</x:v>
      </x:c>
      <x:c r="P138" s="136" t="str">
        <x:v>國際奧會（IOC）／BJSM</x:v>
      </x:c>
      <x:c r="Q138" s="136" t="str">
        <x:v>Consensus on thermoregulatory and altitude challenges</x:v>
      </x:c>
      <x:c r="R138" s="151" t="str">
        <x:v>https://bjsm.bmj.com/content/57/1/8</x:v>
      </x:c>
      <x:c r="S138" s="148" t="str">
        <x:v>2026-07-27</x:v>
      </x:c>
    </x:row>
    <x:row r="139" ht="58" customHeight="1">
      <x:c r="A139" s="143" t="str">
        <x:v>FT-135</x:v>
      </x:c>
      <x:c r="B139" s="144" t="str">
        <x:v>命運</x:v>
      </x:c>
      <x:c r="C139" s="136" t="str">
        <x:v>跑者照護：受傷處理、身體修復與健康</x:v>
      </x:c>
      <x:c r="D139" s="136" t="str">
        <x:v>低溫、雨天與環境</x:v>
      </x:c>
      <x:c r="E139" s="136" t="str">
        <x:v>避免失溫、雷擊與路面意外</x:v>
      </x:c>
      <x:c r="F139" s="136" t="str">
        <x:v>聽到雷聲就離開空曠處</x:v>
      </x:c>
      <x:c r="G139" s="136" t="str">
        <x:v>雷雨下操場、山稜、河堤與孤立樹旁都不安全。
行動：停止活動，進入有完整屋頂與電線配置的建築或金屬車體。</x:v>
      </x:c>
      <x:c r="H139" s="136" t="str">
        <x:v>停止活動，進入有完整屋頂與電線配置的建築或金屬車體。</x:v>
      </x:c>
      <x:c r="I139" s="136" t="str">
        <x:v>雷雨</x:v>
      </x:c>
      <x:c r="J139" s="144" t="str">
        <x:v>高</x:v>
      </x:c>
      <x:c r="K139" s="144" t="str">
        <x:v>停止運動</x:v>
      </x:c>
      <x:c r="L139" s="136" t="str">
        <x:v>停止跑步並處理：修復值 +2；本回合休息</x:v>
      </x:c>
      <x:c r="M139" s="136" t="str">
        <x:v>若症狀持續、反覆或惡化，請由合格醫療專業評估。</x:v>
      </x:c>
      <x:c r="N139" s="154" t="n">
        <x:f>LEN(G139)</x:f>
        <x:v>51</x:v>
      </x:c>
      <x:c r="O139" s="144" t="str">
        <x:v>S039</x:v>
      </x:c>
      <x:c r="P139" s="136" t="str">
        <x:v>World Athletics</x:v>
      </x:c>
      <x:c r="Q139" s="136" t="str">
        <x:v>Competition Medical Guidelines</x:v>
      </x:c>
      <x:c r="R139" s="151" t="str">
        <x:v>https://worldathletics.org/download/download?filename=a20d107f-c682-48be-8c54-b4c3764de329.pdf&amp;urlslug=World+Athletics+Competition+Medical+Guidelines+-+October+2020+Second+Edition</x:v>
      </x:c>
      <x:c r="S139" s="148" t="str">
        <x:v>2026-07-27</x:v>
      </x:c>
    </x:row>
    <x:row r="140" ht="58" customHeight="1">
      <x:c r="A140" s="143" t="str">
        <x:v>FT-136</x:v>
      </x:c>
      <x:c r="B140" s="144" t="str">
        <x:v>命運</x:v>
      </x:c>
      <x:c r="C140" s="136" t="str">
        <x:v>跑者照護：受傷處理、身體修復與健康</x:v>
      </x:c>
      <x:c r="D140" s="136" t="str">
        <x:v>低溫、雨天與環境</x:v>
      </x:c>
      <x:c r="E140" s="136" t="str">
        <x:v>避免失溫、雷擊與路面意外</x:v>
      </x:c>
      <x:c r="F140" s="136" t="str">
        <x:v>夜跑要讓別人看見你</x:v>
      </x:c>
      <x:c r="G140" s="136" t="str">
        <x:v>低照度增加車輛與自行車碰撞風險。
行動：穿反光裝備、使用前後燈，盡量選有人行空間的熟悉路線。</x:v>
      </x:c>
      <x:c r="H140" s="136" t="str">
        <x:v>穿反光裝備、使用前後燈，盡量選有人行空間的熟悉路線。</x:v>
      </x:c>
      <x:c r="I140" s="136" t="str">
        <x:v>夜間跑步</x:v>
      </x:c>
      <x:c r="J140" s="144" t="str">
        <x:v>高</x:v>
      </x:c>
      <x:c r="K140" s="144" t="str">
        <x:v>一般</x:v>
      </x:c>
      <x:c r="L140" s="136" t="str">
        <x:v>健康值 +1；修復值 +1</x:v>
      </x:c>
      <x:c r="M140" s="136" t="str">
        <x:v>若症狀持續、反覆或惡化，請由合格醫療專業評估。</x:v>
      </x:c>
      <x:c r="N140" s="154" t="n">
        <x:f>LEN(G140)</x:f>
        <x:v>46</x:v>
      </x:c>
      <x:c r="O140" s="144" t="str">
        <x:v>S039</x:v>
      </x:c>
      <x:c r="P140" s="136" t="str">
        <x:v>World Athletics</x:v>
      </x:c>
      <x:c r="Q140" s="136" t="str">
        <x:v>Competition Medical Guidelines</x:v>
      </x:c>
      <x:c r="R140" s="151" t="str">
        <x:v>https://worldathletics.org/download/download?filename=a20d107f-c682-48be-8c54-b4c3764de329.pdf&amp;urlslug=World+Athletics+Competition+Medical+Guidelines+-+October+2020+Second+Edition</x:v>
      </x:c>
      <x:c r="S140" s="148" t="str">
        <x:v>2026-07-27</x:v>
      </x:c>
    </x:row>
    <x:row r="141" ht="58" customHeight="1">
      <x:c r="A141" s="143" t="str">
        <x:v>FT-137</x:v>
      </x:c>
      <x:c r="B141" s="144" t="str">
        <x:v>命運</x:v>
      </x:c>
      <x:c r="C141" s="136" t="str">
        <x:v>跑者照護：受傷處理、身體修復與健康</x:v>
      </x:c>
      <x:c r="D141" s="136" t="str">
        <x:v>低溫、雨天與環境</x:v>
      </x:c>
      <x:c r="E141" s="136" t="str">
        <x:v>避免失溫、雷擊與路面意外</x:v>
      </x:c>
      <x:c r="F141" s="136" t="str">
        <x:v>濕滑地面別追步頻課</x:v>
      </x:c>
      <x:c r="G141" s="136" t="str">
        <x:v>磁磚、落葉、標線與金屬蓋在雨天摩擦力大降。
行動：縮短步幅、降低速度，避開急轉與水面看不見的坑洞。</x:v>
      </x:c>
      <x:c r="H141" s="136" t="str">
        <x:v>縮短步幅、降低速度，避開急轉與水面看不見的坑洞。</x:v>
      </x:c>
      <x:c r="I141" s="136" t="str">
        <x:v>雨天</x:v>
      </x:c>
      <x:c r="J141" s="144" t="str">
        <x:v>中</x:v>
      </x:c>
      <x:c r="K141" s="144" t="str">
        <x:v>一般</x:v>
      </x:c>
      <x:c r="L141" s="136" t="str">
        <x:v>修復值 +1</x:v>
      </x:c>
      <x:c r="M141" s="136" t="str">
        <x:v>若症狀持續、反覆或惡化，請由合格醫療專業評估。</x:v>
      </x:c>
      <x:c r="N141" s="154" t="n">
        <x:f>LEN(G141)</x:f>
        <x:v>49</x:v>
      </x:c>
      <x:c r="O141" s="144" t="str">
        <x:v>S039</x:v>
      </x:c>
      <x:c r="P141" s="136" t="str">
        <x:v>World Athletics</x:v>
      </x:c>
      <x:c r="Q141" s="136" t="str">
        <x:v>Competition Medical Guidelines</x:v>
      </x:c>
      <x:c r="R141" s="151" t="str">
        <x:v>https://worldathletics.org/download/download?filename=a20d107f-c682-48be-8c54-b4c3764de329.pdf&amp;urlslug=World+Athletics+Competition+Medical+Guidelines+-+October+2020+Second+Edition</x:v>
      </x:c>
      <x:c r="S141" s="148" t="str">
        <x:v>2026-07-27</x:v>
      </x:c>
    </x:row>
    <x:row r="142" ht="58" customHeight="1">
      <x:c r="A142" s="143" t="str">
        <x:v>FT-138</x:v>
      </x:c>
      <x:c r="B142" s="144" t="str">
        <x:v>命運</x:v>
      </x:c>
      <x:c r="C142" s="136" t="str">
        <x:v>跑者照護：受傷處理、身體修復與健康</x:v>
      </x:c>
      <x:c r="D142" s="136" t="str">
        <x:v>低溫、雨天與環境</x:v>
      </x:c>
      <x:c r="E142" s="136" t="str">
        <x:v>避免失溫、雷擊與路面意外</x:v>
      </x:c>
      <x:c r="F142" s="136" t="str">
        <x:v>高地頭痛噁心要停上升</x:v>
      </x:c>
      <x:c r="G142" s="136" t="str">
        <x:v>海拔症狀可能在抵達後數小時出現，繼續上升會惡化。
行動：停止訓練與上升，休息並評估；症狀嚴重或神經異常時下撤求醫。</x:v>
      </x:c>
      <x:c r="H142" s="136" t="str">
        <x:v>停止訓練與上升，休息並評估；症狀嚴重或神經異常時下撤求醫。</x:v>
      </x:c>
      <x:c r="I142" s="136" t="str">
        <x:v>高地</x:v>
      </x:c>
      <x:c r="J142" s="144" t="str">
        <x:v>高</x:v>
      </x:c>
      <x:c r="K142" s="144" t="str">
        <x:v>停止運動</x:v>
      </x:c>
      <x:c r="L142" s="136" t="str">
        <x:v>停止跑步並處理：修復值 +2；本回合休息</x:v>
      </x:c>
      <x:c r="M142" s="136" t="str">
        <x:v>若症狀持續、反覆或惡化，請由合格醫療專業評估。</x:v>
      </x:c>
      <x:c r="N142" s="154" t="n">
        <x:f>LEN(G142)</x:f>
        <x:v>57</x:v>
      </x:c>
      <x:c r="O142" s="144" t="str">
        <x:v>S018</x:v>
      </x:c>
      <x:c r="P142" s="136" t="str">
        <x:v>國際奧會（IOC）／BJSM</x:v>
      </x:c>
      <x:c r="Q142" s="136" t="str">
        <x:v>Consensus on thermoregulatory and altitude challenges</x:v>
      </x:c>
      <x:c r="R142" s="151" t="str">
        <x:v>https://bjsm.bmj.com/content/57/1/8</x:v>
      </x:c>
      <x:c r="S142" s="148" t="str">
        <x:v>2026-07-27</x:v>
      </x:c>
    </x:row>
    <x:row r="143" ht="58" customHeight="1">
      <x:c r="A143" s="143" t="str">
        <x:v>FT-139</x:v>
      </x:c>
      <x:c r="B143" s="144" t="str">
        <x:v>命運</x:v>
      </x:c>
      <x:c r="C143" s="136" t="str">
        <x:v>跑者照護：受傷處理、身體修復與健康</x:v>
      </x:c>
      <x:c r="D143" s="136" t="str">
        <x:v>低溫、雨天與環境</x:v>
      </x:c>
      <x:c r="E143" s="136" t="str">
        <x:v>避免失溫、雷擊與路面意外</x:v>
      </x:c>
      <x:c r="F143" s="136" t="str">
        <x:v>空污不適不是意志薄弱</x:v>
      </x:c>
      <x:c r="G143" s="136" t="str">
        <x:v>胸悶、喘鳴、咳嗽或眼鼻刺激可能因污染加重。
行動：降低強度、改室內；症狀持續或呼吸困難立即停止並就醫。</x:v>
      </x:c>
      <x:c r="H143" s="136" t="str">
        <x:v>降低強度、改室內；症狀持續或呼吸困難立即停止並就醫。</x:v>
      </x:c>
      <x:c r="I143" s="136" t="str">
        <x:v>空品不佳</x:v>
      </x:c>
      <x:c r="J143" s="144" t="str">
        <x:v>高</x:v>
      </x:c>
      <x:c r="K143" s="144" t="str">
        <x:v>留意</x:v>
      </x:c>
      <x:c r="L143" s="136" t="str">
        <x:v>做出正確照護：修復值 +1</x:v>
      </x:c>
      <x:c r="M143" s="136" t="str">
        <x:v>若症狀持續、反覆或惡化，請由合格醫療專業評估。</x:v>
      </x:c>
      <x:c r="N143" s="154" t="n">
        <x:f>LEN(G143)</x:f>
        <x:v>51</x:v>
      </x:c>
      <x:c r="O143" s="144" t="str">
        <x:v>S040</x:v>
      </x:c>
      <x:c r="P143" s="136" t="str">
        <x:v>國際奧會（IOC）／BJSM</x:v>
      </x:c>
      <x:c r="Q143" s="136" t="str">
        <x:v>Acute respiratory illness in athletes</x:v>
      </x:c>
      <x:c r="R143" s="151" t="str">
        <x:v>https://bjsm.bmj.com/content/56/19/1066</x:v>
      </x:c>
      <x:c r="S143" s="148" t="str">
        <x:v>2026-07-27</x:v>
      </x:c>
    </x:row>
    <x:row r="144" ht="58" customHeight="1">
      <x:c r="A144" s="143" t="str">
        <x:v>FT-140</x:v>
      </x:c>
      <x:c r="B144" s="144" t="str">
        <x:v>命運</x:v>
      </x:c>
      <x:c r="C144" s="136" t="str">
        <x:v>跑者照護：受傷處理、身體修復與健康</x:v>
      </x:c>
      <x:c r="D144" s="136" t="str">
        <x:v>低溫、雨天與環境</x:v>
      </x:c>
      <x:c r="E144" s="136" t="str">
        <x:v>避免失溫、雷擊與路面意外</x:v>
      </x:c>
      <x:c r="F144" s="136" t="str">
        <x:v>曬傷也是身體損傷</x:v>
      </x:c>
      <x:c r="G144" s="136" t="str">
        <x:v>長時間紫外線暴露會造成皮膚發炎與水泡。
行動：遮蔭、冷敷舒緩、補水；大片起泡、發燒或意識不適應就醫。</x:v>
      </x:c>
      <x:c r="H144" s="136" t="str">
        <x:v>遮蔭、冷敷舒緩、補水；大片起泡、發燒或意識不適應就醫。</x:v>
      </x:c>
      <x:c r="I144" s="136" t="str">
        <x:v>日曬後</x:v>
      </x:c>
      <x:c r="J144" s="144" t="str">
        <x:v>中</x:v>
      </x:c>
      <x:c r="K144" s="144" t="str">
        <x:v>留意</x:v>
      </x:c>
      <x:c r="L144" s="136" t="str">
        <x:v>做出正確照護：修復值 +1</x:v>
      </x:c>
      <x:c r="M144" s="136" t="str">
        <x:v>若症狀持續、反覆或惡化，請由合格醫療專業評估。</x:v>
      </x:c>
      <x:c r="N144" s="154" t="n">
        <x:f>LEN(G144)</x:f>
        <x:v>50</x:v>
      </x:c>
      <x:c r="O144" s="144" t="str">
        <x:v>S018</x:v>
      </x:c>
      <x:c r="P144" s="136" t="str">
        <x:v>國際奧會（IOC）／BJSM</x:v>
      </x:c>
      <x:c r="Q144" s="136" t="str">
        <x:v>Consensus on thermoregulatory and altitude challenges</x:v>
      </x:c>
      <x:c r="R144" s="151" t="str">
        <x:v>https://bjsm.bmj.com/content/57/1/8</x:v>
      </x:c>
      <x:c r="S144" s="148" t="str">
        <x:v>2026-07-27</x:v>
      </x:c>
    </x:row>
    <x:row r="145" ht="58" customHeight="1">
      <x:c r="A145" s="143" t="str">
        <x:v>FT-141</x:v>
      </x:c>
      <x:c r="B145" s="144" t="str">
        <x:v>命運</x:v>
      </x:c>
      <x:c r="C145" s="136" t="str">
        <x:v>跑者照護：受傷處理、身體修復與健康</x:v>
      </x:c>
      <x:c r="D145" s="136" t="str">
        <x:v>腸胃與補給不適</x:v>
      </x:c>
      <x:c r="E145" s="136" t="str">
        <x:v>先調整濃度、時機與食物</x:v>
      </x:c>
      <x:c r="F145" s="136" t="str">
        <x:v>跑者腹瀉先回顧前餐</x:v>
      </x:c>
      <x:c r="G145" s="136" t="str">
        <x:v>高纖、高脂、大份量或陌生食物可能增加腸胃負擔。
行動：記錄吃什麼、時間與症狀，下一次只調整一項。</x:v>
      </x:c>
      <x:c r="H145" s="136" t="str">
        <x:v>記錄吃什麼、時間與症狀，下一次只調整一項。</x:v>
      </x:c>
      <x:c r="I145" s="136" t="str">
        <x:v>跑後腸胃回顧</x:v>
      </x:c>
      <x:c r="J145" s="144" t="str">
        <x:v>中</x:v>
      </x:c>
      <x:c r="K145" s="144" t="str">
        <x:v>一般</x:v>
      </x:c>
      <x:c r="L145" s="136" t="str">
        <x:v>修復值 +1</x:v>
      </x:c>
      <x:c r="M145" s="136" t="str">
        <x:v>若症狀持續、反覆或惡化，請由合格醫療專業評估。</x:v>
      </x:c>
      <x:c r="N145" s="154" t="n">
        <x:f>LEN(G145)</x:f>
        <x:v>48</x:v>
      </x:c>
      <x:c r="O145" s="144" t="str">
        <x:v>S013</x:v>
      </x:c>
      <x:c r="P145" s="136" t="str">
        <x:v>World Athletics</x:v>
      </x:c>
      <x:c r="Q145" s="136" t="str">
        <x:v>Contemporary Nutrition Strategies for Distance Runners</x:v>
      </x:c>
      <x:c r="R145" s="151" t="str">
        <x:v>https://worldathletics.org/download/download?filename=6babe10a-9969-407e-b0cd-f7d96df50f51.pdf&amp;urlslug=Contemporary+Nutrition+Strategies+to+Optimize+Performance+in+Distance+Runners+and+Race+Walkers</x:v>
      </x:c>
      <x:c r="S145" s="148" t="str">
        <x:v>2026-07-27</x:v>
      </x:c>
    </x:row>
    <x:row r="146" ht="58" customHeight="1">
      <x:c r="A146" s="143" t="str">
        <x:v>FT-142</x:v>
      </x:c>
      <x:c r="B146" s="144" t="str">
        <x:v>命運</x:v>
      </x:c>
      <x:c r="C146" s="136" t="str">
        <x:v>跑者照護：受傷處理、身體修復與健康</x:v>
      </x:c>
      <x:c r="D146" s="136" t="str">
        <x:v>腸胃與補給不適</x:v>
      </x:c>
      <x:c r="E146" s="136" t="str">
        <x:v>先調整濃度、時機與食物</x:v>
      </x:c>
      <x:c r="F146" s="136" t="str">
        <x:v>低 FODMAP 只能短期有策略地用</x:v>
      </x:c>
      <x:c r="G146" s="136" t="str">
        <x:v>對反覆腸胃症狀的跑者，短期調整可能有幫助，但長期過度限制會影響營養與腸道多樣性。
行動：由運動營養師協助找出真正觸發食物，再逐步恢復。</x:v>
      </x:c>
      <x:c r="H146" s="136" t="str">
        <x:v>由運動營養師協助找出真正觸發食物，再逐步恢復。</x:v>
      </x:c>
      <x:c r="I146" s="136" t="str">
        <x:v>反覆腸胃症狀</x:v>
      </x:c>
      <x:c r="J146" s="144" t="str">
        <x:v>高</x:v>
      </x:c>
      <x:c r="K146" s="144" t="str">
        <x:v>留意</x:v>
      </x:c>
      <x:c r="L146" s="136" t="str">
        <x:v>做出正確照護：修復值 +1</x:v>
      </x:c>
      <x:c r="M146" s="136" t="str">
        <x:v>若症狀持續、反覆或惡化，請由合格醫療專業評估。</x:v>
      </x:c>
      <x:c r="N146" s="154" t="n">
        <x:f>LEN(G146)</x:f>
        <x:v>67</x:v>
      </x:c>
      <x:c r="O146" s="144" t="str">
        <x:v>S062</x:v>
      </x:c>
      <x:c r="P146" s="136" t="str">
        <x:v>World Athletics</x:v>
      </x:c>
      <x:c r="Q146" s="136" t="str">
        <x:v>Dietary Practices Adopted by Track-and-Field Athletes</x:v>
      </x:c>
      <x:c r="R146" s="151" t="str">
        <x:v>https://worldathletics.org/download/download?filename=fc05d994-f5fc-403c-8469-c3329294526c.pdf&amp;urlslug=Dietary+Practices+Adopted+by+Track-and-Field+Athletes%3A+Gluten-Free%2C+Low+FODMAP%2C+Vegetarian%2C+and+Fasting</x:v>
      </x:c>
      <x:c r="S146" s="148" t="str">
        <x:v>2026-07-27</x:v>
      </x:c>
    </x:row>
    <x:row r="147" ht="58" customHeight="1">
      <x:c r="A147" s="143" t="str">
        <x:v>FT-143</x:v>
      </x:c>
      <x:c r="B147" s="144" t="str">
        <x:v>命運</x:v>
      </x:c>
      <x:c r="C147" s="136" t="str">
        <x:v>跑者照護：受傷處理、身體修復與健康</x:v>
      </x:c>
      <x:c r="D147" s="136" t="str">
        <x:v>腸胃與補給不適</x:v>
      </x:c>
      <x:c r="E147" s="136" t="str">
        <x:v>先調整濃度、時機與食物</x:v>
      </x:c>
      <x:c r="F147" s="136" t="str">
        <x:v>賽前別同時高脂又高纖</x:v>
      </x:c>
      <x:c r="G147" s="136" t="str">
        <x:v>脂肪與纖維會延緩胃排空，部分跑者在快跑前較不耐受。
行動：把大量蔬菜、油炸與堅果移到離比賽較遠的餐次。</x:v>
      </x:c>
      <x:c r="H147" s="136" t="str">
        <x:v>把大量蔬菜、油炸與堅果移到離比賽較遠的餐次。</x:v>
      </x:c>
      <x:c r="I147" s="136" t="str">
        <x:v>賽前數小時</x:v>
      </x:c>
      <x:c r="J147" s="144" t="str">
        <x:v>中</x:v>
      </x:c>
      <x:c r="K147" s="144" t="str">
        <x:v>一般</x:v>
      </x:c>
      <x:c r="L147" s="136" t="str">
        <x:v>修復值 +1</x:v>
      </x:c>
      <x:c r="M147" s="136" t="str">
        <x:v>若症狀持續、反覆或惡化，請由合格醫療專業評估。</x:v>
      </x:c>
      <x:c r="N147" s="154" t="n">
        <x:f>LEN(G147)</x:f>
        <x:v>51</x:v>
      </x:c>
      <x:c r="O147" s="144" t="str">
        <x:v>S013</x:v>
      </x:c>
      <x:c r="P147" s="136" t="str">
        <x:v>World Athletics</x:v>
      </x:c>
      <x:c r="Q147" s="136" t="str">
        <x:v>Contemporary Nutrition Strategies for Distance Runners</x:v>
      </x:c>
      <x:c r="R147" s="151" t="str">
        <x:v>https://worldathletics.org/download/download?filename=6babe10a-9969-407e-b0cd-f7d96df50f51.pdf&amp;urlslug=Contemporary+Nutrition+Strategies+to+Optimize+Performance+in+Distance+Runners+and+Race+Walkers</x:v>
      </x:c>
      <x:c r="S147" s="148" t="str">
        <x:v>2026-07-27</x:v>
      </x:c>
    </x:row>
    <x:row r="148" ht="58" customHeight="1">
      <x:c r="A148" s="143" t="str">
        <x:v>FT-144</x:v>
      </x:c>
      <x:c r="B148" s="144" t="str">
        <x:v>命運</x:v>
      </x:c>
      <x:c r="C148" s="136" t="str">
        <x:v>跑者照護：受傷處理、身體修復與健康</x:v>
      </x:c>
      <x:c r="D148" s="136" t="str">
        <x:v>腸胃與補給不適</x:v>
      </x:c>
      <x:c r="E148" s="136" t="str">
        <x:v>先調整濃度、時機與食物</x:v>
      </x:c>
      <x:c r="F148" s="136" t="str">
        <x:v>濃縮補給可能讓胃卡住</x:v>
      </x:c>
      <x:c r="G148" s="136" t="str">
        <x:v>一次吞多包膠又少喝水，會提高胃內濃度。
行動：分散攝取並依產品搭配水，天熱時更保守。</x:v>
      </x:c>
      <x:c r="H148" s="136" t="str">
        <x:v>分散攝取並依產品搭配水，天熱時更保守。</x:v>
      </x:c>
      <x:c r="I148" s="136" t="str">
        <x:v>長賽中</x:v>
      </x:c>
      <x:c r="J148" s="144" t="str">
        <x:v>中</x:v>
      </x:c>
      <x:c r="K148" s="144" t="str">
        <x:v>一般</x:v>
      </x:c>
      <x:c r="L148" s="136" t="str">
        <x:v>修復值 +1</x:v>
      </x:c>
      <x:c r="M148" s="136" t="str">
        <x:v>若症狀持續、反覆或惡化，請由合格醫療專業評估。</x:v>
      </x:c>
      <x:c r="N148" s="154" t="n">
        <x:f>LEN(G148)</x:f>
        <x:v>42</x:v>
      </x:c>
      <x:c r="O148" s="144" t="str">
        <x:v>S013</x:v>
      </x:c>
      <x:c r="P148" s="136" t="str">
        <x:v>World Athletics</x:v>
      </x:c>
      <x:c r="Q148" s="136" t="str">
        <x:v>Contemporary Nutrition Strategies for Distance Runners</x:v>
      </x:c>
      <x:c r="R148" s="151" t="str">
        <x:v>https://worldathletics.org/download/download?filename=6babe10a-9969-407e-b0cd-f7d96df50f51.pdf&amp;urlslug=Contemporary+Nutrition+Strategies+to+Optimize+Performance+in+Distance+Runners+and+Race+Walkers</x:v>
      </x:c>
      <x:c r="S148" s="148" t="str">
        <x:v>2026-07-27</x:v>
      </x:c>
    </x:row>
    <x:row r="149" ht="58" customHeight="1">
      <x:c r="A149" s="143" t="str">
        <x:v>FT-145</x:v>
      </x:c>
      <x:c r="B149" s="144" t="str">
        <x:v>命運</x:v>
      </x:c>
      <x:c r="C149" s="136" t="str">
        <x:v>跑者照護：受傷處理、身體修復與健康</x:v>
      </x:c>
      <x:c r="D149" s="136" t="str">
        <x:v>腸胃與補給不適</x:v>
      </x:c>
      <x:c r="E149" s="136" t="str">
        <x:v>先調整濃度、時機與食物</x:v>
      </x:c>
      <x:c r="F149" s="136" t="str">
        <x:v>止痛藥可能增加腸胃與腎臟風險</x:v>
      </x:c>
      <x:c r="G149" s="136" t="str">
        <x:v>長時間運動、脫水與 NSAIDs 併用可能增加不良反應。
行動：不要為了完賽預防性吃止痛藥；用藥依醫囑。</x:v>
      </x:c>
      <x:c r="H149" s="136" t="str">
        <x:v>不要為了完賽預防性吃止痛藥；用藥依醫囑。</x:v>
      </x:c>
      <x:c r="I149" s="136" t="str">
        <x:v>比賽前與途中</x:v>
      </x:c>
      <x:c r="J149" s="144" t="str">
        <x:v>高</x:v>
      </x:c>
      <x:c r="K149" s="144" t="str">
        <x:v>留意</x:v>
      </x:c>
      <x:c r="L149" s="136" t="str">
        <x:v>做出正確照護：修復值 +1</x:v>
      </x:c>
      <x:c r="M149" s="136" t="str">
        <x:v>若症狀持續、反覆或惡化，請由合格醫療專業評估。</x:v>
      </x:c>
      <x:c r="N149" s="154" t="n">
        <x:f>LEN(G149)</x:f>
        <x:v>52</x:v>
      </x:c>
      <x:c r="O149" s="144" t="str">
        <x:v>S069</x:v>
      </x:c>
      <x:c r="P149" s="136" t="str">
        <x:v>國際奧會（IOC）／BJSM</x:v>
      </x:c>
      <x:c r="Q149" s="136" t="str">
        <x:v>Pain management in elite athletes</x:v>
      </x:c>
      <x:c r="R149" s="151" t="str">
        <x:v>https://bjsm.bmj.com/content/51/17/1245</x:v>
      </x:c>
      <x:c r="S149" s="148" t="str">
        <x:v>2026-07-27</x:v>
      </x:c>
    </x:row>
    <x:row r="150" ht="58" customHeight="1">
      <x:c r="A150" s="143" t="str">
        <x:v>FT-146</x:v>
      </x:c>
      <x:c r="B150" s="144" t="str">
        <x:v>命運</x:v>
      </x:c>
      <x:c r="C150" s="136" t="str">
        <x:v>跑者照護：受傷處理、身體修復與健康</x:v>
      </x:c>
      <x:c r="D150" s="136" t="str">
        <x:v>腸胃與補給不適</x:v>
      </x:c>
      <x:c r="E150" s="136" t="str">
        <x:v>先調整濃度、時機與食物</x:v>
      </x:c>
      <x:c r="F150" s="136" t="str">
        <x:v>咖啡因要先測劑量與時間</x:v>
      </x:c>
      <x:c r="G150" s="136" t="str">
        <x:v>咖啡因可能提升表現，也可能引發心悸、焦慮、腹瀉或失眠。
行動：從低量在訓練測試，並計入咖啡、膠與飲料總量。</x:v>
      </x:c>
      <x:c r="H150" s="136" t="str">
        <x:v>從低量在訓練測試，並計入咖啡、膠與飲料總量。</x:v>
      </x:c>
      <x:c r="I150" s="136" t="str">
        <x:v>賽前補給</x:v>
      </x:c>
      <x:c r="J150" s="144" t="str">
        <x:v>高</x:v>
      </x:c>
      <x:c r="K150" s="144" t="str">
        <x:v>留意</x:v>
      </x:c>
      <x:c r="L150" s="136" t="str">
        <x:v>做出正確照護：修復值 +1</x:v>
      </x:c>
      <x:c r="M150" s="136" t="str">
        <x:v>若症狀持續、反覆或惡化，請由合格醫療專業評估。</x:v>
      </x:c>
      <x:c r="N150" s="154" t="n">
        <x:f>LEN(G150)</x:f>
        <x:v>53</x:v>
      </x:c>
      <x:c r="O150" s="144" t="str">
        <x:v>S016</x:v>
      </x:c>
      <x:c r="P150" s="136" t="str">
        <x:v>World Athletics</x:v>
      </x:c>
      <x:c r="Q150" s="136" t="str">
        <x:v>Sports Foods and Dietary Supplements</x:v>
      </x:c>
      <x:c r="R150" s="151" t="str">
        <x:v>https://worldathletics.org/download/download?filename=05a42d7a-446e-4613-999a-b0c834a7c93e.pdf&amp;urlslug=Sports+Foods+and+Dietary+Supplements+for+Optimal+Function+and+Performance+Enhancement+in+Track-and-Field+Athletes</x:v>
      </x:c>
      <x:c r="S150" s="148" t="str">
        <x:v>2026-07-27</x:v>
      </x:c>
    </x:row>
    <x:row r="151" ht="58" customHeight="1">
      <x:c r="A151" s="143" t="str">
        <x:v>FT-147</x:v>
      </x:c>
      <x:c r="B151" s="144" t="str">
        <x:v>命運</x:v>
      </x:c>
      <x:c r="C151" s="136" t="str">
        <x:v>跑者照護：受傷處理、身體修復與健康</x:v>
      </x:c>
      <x:c r="D151" s="136" t="str">
        <x:v>腸胃與補給不適</x:v>
      </x:c>
      <x:c r="E151" s="136" t="str">
        <x:v>先調整濃度、時機與食物</x:v>
      </x:c>
      <x:c r="F151" s="136" t="str">
        <x:v>口渴與灌水都可能噁心</x:v>
      </x:c>
      <x:c r="G151" s="136" t="str">
        <x:v>脫水、過量飲水、熱傷害或低鈉都可能造成噁心。
行動：停止硬灌，評估體重變化、環境與神經症狀；異常時找醫療站。</x:v>
      </x:c>
      <x:c r="H151" s="136" t="str">
        <x:v>停止硬灌，評估體重變化、環境與神經症狀；異常時找醫療站。</x:v>
      </x:c>
      <x:c r="I151" s="136" t="str">
        <x:v>長賽中</x:v>
      </x:c>
      <x:c r="J151" s="144" t="str">
        <x:v>高</x:v>
      </x:c>
      <x:c r="K151" s="144" t="str">
        <x:v>留意</x:v>
      </x:c>
      <x:c r="L151" s="136" t="str">
        <x:v>做出正確照護：修復值 +1</x:v>
      </x:c>
      <x:c r="M151" s="136" t="str">
        <x:v>若症狀持續、反覆或惡化，請由合格醫療專業評估。</x:v>
      </x:c>
      <x:c r="N151" s="154" t="n">
        <x:f>LEN(G151)</x:f>
        <x:v>54</x:v>
      </x:c>
      <x:c r="O151" s="144" t="str">
        <x:v>S037</x:v>
      </x:c>
      <x:c r="P151" s="136" t="str">
        <x:v>NATA</x:v>
      </x:c>
      <x:c r="Q151" s="136" t="str">
        <x:v>Fluid Replacement for the Physically Active</x:v>
      </x:c>
      <x:c r="R151" s="151" t="str">
        <x:v>https://www.nata.org/sites/default/files/2025-08/fluid_replacement_for_the_physically_active.pdf</x:v>
      </x:c>
      <x:c r="S151" s="148" t="str">
        <x:v>2026-07-27</x:v>
      </x:c>
    </x:row>
    <x:row r="152" ht="58" customHeight="1">
      <x:c r="A152" s="143" t="str">
        <x:v>FT-148</x:v>
      </x:c>
      <x:c r="B152" s="144" t="str">
        <x:v>命運</x:v>
      </x:c>
      <x:c r="C152" s="136" t="str">
        <x:v>跑者照護：受傷處理、身體修復與健康</x:v>
      </x:c>
      <x:c r="D152" s="136" t="str">
        <x:v>腸胃與補給不適</x:v>
      </x:c>
      <x:c r="E152" s="136" t="str">
        <x:v>先調整濃度、時機與食物</x:v>
      </x:c>
      <x:c r="F152" s="136" t="str">
        <x:v>想吐時先降強度</x:v>
      </x:c>
      <x:c r="G152" s="136" t="str">
        <x:v>高強度會把血流從腸胃轉向工作肌，可能使胃排空更慢。
行動：改走或慢跑、降溫，待症狀緩解再小量補充。</x:v>
      </x:c>
      <x:c r="H152" s="136" t="str">
        <x:v>改走或慢跑、降溫，待症狀緩解再小量補充。</x:v>
      </x:c>
      <x:c r="I152" s="136" t="str">
        <x:v>比賽中</x:v>
      </x:c>
      <x:c r="J152" s="144" t="str">
        <x:v>中</x:v>
      </x:c>
      <x:c r="K152" s="144" t="str">
        <x:v>一般</x:v>
      </x:c>
      <x:c r="L152" s="136" t="str">
        <x:v>修復值 +1</x:v>
      </x:c>
      <x:c r="M152" s="136" t="str">
        <x:v>若症狀持續、反覆或惡化，請由合格醫療專業評估。</x:v>
      </x:c>
      <x:c r="N152" s="154" t="n">
        <x:f>LEN(G152)</x:f>
        <x:v>49</x:v>
      </x:c>
      <x:c r="O152" s="144" t="str">
        <x:v>S061</x:v>
      </x:c>
      <x:c r="P152" s="136" t="str">
        <x:v>World Athletics</x:v>
      </x:c>
      <x:c r="Q152" s="136" t="str">
        <x:v>Nutrition for Ultramarathon Running</x:v>
      </x:c>
      <x:c r="R152" s="151" t="str">
        <x:v>https://worldathletics.org/download/download?filename=60b9a7fd-effa-4234-b4ab-daf4021aadf3.pdf&amp;urlslug=Nutrition+for+Ultramarathon+Running%3A+Trail%2C+Track%2C+and+Road</x:v>
      </x:c>
      <x:c r="S152" s="148" t="str">
        <x:v>2026-07-27</x:v>
      </x:c>
    </x:row>
    <x:row r="153" ht="58" customHeight="1">
      <x:c r="A153" s="143" t="str">
        <x:v>FT-149</x:v>
      </x:c>
      <x:c r="B153" s="144" t="str">
        <x:v>命運</x:v>
      </x:c>
      <x:c r="C153" s="136" t="str">
        <x:v>跑者照護：受傷處理、身體修復與健康</x:v>
      </x:c>
      <x:c r="D153" s="136" t="str">
        <x:v>腸胃與補給不適</x:v>
      </x:c>
      <x:c r="E153" s="136" t="str">
        <x:v>先調整濃度、時機與食物</x:v>
      </x:c>
      <x:c r="F153" s="136" t="str">
        <x:v>血便或黑便不是正常跑者反應</x:v>
      </x:c>
      <x:c r="G153" s="136" t="str">
        <x:v>明顯血便、黑便、持續劇烈腹痛或昏眩需要醫療評估。
行動：停止運動並儘快就醫，記錄藥物與補給。</x:v>
      </x:c>
      <x:c r="H153" s="136" t="str">
        <x:v>停止運動並儘快就醫，記錄藥物與補給。</x:v>
      </x:c>
      <x:c r="I153" s="136" t="str">
        <x:v>腸胃紅旗</x:v>
      </x:c>
      <x:c r="J153" s="144" t="str">
        <x:v>高</x:v>
      </x:c>
      <x:c r="K153" s="144" t="str">
        <x:v>停止運動</x:v>
      </x:c>
      <x:c r="L153" s="136" t="str">
        <x:v>停止跑步並處理：修復值 +2；本回合休息</x:v>
      </x:c>
      <x:c r="M153" s="136" t="str">
        <x:v>若症狀持續、反覆或惡化，請由合格醫療專業評估。</x:v>
      </x:c>
      <x:c r="N153" s="154" t="n">
        <x:f>LEN(G153)</x:f>
        <x:v>46</x:v>
      </x:c>
      <x:c r="O153" s="144" t="str">
        <x:v>S039</x:v>
      </x:c>
      <x:c r="P153" s="136" t="str">
        <x:v>World Athletics</x:v>
      </x:c>
      <x:c r="Q153" s="136" t="str">
        <x:v>Competition Medical Guidelines</x:v>
      </x:c>
      <x:c r="R153" s="151" t="str">
        <x:v>https://worldathletics.org/download/download?filename=a20d107f-c682-48be-8c54-b4c3764de329.pdf&amp;urlslug=World+Athletics+Competition+Medical+Guidelines+-+October+2020+Second+Edition</x:v>
      </x:c>
      <x:c r="S153" s="148" t="str">
        <x:v>2026-07-27</x:v>
      </x:c>
    </x:row>
    <x:row r="154" ht="58" customHeight="1">
      <x:c r="A154" s="143" t="str">
        <x:v>FT-150</x:v>
      </x:c>
      <x:c r="B154" s="144" t="str">
        <x:v>命運</x:v>
      </x:c>
      <x:c r="C154" s="136" t="str">
        <x:v>跑者照護：受傷處理、身體修復與健康</x:v>
      </x:c>
      <x:c r="D154" s="136" t="str">
        <x:v>腸胃與補給不適</x:v>
      </x:c>
      <x:c r="E154" s="136" t="str">
        <x:v>先調整濃度、時機與食物</x:v>
      </x:c>
      <x:c r="F154" s="136" t="str">
        <x:v>腸胃訓練從小量重複</x:v>
      </x:c>
      <x:c r="G154" s="136" t="str">
        <x:v>忍受碳水與液體的能力可透過規律練習提升。
行動：選一堂固定長跑，逐步增加到目標量，不在每次失敗後全面換產品。</x:v>
      </x:c>
      <x:c r="H154" s="136" t="str">
        <x:v>選一堂固定長跑，逐步增加到目標量，不在每次失敗後全面換產品。</x:v>
      </x:c>
      <x:c r="I154" s="136" t="str">
        <x:v>賽前數週</x:v>
      </x:c>
      <x:c r="J154" s="144" t="str">
        <x:v>高</x:v>
      </x:c>
      <x:c r="K154" s="144" t="str">
        <x:v>一般</x:v>
      </x:c>
      <x:c r="L154" s="136" t="str">
        <x:v>健康值 +1；修復值 +1</x:v>
      </x:c>
      <x:c r="M154" s="136" t="str">
        <x:v>若症狀持續、反覆或惡化，請由合格醫療專業評估。</x:v>
      </x:c>
      <x:c r="N154" s="154" t="n">
        <x:f>LEN(G154)</x:f>
        <x:v>54</x:v>
      </x:c>
      <x:c r="O154" s="144" t="str">
        <x:v>S013</x:v>
      </x:c>
      <x:c r="P154" s="136" t="str">
        <x:v>World Athletics</x:v>
      </x:c>
      <x:c r="Q154" s="136" t="str">
        <x:v>Contemporary Nutrition Strategies for Distance Runners</x:v>
      </x:c>
      <x:c r="R154" s="151" t="str">
        <x:v>https://worldathletics.org/download/download?filename=6babe10a-9969-407e-b0cd-f7d96df50f51.pdf&amp;urlslug=Contemporary+Nutrition+Strategies+to+Optimize+Performance+in+Distance+Runners+and+Race+Walkers</x:v>
      </x:c>
      <x:c r="S154" s="148" t="str">
        <x:v>2026-07-27</x:v>
      </x:c>
    </x:row>
    <x:row r="155" ht="58" customHeight="1">
      <x:c r="A155" s="143" t="str">
        <x:v>FT-151</x:v>
      </x:c>
      <x:c r="B155" s="144" t="str">
        <x:v>命運</x:v>
      </x:c>
      <x:c r="C155" s="136" t="str">
        <x:v>跑者照護：受傷處理、身體修復與健康</x:v>
      </x:c>
      <x:c r="D155" s="136" t="str">
        <x:v>脫水、低鈉與代謝急症</x:v>
      </x:c>
      <x:c r="E155" s="136" t="str">
        <x:v>分清少水、過量飲水與肌肉損傷</x:v>
      </x:c>
      <x:c r="F155" s="136" t="str">
        <x:v>脫水常伴隨口渴與表現下降</x:v>
      </x:c>
      <x:c r="G155" s="136" t="str">
        <x:v>高汗量未補充可能造成口渴、心率上升、頭暈與尿量下降。
行動：降速、到陰涼處並依口渴小量補液；嚴重症狀求助。</x:v>
      </x:c>
      <x:c r="H155" s="136" t="str">
        <x:v>降速、到陰涼處並依口渴小量補液；嚴重症狀求助。</x:v>
      </x:c>
      <x:c r="I155" s="136" t="str">
        <x:v>熱天或長跑</x:v>
      </x:c>
      <x:c r="J155" s="144" t="str">
        <x:v>高</x:v>
      </x:c>
      <x:c r="K155" s="144" t="str">
        <x:v>留意</x:v>
      </x:c>
      <x:c r="L155" s="136" t="str">
        <x:v>做出正確照護：修復值 +1</x:v>
      </x:c>
      <x:c r="M155" s="136" t="str">
        <x:v>若症狀持續、反覆或惡化，請由合格醫療專業評估。</x:v>
      </x:c>
      <x:c r="N155" s="154" t="n">
        <x:f>LEN(G155)</x:f>
        <x:v>53</x:v>
      </x:c>
      <x:c r="O155" s="144" t="str">
        <x:v>S014</x:v>
      </x:c>
      <x:c r="P155" s="136" t="str">
        <x:v>World Athletics</x:v>
      </x:c>
      <x:c r="Q155" s="136" t="str">
        <x:v>Fluid Needs for Training, Competition, and Recovery</x:v>
      </x:c>
      <x:c r="R155" s="151" t="str">
        <x:v>https://worldathletics.org/download/download?filename=ef30aa1b-f972-4f15-84a0-5c131e13b2c9.pdf&amp;urlslug=Fluid+Needs+for+Training%2C+Competition%2C+and+Recovery+in+Track-and-Field+Athletes</x:v>
      </x:c>
      <x:c r="S155" s="148" t="str">
        <x:v>2026-07-27</x:v>
      </x:c>
    </x:row>
    <x:row r="156" ht="58" customHeight="1">
      <x:c r="A156" s="143" t="str">
        <x:v>FT-152</x:v>
      </x:c>
      <x:c r="B156" s="144" t="str">
        <x:v>命運</x:v>
      </x:c>
      <x:c r="C156" s="136" t="str">
        <x:v>跑者照護：受傷處理、身體修復與健康</x:v>
      </x:c>
      <x:c r="D156" s="136" t="str">
        <x:v>脫水、低鈉與代謝急症</x:v>
      </x:c>
      <x:c r="E156" s="136" t="str">
        <x:v>分清少水、過量飲水與肌肉損傷</x:v>
      </x:c>
      <x:c r="F156" s="136" t="str">
        <x:v>跑後體重增加是過量飲水警訊</x:v>
      </x:c>
      <x:c r="G156" s="136" t="str">
        <x:v>長距離活動後體重比跑前更高，可能表示喝入超過流失。
行動：停止強迫飲水，若頭痛、噁心、腫脹或意識改變立即就醫。</x:v>
      </x:c>
      <x:c r="H156" s="136" t="str">
        <x:v>停止強迫飲水，若頭痛、噁心、腫脹或意識改變立即就醫。</x:v>
      </x:c>
      <x:c r="I156" s="136" t="str">
        <x:v>長賽後</x:v>
      </x:c>
      <x:c r="J156" s="144" t="str">
        <x:v>高</x:v>
      </x:c>
      <x:c r="K156" s="144" t="str">
        <x:v>停止運動</x:v>
      </x:c>
      <x:c r="L156" s="136" t="str">
        <x:v>停止跑步並處理：修復值 +2；本回合休息</x:v>
      </x:c>
      <x:c r="M156" s="136" t="str">
        <x:v>若症狀持續、反覆或惡化，請由合格醫療專業評估。</x:v>
      </x:c>
      <x:c r="N156" s="154" t="n">
        <x:f>LEN(G156)</x:f>
        <x:v>55</x:v>
      </x:c>
      <x:c r="O156" s="144" t="str">
        <x:v>S037</x:v>
      </x:c>
      <x:c r="P156" s="136" t="str">
        <x:v>NATA</x:v>
      </x:c>
      <x:c r="Q156" s="136" t="str">
        <x:v>Fluid Replacement for the Physically Active</x:v>
      </x:c>
      <x:c r="R156" s="151" t="str">
        <x:v>https://www.nata.org/sites/default/files/2025-08/fluid_replacement_for_the_physically_active.pdf</x:v>
      </x:c>
      <x:c r="S156" s="148" t="str">
        <x:v>2026-07-27</x:v>
      </x:c>
    </x:row>
    <x:row r="157" ht="58" customHeight="1">
      <x:c r="A157" s="143" t="str">
        <x:v>FT-153</x:v>
      </x:c>
      <x:c r="B157" s="144" t="str">
        <x:v>命運</x:v>
      </x:c>
      <x:c r="C157" s="136" t="str">
        <x:v>跑者照護：受傷處理、身體修復與健康</x:v>
      </x:c>
      <x:c r="D157" s="136" t="str">
        <x:v>脫水、低鈉與代謝急症</x:v>
      </x:c>
      <x:c r="E157" s="136" t="str">
        <x:v>分清少水、過量飲水與肌肉損傷</x:v>
      </x:c>
      <x:c r="F157" s="136" t="str">
        <x:v>低鈉症狀可能像脫水</x:v>
      </x:c>
      <x:c r="G157" s="136" t="str">
        <x:v>頭痛、噁心、虛弱與混亂可同時見於多種熱與水分問題。
行動：不要只憑症狀猛灌水，向賽事醫療求助並提供飲水量。</x:v>
      </x:c>
      <x:c r="H157" s="136" t="str">
        <x:v>不要只憑症狀猛灌水，向賽事醫療求助並提供飲水量。</x:v>
      </x:c>
      <x:c r="I157" s="136" t="str">
        <x:v>長賽中</x:v>
      </x:c>
      <x:c r="J157" s="144" t="str">
        <x:v>高</x:v>
      </x:c>
      <x:c r="K157" s="144" t="str">
        <x:v>緊急</x:v>
      </x:c>
      <x:c r="L157" s="136" t="str">
        <x:v>立即停止並求助：健康值保全；本回合休息</x:v>
      </x:c>
      <x:c r="M157" s="136" t="str">
        <x:v>若症狀持續、反覆或惡化，請由合格醫療專業評估。</x:v>
      </x:c>
      <x:c r="N157" s="154" t="n">
        <x:f>LEN(G157)</x:f>
        <x:v>53</x:v>
      </x:c>
      <x:c r="O157" s="144" t="str">
        <x:v>S037</x:v>
      </x:c>
      <x:c r="P157" s="136" t="str">
        <x:v>NATA</x:v>
      </x:c>
      <x:c r="Q157" s="136" t="str">
        <x:v>Fluid Replacement for the Physically Active</x:v>
      </x:c>
      <x:c r="R157" s="151" t="str">
        <x:v>https://www.nata.org/sites/default/files/2025-08/fluid_replacement_for_the_physically_active.pdf</x:v>
      </x:c>
      <x:c r="S157" s="148" t="str">
        <x:v>2026-07-27</x:v>
      </x:c>
    </x:row>
    <x:row r="158" ht="58" customHeight="1">
      <x:c r="A158" s="143" t="str">
        <x:v>FT-154</x:v>
      </x:c>
      <x:c r="B158" s="144" t="str">
        <x:v>命運</x:v>
      </x:c>
      <x:c r="C158" s="136" t="str">
        <x:v>跑者照護：受傷處理、身體修復與健康</x:v>
      </x:c>
      <x:c r="D158" s="136" t="str">
        <x:v>脫水、低鈉與代謝急症</x:v>
      </x:c>
      <x:c r="E158" s="136" t="str">
        <x:v>分清少水、過量飲水與肌肉損傷</x:v>
      </x:c>
      <x:c r="F158" s="136" t="str">
        <x:v>不要為喝完配額硬喝</x:v>
      </x:c>
      <x:c r="G158" s="136" t="str">
        <x:v>固定每站一大杯可能在冷天、慢速或小體型跑者造成過量。
行動：依出汗率、口渴與實際補給間距設定範圍。</x:v>
      </x:c>
      <x:c r="H158" s="136" t="str">
        <x:v>依出汗率、口渴與實際補給間距設定範圍。</x:v>
      </x:c>
      <x:c r="I158" s="136" t="str">
        <x:v>補水計畫</x:v>
      </x:c>
      <x:c r="J158" s="144" t="str">
        <x:v>中</x:v>
      </x:c>
      <x:c r="K158" s="144" t="str">
        <x:v>一般</x:v>
      </x:c>
      <x:c r="L158" s="136" t="str">
        <x:v>修復值 +1</x:v>
      </x:c>
      <x:c r="M158" s="136" t="str">
        <x:v>若症狀持續、反覆或惡化，請由合格醫療專業評估。</x:v>
      </x:c>
      <x:c r="N158" s="154" t="n">
        <x:f>LEN(G158)</x:f>
        <x:v>49</x:v>
      </x:c>
      <x:c r="O158" s="144" t="str">
        <x:v>S037</x:v>
      </x:c>
      <x:c r="P158" s="136" t="str">
        <x:v>NATA</x:v>
      </x:c>
      <x:c r="Q158" s="136" t="str">
        <x:v>Fluid Replacement for the Physically Active</x:v>
      </x:c>
      <x:c r="R158" s="151" t="str">
        <x:v>https://www.nata.org/sites/default/files/2025-08/fluid_replacement_for_the_physically_active.pdf</x:v>
      </x:c>
      <x:c r="S158" s="148" t="str">
        <x:v>2026-07-27</x:v>
      </x:c>
    </x:row>
    <x:row r="159" ht="58" customHeight="1">
      <x:c r="A159" s="143" t="str">
        <x:v>FT-155</x:v>
      </x:c>
      <x:c r="B159" s="144" t="str">
        <x:v>命運</x:v>
      </x:c>
      <x:c r="C159" s="136" t="str">
        <x:v>跑者照護：受傷處理、身體修復與健康</x:v>
      </x:c>
      <x:c r="D159" s="136" t="str">
        <x:v>脫水、低鈉與代謝急症</x:v>
      </x:c>
      <x:c r="E159" s="136" t="str">
        <x:v>分清少水、過量飲水與肌肉損傷</x:v>
      </x:c>
      <x:c r="F159" s="136" t="str">
        <x:v>鹽錠不能治療低鈉血症</x:v>
      </x:c>
      <x:c r="G159" s="136" t="str">
        <x:v>低鈉涉及水分與鈉的平衡，患者若意識異常需要醫療處置。
行動：不要自行大量吞鹽或繼續飲水，立即找醫療人員。</x:v>
      </x:c>
      <x:c r="H159" s="136" t="str">
        <x:v>不要自行大量吞鹽或繼續飲水，立即找醫療人員。</x:v>
      </x:c>
      <x:c r="I159" s="136" t="str">
        <x:v>疑似低鈉</x:v>
      </x:c>
      <x:c r="J159" s="144" t="str">
        <x:v>高</x:v>
      </x:c>
      <x:c r="K159" s="144" t="str">
        <x:v>緊急</x:v>
      </x:c>
      <x:c r="L159" s="136" t="str">
        <x:v>立即停止並求助：健康值保全；本回合休息</x:v>
      </x:c>
      <x:c r="M159" s="136" t="str">
        <x:v>若症狀持續、反覆或惡化，請由合格醫療專業評估。</x:v>
      </x:c>
      <x:c r="N159" s="154" t="n">
        <x:f>LEN(G159)</x:f>
        <x:v>52</x:v>
      </x:c>
      <x:c r="O159" s="144" t="str">
        <x:v>S037</x:v>
      </x:c>
      <x:c r="P159" s="136" t="str">
        <x:v>NATA</x:v>
      </x:c>
      <x:c r="Q159" s="136" t="str">
        <x:v>Fluid Replacement for the Physically Active</x:v>
      </x:c>
      <x:c r="R159" s="151" t="str">
        <x:v>https://www.nata.org/sites/default/files/2025-08/fluid_replacement_for_the_physically_active.pdf</x:v>
      </x:c>
      <x:c r="S159" s="148" t="str">
        <x:v>2026-07-27</x:v>
      </x:c>
    </x:row>
    <x:row r="160" ht="58" customHeight="1">
      <x:c r="A160" s="143" t="str">
        <x:v>FT-156</x:v>
      </x:c>
      <x:c r="B160" s="144" t="str">
        <x:v>命運</x:v>
      </x:c>
      <x:c r="C160" s="136" t="str">
        <x:v>跑者照護：受傷處理、身體修復與健康</x:v>
      </x:c>
      <x:c r="D160" s="136" t="str">
        <x:v>脫水、低鈉與代謝急症</x:v>
      </x:c>
      <x:c r="E160" s="136" t="str">
        <x:v>分清少水、過量飲水與肌肉損傷</x:v>
      </x:c>
      <x:c r="F160" s="136" t="str">
        <x:v>可樂色尿是重要警訊</x:v>
      </x:c>
      <x:c r="G160" s="136" t="str">
        <x:v>運動後深褐色尿合併肌痛或無力，需排除橫紋肌溶解。
行動：停止運動並儘快就醫，不等待隔天。</x:v>
      </x:c>
      <x:c r="H160" s="136" t="str">
        <x:v>停止運動並儘快就醫，不等待隔天。</x:v>
      </x:c>
      <x:c r="I160" s="136" t="str">
        <x:v>劇烈運動後</x:v>
      </x:c>
      <x:c r="J160" s="144" t="str">
        <x:v>高</x:v>
      </x:c>
      <x:c r="K160" s="144" t="str">
        <x:v>緊急</x:v>
      </x:c>
      <x:c r="L160" s="136" t="str">
        <x:v>立即停止並求助：健康值保全；本回合休息</x:v>
      </x:c>
      <x:c r="M160" s="136" t="str">
        <x:v>若症狀持續、反覆或惡化，請由合格醫療專業評估。</x:v>
      </x:c>
      <x:c r="N160" s="154" t="n">
        <x:f>LEN(G160)</x:f>
        <x:v>44</x:v>
      </x:c>
      <x:c r="O160" s="144" t="str">
        <x:v>S038</x:v>
      </x:c>
      <x:c r="P160" s="136" t="str">
        <x:v>CDC/NIOSH</x:v>
      </x:c>
      <x:c r="Q160" s="136" t="str">
        <x:v>Rhabdomyolysis</x:v>
      </x:c>
      <x:c r="R160" s="151" t="str">
        <x:v>https://www.cdc.gov/niosh/rhabdo/about/index.html</x:v>
      </x:c>
      <x:c r="S160" s="148" t="str">
        <x:v>2026-07-27</x:v>
      </x:c>
    </x:row>
    <x:row r="161" ht="58" customHeight="1">
      <x:c r="A161" s="143" t="str">
        <x:v>FT-157</x:v>
      </x:c>
      <x:c r="B161" s="144" t="str">
        <x:v>命運</x:v>
      </x:c>
      <x:c r="C161" s="136" t="str">
        <x:v>跑者照護：受傷處理、身體修復與健康</x:v>
      </x:c>
      <x:c r="D161" s="136" t="str">
        <x:v>脫水、低鈉與代謝急症</x:v>
      </x:c>
      <x:c r="E161" s="136" t="str">
        <x:v>分清少水、過量飲水與肌肉損傷</x:v>
      </x:c>
      <x:c r="F161" s="136" t="str">
        <x:v>不熟悉的爆量課容易觸發橫紋肌溶解</x:v>
      </x:c>
      <x:c r="G161" s="136" t="str">
        <x:v>突然大量下坡、深蹲、衝刺或高溫課會造成異常肌肉損傷。
行動：新課表從小量開始，避免用懲罰式高次數訓練。</x:v>
      </x:c>
      <x:c r="H161" s="136" t="str">
        <x:v>新課表從小量開始，避免用懲罰式高次數訓練。</x:v>
      </x:c>
      <x:c r="I161" s="136" t="str">
        <x:v>訓練設計</x:v>
      </x:c>
      <x:c r="J161" s="144" t="str">
        <x:v>高</x:v>
      </x:c>
      <x:c r="K161" s="144" t="str">
        <x:v>一般</x:v>
      </x:c>
      <x:c r="L161" s="136" t="str">
        <x:v>健康值 +1；修復值 +1</x:v>
      </x:c>
      <x:c r="M161" s="136" t="str">
        <x:v>若症狀持續、反覆或惡化，請由合格醫療專業評估。</x:v>
      </x:c>
      <x:c r="N161" s="154" t="n">
        <x:f>LEN(G161)</x:f>
        <x:v>51</x:v>
      </x:c>
      <x:c r="O161" s="144" t="str">
        <x:v>S038</x:v>
      </x:c>
      <x:c r="P161" s="136" t="str">
        <x:v>CDC/NIOSH</x:v>
      </x:c>
      <x:c r="Q161" s="136" t="str">
        <x:v>Rhabdomyolysis</x:v>
      </x:c>
      <x:c r="R161" s="151" t="str">
        <x:v>https://www.cdc.gov/niosh/rhabdo/about/index.html</x:v>
      </x:c>
      <x:c r="S161" s="148" t="str">
        <x:v>2026-07-27</x:v>
      </x:c>
    </x:row>
    <x:row r="162" ht="58" customHeight="1">
      <x:c r="A162" s="143" t="str">
        <x:v>FT-158</x:v>
      </x:c>
      <x:c r="B162" s="144" t="str">
        <x:v>命運</x:v>
      </x:c>
      <x:c r="C162" s="136" t="str">
        <x:v>跑者照護：受傷處理、身體修復與健康</x:v>
      </x:c>
      <x:c r="D162" s="136" t="str">
        <x:v>脫水、低鈉與代謝急症</x:v>
      </x:c>
      <x:c r="E162" s="136" t="str">
        <x:v>分清少水、過量飲水與肌肉損傷</x:v>
      </x:c>
      <x:c r="F162" s="136" t="str">
        <x:v>極端肌痛不是普通痠痛</x:v>
      </x:c>
      <x:c r="G162" s="136" t="str">
        <x:v>腫脹、無力、疼痛遠超預期或影響日常動作，需提高警覺。
行動：停止訓練、記錄尿色與用藥並就醫。</x:v>
      </x:c>
      <x:c r="H162" s="136" t="str">
        <x:v>停止訓練、記錄尿色與用藥並就醫。</x:v>
      </x:c>
      <x:c r="I162" s="136" t="str">
        <x:v>運動後 1–3 天</x:v>
      </x:c>
      <x:c r="J162" s="144" t="str">
        <x:v>高</x:v>
      </x:c>
      <x:c r="K162" s="144" t="str">
        <x:v>停止運動</x:v>
      </x:c>
      <x:c r="L162" s="136" t="str">
        <x:v>停止跑步並處理：修復值 +2；本回合休息</x:v>
      </x:c>
      <x:c r="M162" s="136" t="str">
        <x:v>若症狀持續、反覆或惡化，請由合格醫療專業評估。</x:v>
      </x:c>
      <x:c r="N162" s="154" t="n">
        <x:f>LEN(G162)</x:f>
        <x:v>46</x:v>
      </x:c>
      <x:c r="O162" s="144" t="str">
        <x:v>S038</x:v>
      </x:c>
      <x:c r="P162" s="136" t="str">
        <x:v>CDC/NIOSH</x:v>
      </x:c>
      <x:c r="Q162" s="136" t="str">
        <x:v>Rhabdomyolysis</x:v>
      </x:c>
      <x:c r="R162" s="151" t="str">
        <x:v>https://www.cdc.gov/niosh/rhabdo/about/index.html</x:v>
      </x:c>
      <x:c r="S162" s="148" t="str">
        <x:v>2026-07-27</x:v>
      </x:c>
    </x:row>
    <x:row r="163" ht="58" customHeight="1">
      <x:c r="A163" s="143" t="str">
        <x:v>FT-159</x:v>
      </x:c>
      <x:c r="B163" s="144" t="str">
        <x:v>命運</x:v>
      </x:c>
      <x:c r="C163" s="136" t="str">
        <x:v>跑者照護：受傷處理、身體修復與健康</x:v>
      </x:c>
      <x:c r="D163" s="136" t="str">
        <x:v>脫水、低鈉與代謝急症</x:v>
      </x:c>
      <x:c r="E163" s="136" t="str">
        <x:v>分清少水、過量飲水與肌肉損傷</x:v>
      </x:c>
      <x:c r="F163" s="136" t="str">
        <x:v>酒精與高溫會讓恢復更複雜</x:v>
      </x:c>
      <x:c r="G163" s="136" t="str">
        <x:v>酒精可能影響補液、睡眠與判斷，增加高溫後不適。
行動：長賽後先補充食物與液體，避免大量飲酒。</x:v>
      </x:c>
      <x:c r="H163" s="136" t="str">
        <x:v>長賽後先補充食物與液體，避免大量飲酒。</x:v>
      </x:c>
      <x:c r="I163" s="136" t="str">
        <x:v>比賽後</x:v>
      </x:c>
      <x:c r="J163" s="144" t="str">
        <x:v>中</x:v>
      </x:c>
      <x:c r="K163" s="144" t="str">
        <x:v>一般</x:v>
      </x:c>
      <x:c r="L163" s="136" t="str">
        <x:v>修復值 +1</x:v>
      </x:c>
      <x:c r="M163" s="136" t="str">
        <x:v>若症狀持續、反覆或惡化，請由合格醫療專業評估。</x:v>
      </x:c>
      <x:c r="N163" s="154" t="n">
        <x:f>LEN(G163)</x:f>
        <x:v>46</x:v>
      </x:c>
      <x:c r="O163" s="144" t="str">
        <x:v>S012</x:v>
      </x:c>
      <x:c r="P163" s="136" t="str">
        <x:v>World Athletics</x:v>
      </x:c>
      <x:c r="Q163" s="136" t="str">
        <x:v>Nutrition for Athletics — Consensus Statement</x:v>
      </x:c>
      <x:c r="R163" s="151" t="str">
        <x:v>https://worldathletics.org/download/download?filename=23fb9de0-6699-4d5b-b075-42f5da5518f5.pdf&amp;urlslug=Nutrition%2Bfor%2BAthletics%2B-%2B2019%2BIAAF%2BConsensus%2BStatement</x:v>
      </x:c>
      <x:c r="S163" s="148" t="str">
        <x:v>2026-07-27</x:v>
      </x:c>
    </x:row>
    <x:row r="164" ht="58" customHeight="1">
      <x:c r="A164" s="143" t="str">
        <x:v>FT-160</x:v>
      </x:c>
      <x:c r="B164" s="144" t="str">
        <x:v>命運</x:v>
      </x:c>
      <x:c r="C164" s="136" t="str">
        <x:v>跑者照護：受傷處理、身體修復與健康</x:v>
      </x:c>
      <x:c r="D164" s="136" t="str">
        <x:v>脫水、低鈉與代謝急症</x:v>
      </x:c>
      <x:c r="E164" s="136" t="str">
        <x:v>分清少水、過量飲水與肌肉損傷</x:v>
      </x:c>
      <x:c r="F164" s="136" t="str">
        <x:v>個人補水計畫要跨季節重測</x:v>
      </x:c>
      <x:c r="G164" s="136" t="str">
        <x:v>冬季與夏季的出汗率可能差很大。
行動：在相似強度下各自量測，建立冷、熱兩套補給範圍。</x:v>
      </x:c>
      <x:c r="H164" s="136" t="str">
        <x:v>在相似強度下各自量測，建立冷、熱兩套補給範圍。</x:v>
      </x:c>
      <x:c r="I164" s="136" t="str">
        <x:v>季節轉換</x:v>
      </x:c>
      <x:c r="J164" s="144" t="str">
        <x:v>中</x:v>
      </x:c>
      <x:c r="K164" s="144" t="str">
        <x:v>一般</x:v>
      </x:c>
      <x:c r="L164" s="136" t="str">
        <x:v>修復值 +1</x:v>
      </x:c>
      <x:c r="M164" s="136" t="str">
        <x:v>若症狀持續、反覆或惡化，請由合格醫療專業評估。</x:v>
      </x:c>
      <x:c r="N164" s="154" t="n">
        <x:f>LEN(G164)</x:f>
        <x:v>42</x:v>
      </x:c>
      <x:c r="O164" s="144" t="str">
        <x:v>S014</x:v>
      </x:c>
      <x:c r="P164" s="136" t="str">
        <x:v>World Athletics</x:v>
      </x:c>
      <x:c r="Q164" s="136" t="str">
        <x:v>Fluid Needs for Training, Competition, and Recovery</x:v>
      </x:c>
      <x:c r="R164" s="151" t="str">
        <x:v>https://worldathletics.org/download/download?filename=ef30aa1b-f972-4f15-84a0-5c131e13b2c9.pdf&amp;urlslug=Fluid+Needs+for+Training%2C+Competition%2C+and+Recovery+in+Track-and-Field+Athletes</x:v>
      </x:c>
      <x:c r="S164" s="148" t="str">
        <x:v>2026-07-27</x:v>
      </x:c>
    </x:row>
    <x:row r="165" ht="58" customHeight="1">
      <x:c r="A165" s="143" t="str">
        <x:v>FT-161</x:v>
      </x:c>
      <x:c r="B165" s="144" t="str">
        <x:v>命運</x:v>
      </x:c>
      <x:c r="C165" s="136" t="str">
        <x:v>跑者照護：受傷處理、身體修復與健康</x:v>
      </x:c>
      <x:c r="D165" s="136" t="str">
        <x:v>生病與回跑</x:v>
      </x:c>
      <x:c r="E165" s="136" t="str">
        <x:v>先恢復全身狀態，再恢復課表</x:v>
      </x:c>
      <x:c r="F165" s="136" t="str">
        <x:v>發燒時不要跑</x:v>
      </x:c>
      <x:c r="G165" s="136" t="str">
        <x:v>發燒代表全身性反應，運動會增加脫水與心肺負擔。
行動：休息、補充液體並依病情就醫，退燒且整體恢復後再回跑。</x:v>
      </x:c>
      <x:c r="H165" s="136" t="str">
        <x:v>休息、補充液體並依病情就醫，退燒且整體恢復後再回跑。</x:v>
      </x:c>
      <x:c r="I165" s="136" t="str">
        <x:v>感染期間</x:v>
      </x:c>
      <x:c r="J165" s="144" t="str">
        <x:v>高</x:v>
      </x:c>
      <x:c r="K165" s="144" t="str">
        <x:v>停止運動</x:v>
      </x:c>
      <x:c r="L165" s="136" t="str">
        <x:v>停止跑步並處理：修復值 +2；本回合休息</x:v>
      </x:c>
      <x:c r="M165" s="136" t="str">
        <x:v>若症狀持續、反覆或惡化，請由合格醫療專業評估。</x:v>
      </x:c>
      <x:c r="N165" s="154" t="n">
        <x:f>LEN(G165)</x:f>
        <x:v>53</x:v>
      </x:c>
      <x:c r="O165" s="144" t="str">
        <x:v>S040</x:v>
      </x:c>
      <x:c r="P165" s="136" t="str">
        <x:v>國際奧會（IOC）／BJSM</x:v>
      </x:c>
      <x:c r="Q165" s="136" t="str">
        <x:v>Acute respiratory illness in athletes</x:v>
      </x:c>
      <x:c r="R165" s="151" t="str">
        <x:v>https://bjsm.bmj.com/content/56/19/1066</x:v>
      </x:c>
      <x:c r="S165" s="148" t="str">
        <x:v>2026-07-27</x:v>
      </x:c>
    </x:row>
    <x:row r="166" ht="58" customHeight="1">
      <x:c r="A166" s="143" t="str">
        <x:v>FT-162</x:v>
      </x:c>
      <x:c r="B166" s="144" t="str">
        <x:v>命運</x:v>
      </x:c>
      <x:c r="C166" s="136" t="str">
        <x:v>跑者照護：受傷處理、身體修復與健康</x:v>
      </x:c>
      <x:c r="D166" s="136" t="str">
        <x:v>生病與回跑</x:v>
      </x:c>
      <x:c r="E166" s="136" t="str">
        <x:v>先恢復全身狀態，再恢復課表</x:v>
      </x:c>
      <x:c r="F166" s="136" t="str">
        <x:v>胸悶、心悸或異常喘要停</x:v>
      </x:c>
      <x:c r="G166" s="136" t="str">
        <x:v>感染後的胸部症狀可能涉及心肺，不宜用輕鬆跑測試。
行動：停止運動並尋求醫療評估；胸痛或暈厥立即 119。</x:v>
      </x:c>
      <x:c r="H166" s="136" t="str">
        <x:v>停止運動並尋求醫療評估；胸痛或暈厥立即 119。</x:v>
      </x:c>
      <x:c r="I166" s="136" t="str">
        <x:v>病後回跑</x:v>
      </x:c>
      <x:c r="J166" s="144" t="str">
        <x:v>高</x:v>
      </x:c>
      <x:c r="K166" s="144" t="str">
        <x:v>緊急</x:v>
      </x:c>
      <x:c r="L166" s="136" t="str">
        <x:v>立即停止並求助：健康值保全；本回合休息</x:v>
      </x:c>
      <x:c r="M166" s="136" t="str">
        <x:v>若症狀持續、反覆或惡化，請由合格醫療專業評估。</x:v>
      </x:c>
      <x:c r="N166" s="154" t="n">
        <x:f>LEN(G166)</x:f>
        <x:v>52</x:v>
      </x:c>
      <x:c r="O166" s="144" t="str">
        <x:v>S040</x:v>
      </x:c>
      <x:c r="P166" s="136" t="str">
        <x:v>國際奧會（IOC）／BJSM</x:v>
      </x:c>
      <x:c r="Q166" s="136" t="str">
        <x:v>Acute respiratory illness in athletes</x:v>
      </x:c>
      <x:c r="R166" s="151" t="str">
        <x:v>https://bjsm.bmj.com/content/56/19/1066</x:v>
      </x:c>
      <x:c r="S166" s="148" t="str">
        <x:v>2026-07-27</x:v>
      </x:c>
    </x:row>
    <x:row r="167" ht="58" customHeight="1">
      <x:c r="A167" s="143" t="str">
        <x:v>FT-163</x:v>
      </x:c>
      <x:c r="B167" s="144" t="str">
        <x:v>命運</x:v>
      </x:c>
      <x:c r="C167" s="136" t="str">
        <x:v>跑者照護：受傷處理、身體修復與健康</x:v>
      </x:c>
      <x:c r="D167" s="136" t="str">
        <x:v>生病與回跑</x:v>
      </x:c>
      <x:c r="E167" s="136" t="str">
        <x:v>先恢復全身狀態，再恢復課表</x:v>
      </x:c>
      <x:c r="F167" s="136" t="str">
        <x:v>只有輕微上呼吸道症狀也要降量</x:v>
      </x:c>
      <x:c r="G167" s="136" t="str">
        <x:v>鼻塞或喉嚨輕微不適不代表可以照原課表高強度。
行動：先休息或短暫低強度，若症狀加重就停止。</x:v>
      </x:c>
      <x:c r="H167" s="136" t="str">
        <x:v>先休息或短暫低強度，若症狀加重就停止。</x:v>
      </x:c>
      <x:c r="I167" s="136" t="str">
        <x:v>感冒初期</x:v>
      </x:c>
      <x:c r="J167" s="144" t="str">
        <x:v>高</x:v>
      </x:c>
      <x:c r="K167" s="144" t="str">
        <x:v>留意</x:v>
      </x:c>
      <x:c r="L167" s="136" t="str">
        <x:v>做出正確照護：修復值 +1</x:v>
      </x:c>
      <x:c r="M167" s="136" t="str">
        <x:v>若症狀持續、反覆或惡化，請由合格醫療專業評估。</x:v>
      </x:c>
      <x:c r="N167" s="154" t="n">
        <x:f>LEN(G167)</x:f>
        <x:v>45</x:v>
      </x:c>
      <x:c r="O167" s="144" t="str">
        <x:v>S040</x:v>
      </x:c>
      <x:c r="P167" s="136" t="str">
        <x:v>國際奧會（IOC）／BJSM</x:v>
      </x:c>
      <x:c r="Q167" s="136" t="str">
        <x:v>Acute respiratory illness in athletes</x:v>
      </x:c>
      <x:c r="R167" s="151" t="str">
        <x:v>https://bjsm.bmj.com/content/56/19/1066</x:v>
      </x:c>
      <x:c r="S167" s="148" t="str">
        <x:v>2026-07-27</x:v>
      </x:c>
    </x:row>
    <x:row r="168" ht="58" customHeight="1">
      <x:c r="A168" s="143" t="str">
        <x:v>FT-164</x:v>
      </x:c>
      <x:c r="B168" s="144" t="str">
        <x:v>命運</x:v>
      </x:c>
      <x:c r="C168" s="136" t="str">
        <x:v>跑者照護：受傷處理、身體修復與健康</x:v>
      </x:c>
      <x:c r="D168" s="136" t="str">
        <x:v>生病與回跑</x:v>
      </x:c>
      <x:c r="E168" s="136" t="str">
        <x:v>先恢復全身狀態，再恢復課表</x:v>
      </x:c>
      <x:c r="F168" s="136" t="str">
        <x:v>病後第一跑用時間而非配速</x:v>
      </x:c>
      <x:c r="G168" s="136" t="str">
        <x:v>感染後心率與體感可能暫時偏高。
行動：先做 15–30 分鐘非常輕鬆跑走，隔天穩定再增加。</x:v>
      </x:c>
      <x:c r="H168" s="136" t="str">
        <x:v>先做 15–30 分鐘非常輕鬆跑走，隔天穩定再增加。</x:v>
      </x:c>
      <x:c r="I168" s="136" t="str">
        <x:v>病後回歸</x:v>
      </x:c>
      <x:c r="J168" s="144" t="str">
        <x:v>中</x:v>
      </x:c>
      <x:c r="K168" s="144" t="str">
        <x:v>一般</x:v>
      </x:c>
      <x:c r="L168" s="136" t="str">
        <x:v>修復值 +1</x:v>
      </x:c>
      <x:c r="M168" s="136" t="str">
        <x:v>若症狀持續、反覆或惡化，請由合格醫療專業評估。</x:v>
      </x:c>
      <x:c r="N168" s="154" t="n">
        <x:f>LEN(G168)</x:f>
        <x:v>45</x:v>
      </x:c>
      <x:c r="O168" s="144" t="str">
        <x:v>S040</x:v>
      </x:c>
      <x:c r="P168" s="136" t="str">
        <x:v>國際奧會（IOC）／BJSM</x:v>
      </x:c>
      <x:c r="Q168" s="136" t="str">
        <x:v>Acute respiratory illness in athletes</x:v>
      </x:c>
      <x:c r="R168" s="151" t="str">
        <x:v>https://bjsm.bmj.com/content/56/19/1066</x:v>
      </x:c>
      <x:c r="S168" s="148" t="str">
        <x:v>2026-07-27</x:v>
      </x:c>
    </x:row>
    <x:row r="169" ht="58" customHeight="1">
      <x:c r="A169" s="143" t="str">
        <x:v>FT-165</x:v>
      </x:c>
      <x:c r="B169" s="144" t="str">
        <x:v>命運</x:v>
      </x:c>
      <x:c r="C169" s="136" t="str">
        <x:v>跑者照護：受傷處理、身體修復與健康</x:v>
      </x:c>
      <x:c r="D169" s="136" t="str">
        <x:v>生病與回跑</x:v>
      </x:c>
      <x:c r="E169" s="136" t="str">
        <x:v>先恢復全身狀態，再恢復課表</x:v>
      </x:c>
      <x:c r="F169" s="136" t="str">
        <x:v>不要補回生病期間欠課</x:v>
      </x:c>
      <x:c r="G169" s="136" t="str">
        <x:v>錯過的訓練無法安全壓縮到同一週。
行動：從原計畫較低負荷階段重新接軌，品質課延後。</x:v>
      </x:c>
      <x:c r="H169" s="136" t="str">
        <x:v>從原計畫較低負荷階段重新接軌，品質課延後。</x:v>
      </x:c>
      <x:c r="I169" s="136" t="str">
        <x:v>恢復期</x:v>
      </x:c>
      <x:c r="J169" s="144" t="str">
        <x:v>高</x:v>
      </x:c>
      <x:c r="K169" s="144" t="str">
        <x:v>一般</x:v>
      </x:c>
      <x:c r="L169" s="136" t="str">
        <x:v>健康值 +1；修復值 +1</x:v>
      </x:c>
      <x:c r="M169" s="136" t="str">
        <x:v>若症狀持續、反覆或惡化，請由合格醫療專業評估。</x:v>
      </x:c>
      <x:c r="N169" s="154" t="n">
        <x:f>LEN(G169)</x:f>
        <x:v>41</x:v>
      </x:c>
      <x:c r="O169" s="144" t="str">
        <x:v>S004</x:v>
      </x:c>
      <x:c r="P169" s="136" t="str">
        <x:v>國際奧會（IOC）／BJSM</x:v>
      </x:c>
      <x:c r="Q169" s="136" t="str">
        <x:v>How much is too much? Part 2: load and illness risk</x:v>
      </x:c>
      <x:c r="R169" s="151" t="str">
        <x:v>https://bjsm.bmj.com/content/50/17/1043</x:v>
      </x:c>
      <x:c r="S169" s="148" t="str">
        <x:v>2026-07-27</x:v>
      </x:c>
    </x:row>
    <x:row r="170" ht="58" customHeight="1">
      <x:c r="A170" s="143" t="str">
        <x:v>FT-166</x:v>
      </x:c>
      <x:c r="B170" s="144" t="str">
        <x:v>命運</x:v>
      </x:c>
      <x:c r="C170" s="136" t="str">
        <x:v>跑者照護：受傷處理、身體修復與健康</x:v>
      </x:c>
      <x:c r="D170" s="136" t="str">
        <x:v>生病與回跑</x:v>
      </x:c>
      <x:c r="E170" s="136" t="str">
        <x:v>先恢復全身狀態，再恢復課表</x:v>
      </x:c>
      <x:c r="F170" s="136" t="str">
        <x:v>腹瀉嘔吐後先恢復水合</x:v>
      </x:c>
      <x:c r="G170" s="136" t="str">
        <x:v>腸胃疾病會造成水分、電解質與能量缺口。
行動：能正常進食、排尿與活動後，再開始短低強度運動。</x:v>
      </x:c>
      <x:c r="H170" s="136" t="str">
        <x:v>能正常進食、排尿與活動後，再開始短低強度運動。</x:v>
      </x:c>
      <x:c r="I170" s="136" t="str">
        <x:v>腸胃炎後</x:v>
      </x:c>
      <x:c r="J170" s="144" t="str">
        <x:v>高</x:v>
      </x:c>
      <x:c r="K170" s="144" t="str">
        <x:v>一般</x:v>
      </x:c>
      <x:c r="L170" s="136" t="str">
        <x:v>健康值 +1；修復值 +1</x:v>
      </x:c>
      <x:c r="M170" s="136" t="str">
        <x:v>若症狀持續、反覆或惡化，請由合格醫療專業評估。</x:v>
      </x:c>
      <x:c r="N170" s="154" t="n">
        <x:f>LEN(G170)</x:f>
        <x:v>46</x:v>
      </x:c>
      <x:c r="O170" s="144" t="str">
        <x:v>S040</x:v>
      </x:c>
      <x:c r="P170" s="136" t="str">
        <x:v>國際奧會（IOC）／BJSM</x:v>
      </x:c>
      <x:c r="Q170" s="136" t="str">
        <x:v>Acute respiratory illness in athletes</x:v>
      </x:c>
      <x:c r="R170" s="151" t="str">
        <x:v>https://bjsm.bmj.com/content/56/19/1066</x:v>
      </x:c>
      <x:c r="S170" s="148" t="str">
        <x:v>2026-07-27</x:v>
      </x:c>
    </x:row>
    <x:row r="171" ht="58" customHeight="1">
      <x:c r="A171" s="143" t="str">
        <x:v>FT-167</x:v>
      </x:c>
      <x:c r="B171" s="144" t="str">
        <x:v>命運</x:v>
      </x:c>
      <x:c r="C171" s="136" t="str">
        <x:v>跑者照護：受傷處理、身體修復與健康</x:v>
      </x:c>
      <x:c r="D171" s="136" t="str">
        <x:v>生病與回跑</x:v>
      </x:c>
      <x:c r="E171" s="136" t="str">
        <x:v>先恢復全身狀態，再恢復課表</x:v>
      </x:c>
      <x:c r="F171" s="136" t="str">
        <x:v>抗生素不是自己決定的回跑許可</x:v>
      </x:c>
      <x:c r="G171" s="136" t="str">
        <x:v>症狀被藥物控制不等於感染或副作用已解除。
行動：依醫囑完成治療，詢問何時能恢復運動。</x:v>
      </x:c>
      <x:c r="H171" s="136" t="str">
        <x:v>依醫囑完成治療，詢問何時能恢復運動。</x:v>
      </x:c>
      <x:c r="I171" s="136" t="str">
        <x:v>用藥期間</x:v>
      </x:c>
      <x:c r="J171" s="144" t="str">
        <x:v>高</x:v>
      </x:c>
      <x:c r="K171" s="144" t="str">
        <x:v>留意</x:v>
      </x:c>
      <x:c r="L171" s="136" t="str">
        <x:v>做出正確照護：修復值 +1</x:v>
      </x:c>
      <x:c r="M171" s="136" t="str">
        <x:v>若症狀持續、反覆或惡化，請由合格醫療專業評估。</x:v>
      </x:c>
      <x:c r="N171" s="154" t="n">
        <x:f>LEN(G171)</x:f>
        <x:v>42</x:v>
      </x:c>
      <x:c r="O171" s="144" t="str">
        <x:v>S040</x:v>
      </x:c>
      <x:c r="P171" s="136" t="str">
        <x:v>國際奧會（IOC）／BJSM</x:v>
      </x:c>
      <x:c r="Q171" s="136" t="str">
        <x:v>Acute respiratory illness in athletes</x:v>
      </x:c>
      <x:c r="R171" s="151" t="str">
        <x:v>https://bjsm.bmj.com/content/56/19/1066</x:v>
      </x:c>
      <x:c r="S171" s="148" t="str">
        <x:v>2026-07-27</x:v>
      </x:c>
    </x:row>
    <x:row r="172" ht="58" customHeight="1">
      <x:c r="A172" s="143" t="str">
        <x:v>FT-168</x:v>
      </x:c>
      <x:c r="B172" s="144" t="str">
        <x:v>命運</x:v>
      </x:c>
      <x:c r="C172" s="136" t="str">
        <x:v>跑者照護：受傷處理、身體修復與健康</x:v>
      </x:c>
      <x:c r="D172" s="136" t="str">
        <x:v>生病與回跑</x:v>
      </x:c>
      <x:c r="E172" s="136" t="str">
        <x:v>先恢復全身狀態，再恢復課表</x:v>
      </x:c>
      <x:c r="F172" s="136" t="str">
        <x:v>團跑生病要顧及他人</x:v>
      </x:c>
      <x:c r="G172" s="136" t="str">
        <x:v>呼吸道症狀可能傳染，團跑也增加自己恢復負擔。
行動：有發燒、明顯咳嗽或急性症狀時留在家，恢復後再回團。</x:v>
      </x:c>
      <x:c r="H172" s="136" t="str">
        <x:v>有發燒、明顯咳嗽或急性症狀時留在家，恢復後再回團。</x:v>
      </x:c>
      <x:c r="I172" s="136" t="str">
        <x:v>團體訓練</x:v>
      </x:c>
      <x:c r="J172" s="144" t="str">
        <x:v>中</x:v>
      </x:c>
      <x:c r="K172" s="144" t="str">
        <x:v>一般</x:v>
      </x:c>
      <x:c r="L172" s="136" t="str">
        <x:v>修復值 +1</x:v>
      </x:c>
      <x:c r="M172" s="136" t="str">
        <x:v>若症狀持續、反覆或惡化，請由合格醫療專業評估。</x:v>
      </x:c>
      <x:c r="N172" s="154" t="n">
        <x:f>LEN(G172)</x:f>
        <x:v>51</x:v>
      </x:c>
      <x:c r="O172" s="144" t="str">
        <x:v>S040</x:v>
      </x:c>
      <x:c r="P172" s="136" t="str">
        <x:v>國際奧會（IOC）／BJSM</x:v>
      </x:c>
      <x:c r="Q172" s="136" t="str">
        <x:v>Acute respiratory illness in athletes</x:v>
      </x:c>
      <x:c r="R172" s="151" t="str">
        <x:v>https://bjsm.bmj.com/content/56/19/1066</x:v>
      </x:c>
      <x:c r="S172" s="148" t="str">
        <x:v>2026-07-27</x:v>
      </x:c>
    </x:row>
    <x:row r="173" ht="58" customHeight="1">
      <x:c r="A173" s="143" t="str">
        <x:v>FT-169</x:v>
      </x:c>
      <x:c r="B173" s="144" t="str">
        <x:v>命運</x:v>
      </x:c>
      <x:c r="C173" s="136" t="str">
        <x:v>跑者照護：受傷處理、身體修復與健康</x:v>
      </x:c>
      <x:c r="D173" s="136" t="str">
        <x:v>生病與回跑</x:v>
      </x:c>
      <x:c r="E173" s="136" t="str">
        <x:v>先恢復全身狀態，再恢復課表</x:v>
      </x:c>
      <x:c r="F173" s="136" t="str">
        <x:v>持續疲勞數週需評估</x:v>
      </x:c>
      <x:c r="G173" s="136" t="str">
        <x:v>病後疲勞若長期不退，可能有貧血、感染後症候群或其他因素。
行動：暫停高強度並諮詢醫療人員，提供睡眠、心率與症狀紀錄。</x:v>
      </x:c>
      <x:c r="H173" s="136" t="str">
        <x:v>暫停高強度並諮詢醫療人員，提供睡眠、心率與症狀紀錄。</x:v>
      </x:c>
      <x:c r="I173" s="136" t="str">
        <x:v>病後恢復不佳</x:v>
      </x:c>
      <x:c r="J173" s="144" t="str">
        <x:v>高</x:v>
      </x:c>
      <x:c r="K173" s="144" t="str">
        <x:v>留意</x:v>
      </x:c>
      <x:c r="L173" s="136" t="str">
        <x:v>做出正確照護：修復值 +1</x:v>
      </x:c>
      <x:c r="M173" s="136" t="str">
        <x:v>若症狀持續、反覆或惡化，請由合格醫療專業評估。</x:v>
      </x:c>
      <x:c r="N173" s="154" t="n">
        <x:f>LEN(G173)</x:f>
        <x:v>58</x:v>
      </x:c>
      <x:c r="O173" s="144" t="str">
        <x:v>S064</x:v>
      </x:c>
      <x:c r="P173" s="136" t="str">
        <x:v>World Athletics</x:v>
      </x:c>
      <x:c r="Q173" s="136" t="str">
        <x:v>Exercise-Induced Illness and Inflammation</x:v>
      </x:c>
      <x:c r="R173" s="151" t="str">
        <x:v>https://worldathletics.org/download/download?filename=d3f1f84d-74d5-4fed-8593-cc959727d9db.pdf&amp;urlslug=Exercise-Induced+Illness+and+Inflammation%3A+Can+Immunonutrition+and+Iron+Help%3F</x:v>
      </x:c>
      <x:c r="S173" s="148" t="str">
        <x:v>2026-07-27</x:v>
      </x:c>
    </x:row>
    <x:row r="174" ht="58" customHeight="1">
      <x:c r="A174" s="143" t="str">
        <x:v>FT-170</x:v>
      </x:c>
      <x:c r="B174" s="144" t="str">
        <x:v>命運</x:v>
      </x:c>
      <x:c r="C174" s="136" t="str">
        <x:v>跑者照護：受傷處理、身體修復與健康</x:v>
      </x:c>
      <x:c r="D174" s="136" t="str">
        <x:v>生病與回跑</x:v>
      </x:c>
      <x:c r="E174" s="136" t="str">
        <x:v>先恢復全身狀態，再恢復課表</x:v>
      </x:c>
      <x:c r="F174" s="136" t="str">
        <x:v>比賽近了也不能跳過回跑階段</x:v>
      </x:c>
      <x:c r="G174" s="136" t="str">
        <x:v>日期壓力容易讓跑者用一堂課證明康復，反而增加復發。
行動：先通過日常活動、短輕鬆跑、一般跑，再考慮品質與比賽。</x:v>
      </x:c>
      <x:c r="H174" s="136" t="str">
        <x:v>先通過日常活動、短輕鬆跑、一般跑，再考慮品質與比賽。</x:v>
      </x:c>
      <x:c r="I174" s="136" t="str">
        <x:v>賽前生病後</x:v>
      </x:c>
      <x:c r="J174" s="144" t="str">
        <x:v>高</x:v>
      </x:c>
      <x:c r="K174" s="144" t="str">
        <x:v>一般</x:v>
      </x:c>
      <x:c r="L174" s="136" t="str">
        <x:v>健康值 +1；修復值 +1</x:v>
      </x:c>
      <x:c r="M174" s="136" t="str">
        <x:v>若症狀持續、反覆或惡化，請由合格醫療專業評估。</x:v>
      </x:c>
      <x:c r="N174" s="154" t="n">
        <x:f>LEN(G174)</x:f>
        <x:v>55</x:v>
      </x:c>
      <x:c r="O174" s="144" t="str">
        <x:v>S040</x:v>
      </x:c>
      <x:c r="P174" s="136" t="str">
        <x:v>國際奧會（IOC）／BJSM</x:v>
      </x:c>
      <x:c r="Q174" s="136" t="str">
        <x:v>Acute respiratory illness in athletes</x:v>
      </x:c>
      <x:c r="R174" s="151" t="str">
        <x:v>https://bjsm.bmj.com/content/56/19/1066</x:v>
      </x:c>
      <x:c r="S174" s="148" t="str">
        <x:v>2026-07-27</x:v>
      </x:c>
    </x:row>
    <x:row r="175" ht="58" customHeight="1">
      <x:c r="A175" s="143" t="str">
        <x:v>FT-171</x:v>
      </x:c>
      <x:c r="B175" s="144" t="str">
        <x:v>命運</x:v>
      </x:c>
      <x:c r="C175" s="136" t="str">
        <x:v>跑者照護：受傷處理、身體修復與健康</x:v>
      </x:c>
      <x:c r="D175" s="136" t="str">
        <x:v>睡眠、壓力與心理</x:v>
      </x:c>
      <x:c r="E175" s="136" t="str">
        <x:v>把身心疲勞納入訓練負荷</x:v>
      </x:c>
      <x:c r="F175" s="136" t="str">
        <x:v>厭跑可能是過度負荷訊號</x:v>
      </x:c>
      <x:c r="G175" s="136" t="str">
        <x:v>長期失去動機、情緒易怒與表現下降，可能與累積壓力及恢復不足有關。
行動：安排降載週，檢查睡眠、飲食、工作與訓練密度。</x:v>
      </x:c>
      <x:c r="H175" s="136" t="str">
        <x:v>安排降載週，檢查睡眠、飲食、工作與訓練密度。</x:v>
      </x:c>
      <x:c r="I175" s="136" t="str">
        <x:v>持續數週</x:v>
      </x:c>
      <x:c r="J175" s="144" t="str">
        <x:v>高</x:v>
      </x:c>
      <x:c r="K175" s="144" t="str">
        <x:v>一般</x:v>
      </x:c>
      <x:c r="L175" s="136" t="str">
        <x:v>健康值 +1；修復值 +1</x:v>
      </x:c>
      <x:c r="M175" s="136" t="str">
        <x:v>若症狀持續、反覆或惡化，請由合格醫療專業評估。</x:v>
      </x:c>
      <x:c r="N175" s="154" t="n">
        <x:f>LEN(G175)</x:f>
        <x:v>58</x:v>
      </x:c>
      <x:c r="O175" s="144" t="str">
        <x:v>S004</x:v>
      </x:c>
      <x:c r="P175" s="136" t="str">
        <x:v>國際奧會（IOC）／BJSM</x:v>
      </x:c>
      <x:c r="Q175" s="136" t="str">
        <x:v>How much is too much? Part 2: load and illness risk</x:v>
      </x:c>
      <x:c r="R175" s="151" t="str">
        <x:v>https://bjsm.bmj.com/content/50/17/1043</x:v>
      </x:c>
      <x:c r="S175" s="148" t="str">
        <x:v>2026-07-27</x:v>
      </x:c>
    </x:row>
    <x:row r="176" ht="58" customHeight="1">
      <x:c r="A176" s="143" t="str">
        <x:v>FT-172</x:v>
      </x:c>
      <x:c r="B176" s="144" t="str">
        <x:v>命運</x:v>
      </x:c>
      <x:c r="C176" s="136" t="str">
        <x:v>跑者照護：受傷處理、身體修復與健康</x:v>
      </x:c>
      <x:c r="D176" s="136" t="str">
        <x:v>睡眠、壓力與心理</x:v>
      </x:c>
      <x:c r="E176" s="136" t="str">
        <x:v>把身心疲勞納入訓練負荷</x:v>
      </x:c>
      <x:c r="F176" s="136" t="str">
        <x:v>連續睡差先取消高風險課</x:v>
      </x:c>
      <x:c r="G176" s="136" t="str">
        <x:v>缺眠會影響反應、協調與主觀努力。
行動：把間歇、山路或夜間長跑改成休息或短輕鬆活動。</x:v>
      </x:c>
      <x:c r="H176" s="136" t="str">
        <x:v>把間歇、山路或夜間長跑改成休息或短輕鬆活動。</x:v>
      </x:c>
      <x:c r="I176" s="136" t="str">
        <x:v>睡眠不足</x:v>
      </x:c>
      <x:c r="J176" s="144" t="str">
        <x:v>高</x:v>
      </x:c>
      <x:c r="K176" s="144" t="str">
        <x:v>一般</x:v>
      </x:c>
      <x:c r="L176" s="136" t="str">
        <x:v>健康值 +1；修復值 +1</x:v>
      </x:c>
      <x:c r="M176" s="136" t="str">
        <x:v>若症狀持續、反覆或惡化，請由合格醫療專業評估。</x:v>
      </x:c>
      <x:c r="N176" s="154" t="n">
        <x:f>LEN(G176)</x:f>
        <x:v>42</x:v>
      </x:c>
      <x:c r="O176" s="144" t="str">
        <x:v>S041</x:v>
      </x:c>
      <x:c r="P176" s="136" t="str">
        <x:v>CDC</x:v>
      </x:c>
      <x:c r="Q176" s="136" t="str">
        <x:v>About Sleep</x:v>
      </x:c>
      <x:c r="R176" s="151" t="str">
        <x:v>https://www.cdc.gov/sleep/about/index.html</x:v>
      </x:c>
      <x:c r="S176" s="148" t="str">
        <x:v>2026-07-27</x:v>
      </x:c>
    </x:row>
    <x:row r="177" ht="58" customHeight="1">
      <x:c r="A177" s="143" t="str">
        <x:v>FT-173</x:v>
      </x:c>
      <x:c r="B177" s="144" t="str">
        <x:v>命運</x:v>
      </x:c>
      <x:c r="C177" s="136" t="str">
        <x:v>跑者照護：受傷處理、身體修復與健康</x:v>
      </x:c>
      <x:c r="D177" s="136" t="str">
        <x:v>睡眠、壓力與心理</x:v>
      </x:c>
      <x:c r="E177" s="136" t="str">
        <x:v>把身心疲勞納入訓練負荷</x:v>
      </x:c>
      <x:c r="F177" s="136" t="str">
        <x:v>焦慮時先縮小任務</x:v>
      </x:c>
      <x:c r="G177" s="136" t="str">
        <x:v>把整個賽季一次扛在腦中，會增加失控感。
行動：只決定下一個 10 分鐘或今天的一項恢復行動。</x:v>
      </x:c>
      <x:c r="H177" s="136" t="str">
        <x:v>只決定下一個 10 分鐘或今天的一項恢復行動。</x:v>
      </x:c>
      <x:c r="I177" s="136" t="str">
        <x:v>壓力高時</x:v>
      </x:c>
      <x:c r="J177" s="144" t="str">
        <x:v>中</x:v>
      </x:c>
      <x:c r="K177" s="144" t="str">
        <x:v>一般</x:v>
      </x:c>
      <x:c r="L177" s="136" t="str">
        <x:v>修復值 +1</x:v>
      </x:c>
      <x:c r="M177" s="136" t="str">
        <x:v>若症狀持續、反覆或惡化，請由合格醫療專業評估。</x:v>
      </x:c>
      <x:c r="N177" s="154" t="n">
        <x:f>LEN(G177)</x:f>
        <x:v>46</x:v>
      </x:c>
      <x:c r="O177" s="144" t="str">
        <x:v>S078</x:v>
      </x:c>
      <x:c r="P177" s="136" t="str">
        <x:v>Sports Medicine／PubMed</x:v>
      </x:c>
      <x:c r="Q177" s="136" t="str">
        <x:v>Psychological interventions for endurance performance</x:v>
      </x:c>
      <x:c r="R177" s="151" t="str">
        <x:v>https://pubmed.ncbi.nlm.nih.gov/37812334/</x:v>
      </x:c>
      <x:c r="S177" s="148" t="str">
        <x:v>2026-07-27</x:v>
      </x:c>
    </x:row>
    <x:row r="178" ht="58" customHeight="1">
      <x:c r="A178" s="143" t="str">
        <x:v>FT-174</x:v>
      </x:c>
      <x:c r="B178" s="144" t="str">
        <x:v>命運</x:v>
      </x:c>
      <x:c r="C178" s="136" t="str">
        <x:v>跑者照護：受傷處理、身體修復與健康</x:v>
      </x:c>
      <x:c r="D178" s="136" t="str">
        <x:v>睡眠、壓力與心理</x:v>
      </x:c>
      <x:c r="E178" s="136" t="str">
        <x:v>把身心疲勞納入訓練負荷</x:v>
      </x:c>
      <x:c r="F178" s="136" t="str">
        <x:v>不能休息也可能是警訊</x:v>
      </x:c>
      <x:c r="G178" s="136" t="str">
        <x:v>即使受傷、生病仍強迫運動，可能與不健康的運動關係或飲食問題有關。
行動：和信任的人及身心健康專業討論，不用里程證明自我價值。</x:v>
      </x:c>
      <x:c r="H178" s="136" t="str">
        <x:v>和信任的人及身心健康專業討論，不用里程證明自我價值。</x:v>
      </x:c>
      <x:c r="I178" s="136" t="str">
        <x:v>強迫運動</x:v>
      </x:c>
      <x:c r="J178" s="144" t="str">
        <x:v>高</x:v>
      </x:c>
      <x:c r="K178" s="144" t="str">
        <x:v>留意</x:v>
      </x:c>
      <x:c r="L178" s="136" t="str">
        <x:v>做出正確照護：修復值 +1</x:v>
      </x:c>
      <x:c r="M178" s="136" t="str">
        <x:v>若症狀持續、反覆或惡化，請由合格醫療專業評估。</x:v>
      </x:c>
      <x:c r="N178" s="154" t="n">
        <x:f>LEN(G178)</x:f>
        <x:v>62</x:v>
      </x:c>
      <x:c r="O178" s="144" t="str">
        <x:v>S042</x:v>
      </x:c>
      <x:c r="P178" s="136" t="str">
        <x:v>國際奧會（IOC）／BJSM</x:v>
      </x:c>
      <x:c r="Q178" s="136" t="str">
        <x:v>2023 IOC consensus statement on REDs</x:v>
      </x:c>
      <x:c r="R178" s="151" t="str">
        <x:v>https://bjsm.bmj.com/content/57/17/1073</x:v>
      </x:c>
      <x:c r="S178" s="148" t="str">
        <x:v>2026-07-27</x:v>
      </x:c>
    </x:row>
    <x:row r="179" ht="58" customHeight="1">
      <x:c r="A179" s="143" t="str">
        <x:v>FT-175</x:v>
      </x:c>
      <x:c r="B179" s="144" t="str">
        <x:v>命運</x:v>
      </x:c>
      <x:c r="C179" s="136" t="str">
        <x:v>跑者照護：受傷處理、身體修復與健康</x:v>
      </x:c>
      <x:c r="D179" s="136" t="str">
        <x:v>睡眠、壓力與心理</x:v>
      </x:c>
      <x:c r="E179" s="136" t="str">
        <x:v>把身心疲勞納入訓練負荷</x:v>
      </x:c>
      <x:c r="F179" s="136" t="str">
        <x:v>疼痛恐懼可用分級暴露處理</x:v>
      </x:c>
      <x:c r="G179" s="136" t="str">
        <x:v>完全逃避所有動作可能讓功能與信心下降。
行動：在專業指導下從安全、低負荷動作開始，逐級建立成功經驗。</x:v>
      </x:c>
      <x:c r="H179" s="136" t="str">
        <x:v>在專業指導下從安全、低負荷動作開始，逐級建立成功經驗。</x:v>
      </x:c>
      <x:c r="I179" s="136" t="str">
        <x:v>傷後害怕回跑</x:v>
      </x:c>
      <x:c r="J179" s="144" t="str">
        <x:v>中</x:v>
      </x:c>
      <x:c r="K179" s="144" t="str">
        <x:v>一般</x:v>
      </x:c>
      <x:c r="L179" s="136" t="str">
        <x:v>修復值 +1</x:v>
      </x:c>
      <x:c r="M179" s="136" t="str">
        <x:v>若症狀持續、反覆或惡化，請由合格醫療專業評估。</x:v>
      </x:c>
      <x:c r="N179" s="154" t="n">
        <x:f>LEN(G179)</x:f>
        <x:v>50</x:v>
      </x:c>
      <x:c r="O179" s="144" t="str">
        <x:v>S024</x:v>
      </x:c>
      <x:c r="P179" s="136" t="str">
        <x:v>BJSM</x:v>
      </x:c>
      <x:c r="Q179" s="136" t="str">
        <x:v>Soft-tissue injuries simply need PEACE and LOVE</x:v>
      </x:c>
      <x:c r="R179" s="151" t="str">
        <x:v>https://bjsm.bmj.com/content/54/2/72</x:v>
      </x:c>
      <x:c r="S179" s="148" t="str">
        <x:v>2026-07-27</x:v>
      </x:c>
    </x:row>
    <x:row r="180" ht="58" customHeight="1">
      <x:c r="A180" s="143" t="str">
        <x:v>FT-176</x:v>
      </x:c>
      <x:c r="B180" s="144" t="str">
        <x:v>命運</x:v>
      </x:c>
      <x:c r="C180" s="136" t="str">
        <x:v>跑者照護：受傷處理、身體修復與健康</x:v>
      </x:c>
      <x:c r="D180" s="136" t="str">
        <x:v>睡眠、壓力與心理</x:v>
      </x:c>
      <x:c r="E180" s="136" t="str">
        <x:v>把身心疲勞納入訓練負荷</x:v>
      </x:c>
      <x:c r="F180" s="136" t="str">
        <x:v>短呼吸練習可幫助降喚醒</x:v>
      </x:c>
      <x:c r="G180" s="136" t="str">
        <x:v>慢而規律的呼吸能提供注意力錨點，但不能取代醫療處置。
行動：賽前做 1–3 分鐘緩慢呼吸，若胸痛或呼吸困難立即求助。</x:v>
      </x:c>
      <x:c r="H180" s="136" t="str">
        <x:v>賽前做 1–3 分鐘緩慢呼吸，若胸痛或呼吸困難立即求助。</x:v>
      </x:c>
      <x:c r="I180" s="136" t="str">
        <x:v>賽前焦慮</x:v>
      </x:c>
      <x:c r="J180" s="144" t="str">
        <x:v>中</x:v>
      </x:c>
      <x:c r="K180" s="144" t="str">
        <x:v>一般</x:v>
      </x:c>
      <x:c r="L180" s="136" t="str">
        <x:v>修復值 +1</x:v>
      </x:c>
      <x:c r="M180" s="136" t="str">
        <x:v>若症狀持續、反覆或惡化，請由合格醫療專業評估。</x:v>
      </x:c>
      <x:c r="N180" s="154" t="n">
        <x:f>LEN(G180)</x:f>
        <x:v>58</x:v>
      </x:c>
      <x:c r="O180" s="144" t="str">
        <x:v>S078</x:v>
      </x:c>
      <x:c r="P180" s="136" t="str">
        <x:v>Sports Medicine／PubMed</x:v>
      </x:c>
      <x:c r="Q180" s="136" t="str">
        <x:v>Psychological interventions for endurance performance</x:v>
      </x:c>
      <x:c r="R180" s="151" t="str">
        <x:v>https://pubmed.ncbi.nlm.nih.gov/37812334/</x:v>
      </x:c>
      <x:c r="S180" s="148" t="str">
        <x:v>2026-07-27</x:v>
      </x:c>
    </x:row>
    <x:row r="181" ht="58" customHeight="1">
      <x:c r="A181" s="143" t="str">
        <x:v>FT-177</x:v>
      </x:c>
      <x:c r="B181" s="144" t="str">
        <x:v>命運</x:v>
      </x:c>
      <x:c r="C181" s="136" t="str">
        <x:v>跑者照護：受傷處理、身體修復與健康</x:v>
      </x:c>
      <x:c r="D181" s="136" t="str">
        <x:v>睡眠、壓力與心理</x:v>
      </x:c>
      <x:c r="E181" s="136" t="str">
        <x:v>把身心疲勞納入訓練負荷</x:v>
      </x:c>
      <x:c r="F181" s="136" t="str">
        <x:v>社交支持也是恢復資源</x:v>
      </x:c>
      <x:c r="G181" s="136" t="str">
        <x:v>獨自承擔課表、傷痛與成績壓力，容易讓判斷變窄。
行動：找教練、跑友或家人協助監督降載與就醫決定。</x:v>
      </x:c>
      <x:c r="H181" s="136" t="str">
        <x:v>找教練、跑友或家人協助監督降載與就醫決定。</x:v>
      </x:c>
      <x:c r="I181" s="136" t="str">
        <x:v>高壓期</x:v>
      </x:c>
      <x:c r="J181" s="144" t="str">
        <x:v>中</x:v>
      </x:c>
      <x:c r="K181" s="144" t="str">
        <x:v>一般</x:v>
      </x:c>
      <x:c r="L181" s="136" t="str">
        <x:v>修復值 +1</x:v>
      </x:c>
      <x:c r="M181" s="136" t="str">
        <x:v>若症狀持續、反覆或惡化，請由合格醫療專業評估。</x:v>
      </x:c>
      <x:c r="N181" s="154" t="n">
        <x:f>LEN(G181)</x:f>
        <x:v>48</x:v>
      </x:c>
      <x:c r="O181" s="144" t="str">
        <x:v>S020</x:v>
      </x:c>
      <x:c r="P181" s="136" t="str">
        <x:v>Sports Medicine／PubMed</x:v>
      </x:c>
      <x:c r="Q181" s="136" t="str">
        <x:v>Psychological determinants of endurance performance</x:v>
      </x:c>
      <x:c r="R181" s="151" t="str">
        <x:v>https://pubmed.ncbi.nlm.nih.gov/25771784/</x:v>
      </x:c>
      <x:c r="S181" s="148" t="str">
        <x:v>2026-07-27</x:v>
      </x:c>
    </x:row>
    <x:row r="182" ht="58" customHeight="1">
      <x:c r="A182" s="143" t="str">
        <x:v>FT-178</x:v>
      </x:c>
      <x:c r="B182" s="144" t="str">
        <x:v>命運</x:v>
      </x:c>
      <x:c r="C182" s="136" t="str">
        <x:v>跑者照護：受傷處理、身體修復與健康</x:v>
      </x:c>
      <x:c r="D182" s="136" t="str">
        <x:v>睡眠、壓力與心理</x:v>
      </x:c>
      <x:c r="E182" s="136" t="str">
        <x:v>把身心疲勞納入訓練負荷</x:v>
      </x:c>
      <x:c r="F182" s="136" t="str">
        <x:v>行程留白不是浪費</x:v>
      </x:c>
      <x:c r="G182" s="136" t="str">
        <x:v>工作、照顧責任與通勤同樣消耗恢復資源。
行動：每週至少安排一段沒有高強度訓練的空白時段。</x:v>
      </x:c>
      <x:c r="H182" s="136" t="str">
        <x:v>每週至少安排一段沒有高強度訓練的空白時段。</x:v>
      </x:c>
      <x:c r="I182" s="136" t="str">
        <x:v>生活壓力高時</x:v>
      </x:c>
      <x:c r="J182" s="144" t="str">
        <x:v>中</x:v>
      </x:c>
      <x:c r="K182" s="144" t="str">
        <x:v>一般</x:v>
      </x:c>
      <x:c r="L182" s="136" t="str">
        <x:v>修復值 +1</x:v>
      </x:c>
      <x:c r="M182" s="136" t="str">
        <x:v>若症狀持續、反覆或惡化，請由合格醫療專業評估。</x:v>
      </x:c>
      <x:c r="N182" s="154" t="n">
        <x:f>LEN(G182)</x:f>
        <x:v>44</x:v>
      </x:c>
      <x:c r="O182" s="144" t="str">
        <x:v>S004</x:v>
      </x:c>
      <x:c r="P182" s="136" t="str">
        <x:v>國際奧會（IOC）／BJSM</x:v>
      </x:c>
      <x:c r="Q182" s="136" t="str">
        <x:v>How much is too much? Part 2: load and illness risk</x:v>
      </x:c>
      <x:c r="R182" s="151" t="str">
        <x:v>https://bjsm.bmj.com/content/50/17/1043</x:v>
      </x:c>
      <x:c r="S182" s="148" t="str">
        <x:v>2026-07-27</x:v>
      </x:c>
    </x:row>
    <x:row r="183" ht="58" customHeight="1">
      <x:c r="A183" s="143" t="str">
        <x:v>FT-179</x:v>
      </x:c>
      <x:c r="B183" s="144" t="str">
        <x:v>命運</x:v>
      </x:c>
      <x:c r="C183" s="136" t="str">
        <x:v>跑者照護：受傷處理、身體修復與健康</x:v>
      </x:c>
      <x:c r="D183" s="136" t="str">
        <x:v>睡眠、壓力與心理</x:v>
      </x:c>
      <x:c r="E183" s="136" t="str">
        <x:v>把身心疲勞納入訓練負荷</x:v>
      </x:c>
      <x:c r="F183" s="136" t="str">
        <x:v>情緒持續低落要尋求協助</x:v>
      </x:c>
      <x:c r="G183" s="136" t="str">
        <x:v>連續兩週以上低落、失去興趣、睡眠食慾改變或影響功能，需要專業評估。
行動：聯絡醫療或心理專業；若有自傷念頭，立即尋求當地緊急協助。</x:v>
      </x:c>
      <x:c r="H183" s="136" t="str">
        <x:v>聯絡醫療或心理專業；若有自傷念頭，立即尋求當地緊急協助。</x:v>
      </x:c>
      <x:c r="I183" s="136" t="str">
        <x:v>心理紅旗</x:v>
      </x:c>
      <x:c r="J183" s="144" t="str">
        <x:v>高</x:v>
      </x:c>
      <x:c r="K183" s="144" t="str">
        <x:v>緊急</x:v>
      </x:c>
      <x:c r="L183" s="136" t="str">
        <x:v>立即停止並求助：健康值保全；本回合休息</x:v>
      </x:c>
      <x:c r="M183" s="136" t="str">
        <x:v>若症狀持續、反覆或惡化，請由合格醫療專業評估。</x:v>
      </x:c>
      <x:c r="N183" s="154" t="n">
        <x:f>LEN(G183)</x:f>
        <x:v>65</x:v>
      </x:c>
      <x:c r="O183" s="144" t="str">
        <x:v>S041</x:v>
      </x:c>
      <x:c r="P183" s="136" t="str">
        <x:v>CDC</x:v>
      </x:c>
      <x:c r="Q183" s="136" t="str">
        <x:v>About Sleep</x:v>
      </x:c>
      <x:c r="R183" s="151" t="str">
        <x:v>https://www.cdc.gov/sleep/about/index.html</x:v>
      </x:c>
      <x:c r="S183" s="148" t="str">
        <x:v>2026-07-27</x:v>
      </x:c>
    </x:row>
    <x:row r="184" ht="58" customHeight="1">
      <x:c r="A184" s="143" t="str">
        <x:v>FT-180</x:v>
      </x:c>
      <x:c r="B184" s="144" t="str">
        <x:v>命運</x:v>
      </x:c>
      <x:c r="C184" s="136" t="str">
        <x:v>跑者照護：受傷處理、身體修復與健康</x:v>
      </x:c>
      <x:c r="D184" s="136" t="str">
        <x:v>睡眠、壓力與心理</x:v>
      </x:c>
      <x:c r="E184" s="136" t="str">
        <x:v>把身心疲勞納入訓練負荷</x:v>
      </x:c>
      <x:c r="F184" s="136" t="str">
        <x:v>恢復日要真的恢復</x:v>
      </x:c>
      <x:c r="G184" s="136" t="str">
        <x:v>把休息日塞滿熬夜、飲酒與高壓工作，身體仍無法吸收訓練。
行動：安排睡眠、正常進食、輕鬆散步與放鬆活動。</x:v>
      </x:c>
      <x:c r="H184" s="136" t="str">
        <x:v>安排睡眠、正常進食、輕鬆散步與放鬆活動。</x:v>
      </x:c>
      <x:c r="I184" s="136" t="str">
        <x:v>每週恢復日</x:v>
      </x:c>
      <x:c r="J184" s="144" t="str">
        <x:v>中</x:v>
      </x:c>
      <x:c r="K184" s="144" t="str">
        <x:v>一般</x:v>
      </x:c>
      <x:c r="L184" s="136" t="str">
        <x:v>修復值 +1</x:v>
      </x:c>
      <x:c r="M184" s="136" t="str">
        <x:v>若症狀持續、反覆或惡化，請由合格醫療專業評估。</x:v>
      </x:c>
      <x:c r="N184" s="154" t="n">
        <x:f>LEN(G184)</x:f>
        <x:v>51</x:v>
      </x:c>
      <x:c r="O184" s="144" t="str">
        <x:v>S004</x:v>
      </x:c>
      <x:c r="P184" s="136" t="str">
        <x:v>國際奧會（IOC）／BJSM</x:v>
      </x:c>
      <x:c r="Q184" s="136" t="str">
        <x:v>How much is too much? Part 2: load and illness risk</x:v>
      </x:c>
      <x:c r="R184" s="151" t="str">
        <x:v>https://bjsm.bmj.com/content/50/17/1043</x:v>
      </x:c>
      <x:c r="S184" s="148" t="str">
        <x:v>2026-07-27</x:v>
      </x:c>
    </x:row>
    <x:row r="185" ht="58" customHeight="1">
      <x:c r="A185" s="143" t="str">
        <x:v>FT-181</x:v>
      </x:c>
      <x:c r="B185" s="144" t="str">
        <x:v>命運</x:v>
      </x:c>
      <x:c r="C185" s="136" t="str">
        <x:v>跑者照護：受傷處理、身體修復與健康</x:v>
      </x:c>
      <x:c r="D185" s="136" t="str">
        <x:v>能量、鐵與骨健康</x:v>
      </x:c>
      <x:c r="E185" s="136" t="str">
        <x:v>保護長期表現的底層條件</x:v>
      </x:c>
      <x:c r="F185" s="136" t="str">
        <x:v>長期吃不夠會影響全身</x:v>
      </x:c>
      <x:c r="G185" s="136" t="str">
        <x:v>低能量可用性可能影響荷爾蒙、骨骼、免疫、情緒與表現，不只體重。
行動：停止激進減重，增加訓練前後與全天能量攝取並尋求專業協助。</x:v>
      </x:c>
      <x:c r="H185" s="136" t="str">
        <x:v>停止激進減重，增加訓練前後與全天能量攝取並尋求專業協助。</x:v>
      </x:c>
      <x:c r="I185" s="136" t="str">
        <x:v>高量期或減重期</x:v>
      </x:c>
      <x:c r="J185" s="144" t="str">
        <x:v>高</x:v>
      </x:c>
      <x:c r="K185" s="144" t="str">
        <x:v>留意</x:v>
      </x:c>
      <x:c r="L185" s="136" t="str">
        <x:v>做出正確照護：修復值 +1</x:v>
      </x:c>
      <x:c r="M185" s="136" t="str">
        <x:v>若症狀持續、反覆或惡化，請由合格醫療專業評估。</x:v>
      </x:c>
      <x:c r="N185" s="154" t="n">
        <x:f>LEN(G185)</x:f>
        <x:v>63</x:v>
      </x:c>
      <x:c r="O185" s="144" t="str">
        <x:v>S042</x:v>
      </x:c>
      <x:c r="P185" s="136" t="str">
        <x:v>國際奧會（IOC）／BJSM</x:v>
      </x:c>
      <x:c r="Q185" s="136" t="str">
        <x:v>2023 IOC consensus statement on REDs</x:v>
      </x:c>
      <x:c r="R185" s="151" t="str">
        <x:v>https://bjsm.bmj.com/content/57/17/1073</x:v>
      </x:c>
      <x:c r="S185" s="148" t="str">
        <x:v>2026-07-27</x:v>
      </x:c>
    </x:row>
    <x:row r="186" ht="58" customHeight="1">
      <x:c r="A186" s="143" t="str">
        <x:v>FT-182</x:v>
      </x:c>
      <x:c r="B186" s="144" t="str">
        <x:v>命運</x:v>
      </x:c>
      <x:c r="C186" s="136" t="str">
        <x:v>跑者照護：受傷處理、身體修復與健康</x:v>
      </x:c>
      <x:c r="D186" s="136" t="str">
        <x:v>能量、鐵與骨健康</x:v>
      </x:c>
      <x:c r="E186" s="136" t="str">
        <x:v>保護長期表現的底層條件</x:v>
      </x:c>
      <x:c r="F186" s="136" t="str">
        <x:v>月經改變不是訓練勳章</x:v>
      </x:c>
      <x:c r="G186" s="136" t="str">
        <x:v>月經稀少或停止可能是能量不足與健康風險訊號。
行動：記錄週期並安排運動醫學與營養評估。</x:v>
      </x:c>
      <x:c r="H186" s="136" t="str">
        <x:v>記錄週期並安排運動醫學與營養評估。</x:v>
      </x:c>
      <x:c r="I186" s="136" t="str">
        <x:v>女性跑者</x:v>
      </x:c>
      <x:c r="J186" s="144" t="str">
        <x:v>高</x:v>
      </x:c>
      <x:c r="K186" s="144" t="str">
        <x:v>停止運動</x:v>
      </x:c>
      <x:c r="L186" s="136" t="str">
        <x:v>停止跑步並處理：修復值 +2；本回合休息</x:v>
      </x:c>
      <x:c r="M186" s="136" t="str">
        <x:v>若症狀持續、反覆或惡化，請由合格醫療專業評估。</x:v>
      </x:c>
      <x:c r="N186" s="154" t="n">
        <x:f>LEN(G186)</x:f>
        <x:v>43</x:v>
      </x:c>
      <x:c r="O186" s="144" t="str">
        <x:v>S042</x:v>
      </x:c>
      <x:c r="P186" s="136" t="str">
        <x:v>國際奧會（IOC）／BJSM</x:v>
      </x:c>
      <x:c r="Q186" s="136" t="str">
        <x:v>2023 IOC consensus statement on REDs</x:v>
      </x:c>
      <x:c r="R186" s="151" t="str">
        <x:v>https://bjsm.bmj.com/content/57/17/1073</x:v>
      </x:c>
      <x:c r="S186" s="148" t="str">
        <x:v>2026-07-27</x:v>
      </x:c>
    </x:row>
    <x:row r="187" ht="58" customHeight="1">
      <x:c r="A187" s="143" t="str">
        <x:v>FT-183</x:v>
      </x:c>
      <x:c r="B187" s="144" t="str">
        <x:v>命運</x:v>
      </x:c>
      <x:c r="C187" s="136" t="str">
        <x:v>跑者照護：受傷處理、身體修復與健康</x:v>
      </x:c>
      <x:c r="D187" s="136" t="str">
        <x:v>能量、鐵與骨健康</x:v>
      </x:c>
      <x:c r="E187" s="136" t="str">
        <x:v>保護長期表現的底層條件</x:v>
      </x:c>
      <x:c r="F187" s="136" t="str">
        <x:v>男性也會有 RED-S</x:v>
      </x:c>
      <x:c r="G187" s="136" t="str">
        <x:v>性慾下降、晨間勃起減少、疲勞與反覆傷病可能與能量不足有關。
行動：檢查飲食與訓練負荷，尋求醫療與營養評估。</x:v>
      </x:c>
      <x:c r="H187" s="136" t="str">
        <x:v>檢查飲食與訓練負荷，尋求醫療與營養評估。</x:v>
      </x:c>
      <x:c r="I187" s="136" t="str">
        <x:v>男性跑者</x:v>
      </x:c>
      <x:c r="J187" s="144" t="str">
        <x:v>高</x:v>
      </x:c>
      <x:c r="K187" s="144" t="str">
        <x:v>留意</x:v>
      </x:c>
      <x:c r="L187" s="136" t="str">
        <x:v>做出正確照護：修復值 +1</x:v>
      </x:c>
      <x:c r="M187" s="136" t="str">
        <x:v>若症狀持續、反覆或惡化，請由合格醫療專業評估。</x:v>
      </x:c>
      <x:c r="N187" s="154" t="n">
        <x:f>LEN(G187)</x:f>
        <x:v>53</x:v>
      </x:c>
      <x:c r="O187" s="144" t="str">
        <x:v>S042</x:v>
      </x:c>
      <x:c r="P187" s="136" t="str">
        <x:v>國際奧會（IOC）／BJSM</x:v>
      </x:c>
      <x:c r="Q187" s="136" t="str">
        <x:v>2023 IOC consensus statement on REDs</x:v>
      </x:c>
      <x:c r="R187" s="151" t="str">
        <x:v>https://bjsm.bmj.com/content/57/17/1073</x:v>
      </x:c>
      <x:c r="S187" s="148" t="str">
        <x:v>2026-07-27</x:v>
      </x:c>
    </x:row>
    <x:row r="188" ht="58" customHeight="1">
      <x:c r="A188" s="143" t="str">
        <x:v>FT-184</x:v>
      </x:c>
      <x:c r="B188" s="144" t="str">
        <x:v>命運</x:v>
      </x:c>
      <x:c r="C188" s="136" t="str">
        <x:v>跑者照護：受傷處理、身體修復與健康</x:v>
      </x:c>
      <x:c r="D188" s="136" t="str">
        <x:v>能量、鐵與骨健康</x:v>
      </x:c>
      <x:c r="E188" s="136" t="str">
        <x:v>保護長期表現的底層條件</x:v>
      </x:c>
      <x:c r="F188" s="136" t="str">
        <x:v>反覆骨傷要查根本原因</x:v>
      </x:c>
      <x:c r="G188" s="136" t="str">
        <x:v>只休息骨折處但不處理低能量、月經、維生素 D 或負荷尖峰，容易復發。
行動：由醫療團隊整合骨骼、營養、荷爾蒙與訓練評估。</x:v>
      </x:c>
      <x:c r="H188" s="136" t="str">
        <x:v>由醫療團隊整合骨骼、營養、荷爾蒙與訓練評估。</x:v>
      </x:c>
      <x:c r="I188" s="136" t="str">
        <x:v>多次骨壓力傷害</x:v>
      </x:c>
      <x:c r="J188" s="144" t="str">
        <x:v>高</x:v>
      </x:c>
      <x:c r="K188" s="144" t="str">
        <x:v>停止運動</x:v>
      </x:c>
      <x:c r="L188" s="136" t="str">
        <x:v>停止跑步並處理：修復值 +2；本回合休息</x:v>
      </x:c>
      <x:c r="M188" s="136" t="str">
        <x:v>若症狀持續、反覆或惡化，請由合格醫療專業評估。</x:v>
      </x:c>
      <x:c r="N188" s="154" t="n">
        <x:f>LEN(G188)</x:f>
        <x:v>60</x:v>
      </x:c>
      <x:c r="O188" s="144" t="str">
        <x:v>S080</x:v>
      </x:c>
      <x:c r="P188" s="136" t="str">
        <x:v>BJSM</x:v>
      </x:c>
      <x:c r="Q188" s="136" t="str">
        <x:v>International Delphi on bone stress injuries</x:v>
      </x:c>
      <x:c r="R188" s="151" t="str">
        <x:v>https://bjsm.bmj.com/content/59/2/78</x:v>
      </x:c>
      <x:c r="S188" s="148" t="str">
        <x:v>2026-07-27</x:v>
      </x:c>
    </x:row>
    <x:row r="189" ht="58" customHeight="1">
      <x:c r="A189" s="143" t="str">
        <x:v>FT-185</x:v>
      </x:c>
      <x:c r="B189" s="144" t="str">
        <x:v>命運</x:v>
      </x:c>
      <x:c r="C189" s="136" t="str">
        <x:v>跑者照護：受傷處理、身體修復與健康</x:v>
      </x:c>
      <x:c r="D189" s="136" t="str">
        <x:v>能量、鐵與骨健康</x:v>
      </x:c>
      <x:c r="E189" s="136" t="str">
        <x:v>保護長期表現的底層條件</x:v>
      </x:c>
      <x:c r="F189" s="136" t="str">
        <x:v>鐵不足不一定立刻貧血</x:v>
      </x:c>
      <x:c r="G189" s="136" t="str">
        <x:v>鐵儲存下降可先影響疲勞與表現，需用檢驗判斷。
行動：出現不明疲勞、喘或表現下降時，請醫師評估血球與鐵狀態。</x:v>
      </x:c>
      <x:c r="H189" s="136" t="str">
        <x:v>出現不明疲勞、喘或表現下降時，請醫師評估血球與鐵狀態。</x:v>
      </x:c>
      <x:c r="I189" s="136" t="str">
        <x:v>耐力表現下降</x:v>
      </x:c>
      <x:c r="J189" s="144" t="str">
        <x:v>高</x:v>
      </x:c>
      <x:c r="K189" s="144" t="str">
        <x:v>留意</x:v>
      </x:c>
      <x:c r="L189" s="136" t="str">
        <x:v>做出正確照護：修復值 +1</x:v>
      </x:c>
      <x:c r="M189" s="136" t="str">
        <x:v>若症狀持續、反覆或惡化，請由合格醫療專業評估。</x:v>
      </x:c>
      <x:c r="N189" s="154" t="n">
        <x:f>LEN(G189)</x:f>
        <x:v>53</x:v>
      </x:c>
      <x:c r="O189" s="144" t="str">
        <x:v>S044</x:v>
      </x:c>
      <x:c r="P189" s="136" t="str">
        <x:v>Australian Institute of Sport（AIS）</x:v>
      </x:c>
      <x:c r="Q189" s="136" t="str">
        <x:v>AIS Position Statements — Iron</x:v>
      </x:c>
      <x:c r="R189" s="151" t="str">
        <x:v>https://www.ais.gov.au/position_statements</x:v>
      </x:c>
      <x:c r="S189" s="148" t="str">
        <x:v>2026-07-27</x:v>
      </x:c>
    </x:row>
    <x:row r="190" ht="58" customHeight="1">
      <x:c r="A190" s="143" t="str">
        <x:v>FT-186</x:v>
      </x:c>
      <x:c r="B190" s="144" t="str">
        <x:v>命運</x:v>
      </x:c>
      <x:c r="C190" s="136" t="str">
        <x:v>跑者照護：受傷處理、身體修復與健康</x:v>
      </x:c>
      <x:c r="D190" s="136" t="str">
        <x:v>能量、鐵與骨健康</x:v>
      </x:c>
      <x:c r="E190" s="136" t="str">
        <x:v>保護長期表現的底層條件</x:v>
      </x:c>
      <x:c r="F190" s="136" t="str">
        <x:v>鐵劑不能盲補</x:v>
      </x:c>
      <x:c r="G190" s="136" t="str">
        <x:v>過量鐵可能造成腸胃不適與毒性，也會掩蓋真正原因。
行動：只有在檢驗與專業建議下補充，並追蹤反應。</x:v>
      </x:c>
      <x:c r="H190" s="136" t="str">
        <x:v>只有在檢驗與專業建議下補充，並追蹤反應。</x:v>
      </x:c>
      <x:c r="I190" s="136" t="str">
        <x:v>考慮鐵補充時</x:v>
      </x:c>
      <x:c r="J190" s="144" t="str">
        <x:v>高</x:v>
      </x:c>
      <x:c r="K190" s="144" t="str">
        <x:v>留意</x:v>
      </x:c>
      <x:c r="L190" s="136" t="str">
        <x:v>做出正確照護：修復值 +1</x:v>
      </x:c>
      <x:c r="M190" s="136" t="str">
        <x:v>若症狀持續、反覆或惡化，請由合格醫療專業評估。</x:v>
      </x:c>
      <x:c r="N190" s="154" t="n">
        <x:f>LEN(G190)</x:f>
        <x:v>48</x:v>
      </x:c>
      <x:c r="O190" s="144" t="str">
        <x:v>S044</x:v>
      </x:c>
      <x:c r="P190" s="136" t="str">
        <x:v>Australian Institute of Sport（AIS）</x:v>
      </x:c>
      <x:c r="Q190" s="136" t="str">
        <x:v>AIS Position Statements — Iron</x:v>
      </x:c>
      <x:c r="R190" s="151" t="str">
        <x:v>https://www.ais.gov.au/position_statements</x:v>
      </x:c>
      <x:c r="S190" s="148" t="str">
        <x:v>2026-07-27</x:v>
      </x:c>
    </x:row>
    <x:row r="191" ht="58" customHeight="1">
      <x:c r="A191" s="143" t="str">
        <x:v>FT-187</x:v>
      </x:c>
      <x:c r="B191" s="144" t="str">
        <x:v>命運</x:v>
      </x:c>
      <x:c r="C191" s="136" t="str">
        <x:v>跑者照護：受傷處理、身體修復與健康</x:v>
      </x:c>
      <x:c r="D191" s="136" t="str">
        <x:v>能量、鐵與骨健康</x:v>
      </x:c>
      <x:c r="E191" s="136" t="str">
        <x:v>保護長期表現的底層條件</x:v>
      </x:c>
      <x:c r="F191" s="136" t="str">
        <x:v>鈣與維生素 D 來自整體飲食</x:v>
      </x:c>
      <x:c r="G191" s="136" t="str">
        <x:v>骨骼需要足夠能量、蛋白質、鈣、維生素 D 與負重刺激共同支持。
行動：安排乳品或強化替代品、豆製品與多樣飲食，必要時檢驗。</x:v>
      </x:c>
      <x:c r="H191" s="136" t="str">
        <x:v>安排乳品或強化替代品、豆製品與多樣飲食，必要時檢驗。</x:v>
      </x:c>
      <x:c r="I191" s="136" t="str">
        <x:v>骨骼保養</x:v>
      </x:c>
      <x:c r="J191" s="144" t="str">
        <x:v>中</x:v>
      </x:c>
      <x:c r="K191" s="144" t="str">
        <x:v>一般</x:v>
      </x:c>
      <x:c r="L191" s="136" t="str">
        <x:v>修復值 +1</x:v>
      </x:c>
      <x:c r="M191" s="136" t="str">
        <x:v>若症狀持續、反覆或惡化，請由合格醫療專業評估。</x:v>
      </x:c>
      <x:c r="N191" s="154" t="n">
        <x:f>LEN(G191)</x:f>
        <x:v>61</x:v>
      </x:c>
      <x:c r="O191" s="144" t="str">
        <x:v>S043</x:v>
      </x:c>
      <x:c r="P191" s="136" t="str">
        <x:v>World Athletics</x:v>
      </x:c>
      <x:c r="Q191" s="136" t="str">
        <x:v>Energy Availability in Athletics</x:v>
      </x:c>
      <x:c r="R191" s="151" t="str">
        <x:v>https://worldathletics.org/download/download?filename=2d963a63-c730-48c6-8f15-9b7014bc8dda.pdf&amp;urlslug=Energy+Availability+in+Athletics%3A+Health%2C+Performance%2C+and+Physique</x:v>
      </x:c>
      <x:c r="S191" s="148" t="str">
        <x:v>2026-07-27</x:v>
      </x:c>
    </x:row>
    <x:row r="192" ht="58" customHeight="1">
      <x:c r="A192" s="143" t="str">
        <x:v>FT-188</x:v>
      </x:c>
      <x:c r="B192" s="144" t="str">
        <x:v>命運</x:v>
      </x:c>
      <x:c r="C192" s="136" t="str">
        <x:v>跑者照護：受傷處理、身體修復與健康</x:v>
      </x:c>
      <x:c r="D192" s="136" t="str">
        <x:v>能量、鐵與骨健康</x:v>
      </x:c>
      <x:c r="E192" s="136" t="str">
        <x:v>保護長期表現的底層條件</x:v>
      </x:c>
      <x:c r="F192" s="136" t="str">
        <x:v>快速體重下降是警訊</x:v>
      </x:c>
      <x:c r="G192" s="136" t="str">
        <x:v>短期減重常同時降低糖原、恢復與免疫，並提高傷病風險。
行動：以健康與表現優先，停止在比賽期激進節食。</x:v>
      </x:c>
      <x:c r="H192" s="136" t="str">
        <x:v>以健康與表現優先，停止在比賽期激進節食。</x:v>
      </x:c>
      <x:c r="I192" s="136" t="str">
        <x:v>賽前減重</x:v>
      </x:c>
      <x:c r="J192" s="144" t="str">
        <x:v>高</x:v>
      </x:c>
      <x:c r="K192" s="144" t="str">
        <x:v>留意</x:v>
      </x:c>
      <x:c r="L192" s="136" t="str">
        <x:v>做出正確照護：修復值 +1</x:v>
      </x:c>
      <x:c r="M192" s="136" t="str">
        <x:v>若症狀持續、反覆或惡化，請由合格醫療專業評估。</x:v>
      </x:c>
      <x:c r="N192" s="154" t="n">
        <x:f>LEN(G192)</x:f>
        <x:v>50</x:v>
      </x:c>
      <x:c r="O192" s="144" t="str">
        <x:v>S042</x:v>
      </x:c>
      <x:c r="P192" s="136" t="str">
        <x:v>國際奧會（IOC）／BJSM</x:v>
      </x:c>
      <x:c r="Q192" s="136" t="str">
        <x:v>2023 IOC consensus statement on REDs</x:v>
      </x:c>
      <x:c r="R192" s="151" t="str">
        <x:v>https://bjsm.bmj.com/content/57/17/1073</x:v>
      </x:c>
      <x:c r="S192" s="148" t="str">
        <x:v>2026-07-27</x:v>
      </x:c>
    </x:row>
    <x:row r="193" ht="58" customHeight="1">
      <x:c r="A193" s="143" t="str">
        <x:v>FT-189</x:v>
      </x:c>
      <x:c r="B193" s="144" t="str">
        <x:v>命運</x:v>
      </x:c>
      <x:c r="C193" s="136" t="str">
        <x:v>跑者照護：受傷處理、身體修復與健康</x:v>
      </x:c>
      <x:c r="D193" s="136" t="str">
        <x:v>能量、鐵與骨健康</x:v>
      </x:c>
      <x:c r="E193" s="136" t="str">
        <x:v>保護長期表現的底層條件</x:v>
      </x:c>
      <x:c r="F193" s="136" t="str">
        <x:v>青少年更需要能量與監護</x:v>
      </x:c>
      <x:c r="G193" s="136" t="str">
        <x:v>成長中的跑者同時需要訓練與發育能量，不能套用成人減重課表。
行動：由家長、教練與兒少專業共同監測生長、月經、情緒與傷病。</x:v>
      </x:c>
      <x:c r="H193" s="136" t="str">
        <x:v>由家長、教練與兒少專業共同監測生長、月經、情緒與傷病。</x:v>
      </x:c>
      <x:c r="I193" s="136" t="str">
        <x:v>青少年跑者</x:v>
      </x:c>
      <x:c r="J193" s="144" t="str">
        <x:v>高</x:v>
      </x:c>
      <x:c r="K193" s="144" t="str">
        <x:v>留意</x:v>
      </x:c>
      <x:c r="L193" s="136" t="str">
        <x:v>做出正確照護：修復值 +1</x:v>
      </x:c>
      <x:c r="M193" s="136" t="str">
        <x:v>若症狀持續、反覆或惡化，請由合格醫療專業評估。</x:v>
      </x:c>
      <x:c r="N193" s="154" t="n">
        <x:f>LEN(G193)</x:f>
        <x:v>60</x:v>
      </x:c>
      <x:c r="O193" s="144" t="str">
        <x:v>S060</x:v>
      </x:c>
      <x:c r="P193" s="136" t="str">
        <x:v>BJSM</x:v>
      </x:c>
      <x:c r="Q193" s="136" t="str">
        <x:v>Youth running consensus statement</x:v>
      </x:c>
      <x:c r="R193" s="151" t="str">
        <x:v>https://bjsm.bmj.com/content/55/6/305</x:v>
      </x:c>
      <x:c r="S193" s="148" t="str">
        <x:v>2026-07-27</x:v>
      </x:c>
    </x:row>
    <x:row r="194" ht="58" customHeight="1">
      <x:c r="A194" s="143" t="str">
        <x:v>FT-190</x:v>
      </x:c>
      <x:c r="B194" s="144" t="str">
        <x:v>命運</x:v>
      </x:c>
      <x:c r="C194" s="136" t="str">
        <x:v>跑者照護：受傷處理、身體修復與健康</x:v>
      </x:c>
      <x:c r="D194" s="136" t="str">
        <x:v>能量、鐵與骨健康</x:v>
      </x:c>
      <x:c r="E194" s="136" t="str">
        <x:v>保護長期表現的底層條件</x:v>
      </x:c>
      <x:c r="F194" s="136" t="str">
        <x:v>營養師能把限制變成可吃的方案</x:v>
      </x:c>
      <x:c r="G194" s="136" t="str">
        <x:v>素食、過敏或腸胃限制若未規劃，容易造成能量與微量營養不足。
行動：找熟悉運動營養的專業人員，做可執行的餐食與補給計畫。</x:v>
      </x:c>
      <x:c r="H194" s="136" t="str">
        <x:v>找熟悉運動營養的專業人員，做可執行的餐食與補給計畫。</x:v>
      </x:c>
      <x:c r="I194" s="136" t="str">
        <x:v>特殊飲食</x:v>
      </x:c>
      <x:c r="J194" s="144" t="str">
        <x:v>中</x:v>
      </x:c>
      <x:c r="K194" s="144" t="str">
        <x:v>一般</x:v>
      </x:c>
      <x:c r="L194" s="136" t="str">
        <x:v>修復值 +1</x:v>
      </x:c>
      <x:c r="M194" s="136" t="str">
        <x:v>若症狀持續、反覆或惡化，請由合格醫療專業評估。</x:v>
      </x:c>
      <x:c r="N194" s="154" t="n">
        <x:f>LEN(G194)</x:f>
        <x:v>59</x:v>
      </x:c>
      <x:c r="O194" s="144" t="str">
        <x:v>S062</x:v>
      </x:c>
      <x:c r="P194" s="136" t="str">
        <x:v>World Athletics</x:v>
      </x:c>
      <x:c r="Q194" s="136" t="str">
        <x:v>Dietary Practices Adopted by Track-and-Field Athletes</x:v>
      </x:c>
      <x:c r="R194" s="151" t="str">
        <x:v>https://worldathletics.org/download/download?filename=fc05d994-f5fc-403c-8469-c3329294526c.pdf&amp;urlslug=Dietary+Practices+Adopted+by+Track-and-Field+Athletes%3A+Gluten-Free%2C+Low+FODMAP%2C+Vegetarian%2C+and+Fasting</x:v>
      </x:c>
      <x:c r="S194" s="148" t="str">
        <x:v>2026-07-27</x:v>
      </x:c>
    </x:row>
    <x:row r="195" ht="58" customHeight="1">
      <x:c r="A195" s="143" t="str">
        <x:v>FT-191</x:v>
      </x:c>
      <x:c r="B195" s="144" t="str">
        <x:v>命運</x:v>
      </x:c>
      <x:c r="C195" s="136" t="str">
        <x:v>跑者照護：受傷處理、身體修復與健康</x:v>
      </x:c>
      <x:c r="D195" s="136" t="str">
        <x:v>復健與安全回跑</x:v>
      </x:c>
      <x:c r="E195" s="136" t="str">
        <x:v>用功能與隔日反應決定進度</x:v>
      </x:c>
      <x:c r="F195" s="136" t="str">
        <x:v>先通過無痛日常活動</x:v>
      </x:c>
      <x:c r="G195" s="136" t="str">
        <x:v>走路、上下樓仍明顯疼痛或跛行時，跑步通常過早。
行動：先恢復日常功能，再進入快走與跑走階段。</x:v>
      </x:c>
      <x:c r="H195" s="136" t="str">
        <x:v>先恢復日常功能，再進入快走與跑走階段。</x:v>
      </x:c>
      <x:c r="I195" s="136" t="str">
        <x:v>任何傷後</x:v>
      </x:c>
      <x:c r="J195" s="144" t="str">
        <x:v>高</x:v>
      </x:c>
      <x:c r="K195" s="144" t="str">
        <x:v>一般</x:v>
      </x:c>
      <x:c r="L195" s="136" t="str">
        <x:v>健康值 +1；修復值 +1</x:v>
      </x:c>
      <x:c r="M195" s="136" t="str">
        <x:v>若症狀持續、反覆或惡化，請由合格醫療專業評估。</x:v>
      </x:c>
      <x:c r="N195" s="154" t="n">
        <x:f>LEN(G195)</x:f>
        <x:v>46</x:v>
      </x:c>
      <x:c r="O195" s="144" t="str">
        <x:v>S024</x:v>
      </x:c>
      <x:c r="P195" s="136" t="str">
        <x:v>BJSM</x:v>
      </x:c>
      <x:c r="Q195" s="136" t="str">
        <x:v>Soft-tissue injuries simply need PEACE and LOVE</x:v>
      </x:c>
      <x:c r="R195" s="151" t="str">
        <x:v>https://bjsm.bmj.com/content/54/2/72</x:v>
      </x:c>
      <x:c r="S195" s="148" t="str">
        <x:v>2026-07-27</x:v>
      </x:c>
    </x:row>
    <x:row r="196" ht="58" customHeight="1">
      <x:c r="A196" s="143" t="str">
        <x:v>FT-192</x:v>
      </x:c>
      <x:c r="B196" s="144" t="str">
        <x:v>命運</x:v>
      </x:c>
      <x:c r="C196" s="136" t="str">
        <x:v>跑者照護：受傷處理、身體修復與健康</x:v>
      </x:c>
      <x:c r="D196" s="136" t="str">
        <x:v>復健與安全回跑</x:v>
      </x:c>
      <x:c r="E196" s="136" t="str">
        <x:v>用功能與隔日反應決定進度</x:v>
      </x:c>
      <x:c r="F196" s="136" t="str">
        <x:v>跑走法是正式訓練，不是退步</x:v>
      </x:c>
      <x:c r="G196" s="136" t="str">
        <x:v>短跑段配走路能控制單次組織負荷，也方便觀察反應。
行動：從 1–3 分鐘跑搭配走路開始，先增加總時間。</x:v>
      </x:c>
      <x:c r="H196" s="136" t="str">
        <x:v>從 1–3 分鐘跑搭配走路開始，先增加總時間。</x:v>
      </x:c>
      <x:c r="I196" s="136" t="str">
        <x:v>回跑初期</x:v>
      </x:c>
      <x:c r="J196" s="144" t="str">
        <x:v>中</x:v>
      </x:c>
      <x:c r="K196" s="144" t="str">
        <x:v>一般</x:v>
      </x:c>
      <x:c r="L196" s="136" t="str">
        <x:v>修復值 +1</x:v>
      </x:c>
      <x:c r="M196" s="136" t="str">
        <x:v>若症狀持續、反覆或惡化，請由合格醫療專業評估。</x:v>
      </x:c>
      <x:c r="N196" s="154" t="n">
        <x:f>LEN(G196)</x:f>
        <x:v>51</x:v>
      </x:c>
      <x:c r="O196" s="144" t="str">
        <x:v>S024</x:v>
      </x:c>
      <x:c r="P196" s="136" t="str">
        <x:v>BJSM</x:v>
      </x:c>
      <x:c r="Q196" s="136" t="str">
        <x:v>Soft-tissue injuries simply need PEACE and LOVE</x:v>
      </x:c>
      <x:c r="R196" s="151" t="str">
        <x:v>https://bjsm.bmj.com/content/54/2/72</x:v>
      </x:c>
      <x:c r="S196" s="148" t="str">
        <x:v>2026-07-27</x:v>
      </x:c>
    </x:row>
    <x:row r="197" ht="58" customHeight="1">
      <x:c r="A197" s="143" t="str">
        <x:v>FT-193</x:v>
      </x:c>
      <x:c r="B197" s="144" t="str">
        <x:v>命運</x:v>
      </x:c>
      <x:c r="C197" s="136" t="str">
        <x:v>跑者照護：受傷處理、身體修復與健康</x:v>
      </x:c>
      <x:c r="D197" s="136" t="str">
        <x:v>復健與安全回跑</x:v>
      </x:c>
      <x:c r="E197" s="136" t="str">
        <x:v>用功能與隔日反應決定進度</x:v>
      </x:c>
      <x:c r="F197" s="136" t="str">
        <x:v>二十四小時反應決定下一步</x:v>
      </x:c>
      <x:c r="G197" s="136" t="str">
        <x:v>運動中可接受不代表負荷合適；隔天疼痛、腫脹與僵硬更重要。
行動：隔天無惡化才維持或小幅增加，惡化就退回上一階。</x:v>
      </x:c>
      <x:c r="H197" s="136" t="str">
        <x:v>隔天無惡化才維持或小幅增加，惡化就退回上一階。</x:v>
      </x:c>
      <x:c r="I197" s="136" t="str">
        <x:v>每次回跑後</x:v>
      </x:c>
      <x:c r="J197" s="144" t="str">
        <x:v>高</x:v>
      </x:c>
      <x:c r="K197" s="144" t="str">
        <x:v>一般</x:v>
      </x:c>
      <x:c r="L197" s="136" t="str">
        <x:v>健康值 +1；修復值 +1</x:v>
      </x:c>
      <x:c r="M197" s="136" t="str">
        <x:v>若症狀持續、反覆或惡化，請由合格醫療專業評估。</x:v>
      </x:c>
      <x:c r="N197" s="154" t="n">
        <x:f>LEN(G197)</x:f>
        <x:v>55</x:v>
      </x:c>
      <x:c r="O197" s="144" t="str">
        <x:v>S024</x:v>
      </x:c>
      <x:c r="P197" s="136" t="str">
        <x:v>BJSM</x:v>
      </x:c>
      <x:c r="Q197" s="136" t="str">
        <x:v>Soft-tissue injuries simply need PEACE and LOVE</x:v>
      </x:c>
      <x:c r="R197" s="151" t="str">
        <x:v>https://bjsm.bmj.com/content/54/2/72</x:v>
      </x:c>
      <x:c r="S197" s="148" t="str">
        <x:v>2026-07-27</x:v>
      </x:c>
    </x:row>
    <x:row r="198" ht="58" customHeight="1">
      <x:c r="A198" s="143" t="str">
        <x:v>FT-194</x:v>
      </x:c>
      <x:c r="B198" s="144" t="str">
        <x:v>命運</x:v>
      </x:c>
      <x:c r="C198" s="136" t="str">
        <x:v>跑者照護：受傷處理、身體修復與健康</x:v>
      </x:c>
      <x:c r="D198" s="136" t="str">
        <x:v>復健與安全回跑</x:v>
      </x:c>
      <x:c r="E198" s="136" t="str">
        <x:v>用功能與隔日反應決定進度</x:v>
      </x:c>
      <x:c r="F198" s="136" t="str">
        <x:v>力量與小跳先於速度課</x:v>
      </x:c>
      <x:c r="G198" s="136" t="str">
        <x:v>跑步需要反覆單腳承重，單純無痛走路不足以證明已準備好。
行動：先建立單腳提踵、蹲、平衡與小跳能力，再進階快跑。</x:v>
      </x:c>
      <x:c r="H198" s="136" t="str">
        <x:v>先建立單腳提踵、蹲、平衡與小跳能力，再進階快跑。</x:v>
      </x:c>
      <x:c r="I198" s="136" t="str">
        <x:v>回跑中期</x:v>
      </x:c>
      <x:c r="J198" s="144" t="str">
        <x:v>中</x:v>
      </x:c>
      <x:c r="K198" s="144" t="str">
        <x:v>一般</x:v>
      </x:c>
      <x:c r="L198" s="136" t="str">
        <x:v>修復值 +1</x:v>
      </x:c>
      <x:c r="M198" s="136" t="str">
        <x:v>若症狀持續、反覆或惡化，請由合格醫療專業評估。</x:v>
      </x:c>
      <x:c r="N198" s="154" t="n">
        <x:f>LEN(G198)</x:f>
        <x:v>55</x:v>
      </x:c>
      <x:c r="O198" s="144" t="str">
        <x:v>S025</x:v>
      </x:c>
      <x:c r="P198" s="136" t="str">
        <x:v>AAOS</x:v>
      </x:c>
      <x:c r="Q198" s="136" t="str">
        <x:v>Sprains, Strains and Other Soft-Tissue Injuries</x:v>
      </x:c>
      <x:c r="R198" s="151" t="str">
        <x:v>https://orthoinfo.aaos.org/en/diseases--conditions/sprains-strains-and-other-soft-tissue-injuries/</x:v>
      </x:c>
      <x:c r="S198" s="148" t="str">
        <x:v>2026-07-27</x:v>
      </x:c>
    </x:row>
    <x:row r="199" ht="58" customHeight="1">
      <x:c r="A199" s="143" t="str">
        <x:v>FT-195</x:v>
      </x:c>
      <x:c r="B199" s="144" t="str">
        <x:v>命運</x:v>
      </x:c>
      <x:c r="C199" s="136" t="str">
        <x:v>跑者照護：受傷處理、身體修復與健康</x:v>
      </x:c>
      <x:c r="D199" s="136" t="str">
        <x:v>復健與安全回跑</x:v>
      </x:c>
      <x:c r="E199" s="136" t="str">
        <x:v>用功能與隔日反應決定進度</x:v>
      </x:c>
      <x:c r="F199" s="136" t="str">
        <x:v>一次只增加一個變項</x:v>
      </x:c>
      <x:c r="G199" s="136" t="str">
        <x:v>同時加時間、速度、坡度與頻率，出現疼痛時無法找原因。
行動：每 1–2 次成功訓練只調一項，其他保持。</x:v>
      </x:c>
      <x:c r="H199" s="136" t="str">
        <x:v>每 1–2 次成功訓練只調一項，其他保持。</x:v>
      </x:c>
      <x:c r="I199" s="136" t="str">
        <x:v>回跑進階</x:v>
      </x:c>
      <x:c r="J199" s="144" t="str">
        <x:v>高</x:v>
      </x:c>
      <x:c r="K199" s="144" t="str">
        <x:v>一般</x:v>
      </x:c>
      <x:c r="L199" s="136" t="str">
        <x:v>健康值 +1；修復值 +1</x:v>
      </x:c>
      <x:c r="M199" s="136" t="str">
        <x:v>若症狀持續、反覆或惡化，請由合格醫療專業評估。</x:v>
      </x:c>
      <x:c r="N199" s="154" t="n">
        <x:f>LEN(G199)</x:f>
        <x:v>51</x:v>
      </x:c>
      <x:c r="O199" s="144" t="str">
        <x:v>S003</x:v>
      </x:c>
      <x:c r="P199" s="136" t="str">
        <x:v>國際奧會（IOC）／BJSM</x:v>
      </x:c>
      <x:c r="Q199" s="136" t="str">
        <x:v>How much is too much? Part 1: load and injury risk</x:v>
      </x:c>
      <x:c r="R199" s="151" t="str">
        <x:v>https://bjsm.bmj.com/content/50/17/1030</x:v>
      </x:c>
      <x:c r="S199" s="148" t="str">
        <x:v>2026-07-27</x:v>
      </x:c>
    </x:row>
    <x:row r="200" ht="58" customHeight="1">
      <x:c r="A200" s="143" t="str">
        <x:v>FT-196</x:v>
      </x:c>
      <x:c r="B200" s="144" t="str">
        <x:v>命運</x:v>
      </x:c>
      <x:c r="C200" s="136" t="str">
        <x:v>跑者照護：受傷處理、身體修復與健康</x:v>
      </x:c>
      <x:c r="D200" s="136" t="str">
        <x:v>復健與安全回跑</x:v>
      </x:c>
      <x:c r="E200" s="136" t="str">
        <x:v>用功能與隔日反應決定進度</x:v>
      </x:c>
      <x:c r="F200" s="136" t="str">
        <x:v>低衝擊交叉訓練可維持心肺</x:v>
      </x:c>
      <x:c r="G200" s="136" t="str">
        <x:v>單車、深水跑或游泳可在不增加跑步衝擊下維持部分體能。
行動：選不誘發症狀的活動，仍把總疲勞算進一週負荷。</x:v>
      </x:c>
      <x:c r="H200" s="136" t="str">
        <x:v>選不誘發症狀的活動，仍把總疲勞算進一週負荷。</x:v>
      </x:c>
      <x:c r="I200" s="136" t="str">
        <x:v>無法跑步時</x:v>
      </x:c>
      <x:c r="J200" s="144" t="str">
        <x:v>中</x:v>
      </x:c>
      <x:c r="K200" s="144" t="str">
        <x:v>一般</x:v>
      </x:c>
      <x:c r="L200" s="136" t="str">
        <x:v>修復值 +1</x:v>
      </x:c>
      <x:c r="M200" s="136" t="str">
        <x:v>若症狀持續、反覆或惡化，請由合格醫療專業評估。</x:v>
      </x:c>
      <x:c r="N200" s="154" t="n">
        <x:f>LEN(G200)</x:f>
        <x:v>52</x:v>
      </x:c>
      <x:c r="O200" s="144" t="str">
        <x:v>S002</x:v>
      </x:c>
      <x:c r="P200" s="136" t="str">
        <x:v>世界衛生組織（WHO）</x:v>
      </x:c>
      <x:c r="Q200" s="136" t="str">
        <x:v>WHO Guidelines on Physical Activity and Sedentary Behaviour</x:v>
      </x:c>
      <x:c r="R200" s="151" t="str">
        <x:v>https://www.who.int/publications/i/item/9789240015128</x:v>
      </x:c>
      <x:c r="S200" s="148" t="str">
        <x:v>2026-07-27</x:v>
      </x:c>
    </x:row>
    <x:row r="201" ht="58" customHeight="1">
      <x:c r="A201" s="143" t="str">
        <x:v>FT-197</x:v>
      </x:c>
      <x:c r="B201" s="144" t="str">
        <x:v>命運</x:v>
      </x:c>
      <x:c r="C201" s="136" t="str">
        <x:v>跑者照護：受傷處理、身體修復與健康</x:v>
      </x:c>
      <x:c r="D201" s="136" t="str">
        <x:v>復健與安全回跑</x:v>
      </x:c>
      <x:c r="E201" s="136" t="str">
        <x:v>用功能與隔日反應決定進度</x:v>
      </x:c>
      <x:c r="F201" s="136" t="str">
        <x:v>復健計畫要配合原傷類型</x:v>
      </x:c>
      <x:c r="G201" s="136" t="str">
        <x:v>肌肉、肌腱、韌帶與骨骼的癒合與回歸條件不同。
行動：依醫療或復健專業計畫，不套用別人的天數表。</x:v>
      </x:c>
      <x:c r="H201" s="136" t="str">
        <x:v>依醫療或復健專業計畫，不套用別人的天數表。</x:v>
      </x:c>
      <x:c r="I201" s="136" t="str">
        <x:v>診斷後</x:v>
      </x:c>
      <x:c r="J201" s="144" t="str">
        <x:v>高</x:v>
      </x:c>
      <x:c r="K201" s="144" t="str">
        <x:v>一般</x:v>
      </x:c>
      <x:c r="L201" s="136" t="str">
        <x:v>健康值 +1；修復值 +1</x:v>
      </x:c>
      <x:c r="M201" s="136" t="str">
        <x:v>若症狀持續、反覆或惡化，請由合格醫療專業評估。</x:v>
      </x:c>
      <x:c r="N201" s="154" t="n">
        <x:f>LEN(G201)</x:f>
        <x:v>47</x:v>
      </x:c>
      <x:c r="O201" s="144" t="str">
        <x:v>S025</x:v>
      </x:c>
      <x:c r="P201" s="136" t="str">
        <x:v>AAOS</x:v>
      </x:c>
      <x:c r="Q201" s="136" t="str">
        <x:v>Sprains, Strains and Other Soft-Tissue Injuries</x:v>
      </x:c>
      <x:c r="R201" s="151" t="str">
        <x:v>https://orthoinfo.aaos.org/en/diseases--conditions/sprains-strains-and-other-soft-tissue-injuries/</x:v>
      </x:c>
      <x:c r="S201" s="148" t="str">
        <x:v>2026-07-27</x:v>
      </x:c>
    </x:row>
    <x:row r="202" ht="58" customHeight="1">
      <x:c r="A202" s="143" t="str">
        <x:v>FT-198</x:v>
      </x:c>
      <x:c r="B202" s="144" t="str">
        <x:v>命運</x:v>
      </x:c>
      <x:c r="C202" s="136" t="str">
        <x:v>跑者照護：受傷處理、身體修復與健康</x:v>
      </x:c>
      <x:c r="D202" s="136" t="str">
        <x:v>復健與安全回跑</x:v>
      </x:c>
      <x:c r="E202" s="136" t="str">
        <x:v>用功能與隔日反應決定進度</x:v>
      </x:c>
      <x:c r="F202" s="136" t="str">
        <x:v>骨傷回跑要更保守</x:v>
      </x:c>
      <x:c r="G202" s="136" t="str">
        <x:v>骨壓力傷害需要達到無痛承重與風險管理後再回跑。
行動：取得醫療同意，以隔日跑走開始，先不加速度與坡度。</x:v>
      </x:c>
      <x:c r="H202" s="136" t="str">
        <x:v>取得醫療同意，以隔日跑走開始，先不加速度與坡度。</x:v>
      </x:c>
      <x:c r="I202" s="136" t="str">
        <x:v>骨傷後</x:v>
      </x:c>
      <x:c r="J202" s="144" t="str">
        <x:v>高</x:v>
      </x:c>
      <x:c r="K202" s="144" t="str">
        <x:v>停止運動</x:v>
      </x:c>
      <x:c r="L202" s="136" t="str">
        <x:v>停止跑步並處理：修復值 +2；本回合休息</x:v>
      </x:c>
      <x:c r="M202" s="136" t="str">
        <x:v>若症狀持續、反覆或惡化，請由合格醫療專業評估。</x:v>
      </x:c>
      <x:c r="N202" s="154" t="n">
        <x:f>LEN(G202)</x:f>
        <x:v>51</x:v>
      </x:c>
      <x:c r="O202" s="144" t="str">
        <x:v>S080</x:v>
      </x:c>
      <x:c r="P202" s="136" t="str">
        <x:v>BJSM</x:v>
      </x:c>
      <x:c r="Q202" s="136" t="str">
        <x:v>International Delphi on bone stress injuries</x:v>
      </x:c>
      <x:c r="R202" s="151" t="str">
        <x:v>https://bjsm.bmj.com/content/59/2/78</x:v>
      </x:c>
      <x:c r="S202" s="148" t="str">
        <x:v>2026-07-27</x:v>
      </x:c>
    </x:row>
    <x:row r="203" ht="58" customHeight="1">
      <x:c r="A203" s="143" t="str">
        <x:v>FT-199</x:v>
      </x:c>
      <x:c r="B203" s="144" t="str">
        <x:v>命運</x:v>
      </x:c>
      <x:c r="C203" s="136" t="str">
        <x:v>跑者照護：受傷處理、身體修復與健康</x:v>
      </x:c>
      <x:c r="D203" s="136" t="str">
        <x:v>復健與安全回跑</x:v>
      </x:c>
      <x:c r="E203" s="136" t="str">
        <x:v>用功能與隔日反應決定進度</x:v>
      </x:c>
      <x:c r="F203" s="136" t="str">
        <x:v>不要靠止痛藥通過測試</x:v>
      </x:c>
      <x:c r="G203" s="136" t="str">
        <x:v>藥物遮蔽疼痛會讓回跑評估失真，可能超過組織容量。
行動：在未以止痛藥掩蓋症狀下測試功能，藥物依醫囑。</x:v>
      </x:c>
      <x:c r="H203" s="136" t="str">
        <x:v>在未以止痛藥掩蓋症狀下測試功能，藥物依醫囑。</x:v>
      </x:c>
      <x:c r="I203" s="136" t="str">
        <x:v>回跑測試</x:v>
      </x:c>
      <x:c r="J203" s="144" t="str">
        <x:v>高</x:v>
      </x:c>
      <x:c r="K203" s="144" t="str">
        <x:v>留意</x:v>
      </x:c>
      <x:c r="L203" s="136" t="str">
        <x:v>做出正確照護：修復值 +1</x:v>
      </x:c>
      <x:c r="M203" s="136" t="str">
        <x:v>若症狀持續、反覆或惡化，請由合格醫療專業評估。</x:v>
      </x:c>
      <x:c r="N203" s="154" t="n">
        <x:f>LEN(G203)</x:f>
        <x:v>50</x:v>
      </x:c>
      <x:c r="O203" s="144" t="str">
        <x:v>S069</x:v>
      </x:c>
      <x:c r="P203" s="136" t="str">
        <x:v>國際奧會（IOC）／BJSM</x:v>
      </x:c>
      <x:c r="Q203" s="136" t="str">
        <x:v>Pain management in elite athletes</x:v>
      </x:c>
      <x:c r="R203" s="151" t="str">
        <x:v>https://bjsm.bmj.com/content/51/17/1245</x:v>
      </x:c>
      <x:c r="S203" s="148" t="str">
        <x:v>2026-07-27</x:v>
      </x:c>
    </x:row>
    <x:row r="204" ht="58" customHeight="1">
      <x:c r="A204" s="145" t="str">
        <x:v>FT-200</x:v>
      </x:c>
      <x:c r="B204" s="146" t="str">
        <x:v>命運</x:v>
      </x:c>
      <x:c r="C204" s="139" t="str">
        <x:v>跑者照護：受傷處理、身體修復與健康</x:v>
      </x:c>
      <x:c r="D204" s="139" t="str">
        <x:v>復健與安全回跑</x:v>
      </x:c>
      <x:c r="E204" s="139" t="str">
        <x:v>用功能與隔日反應決定進度</x:v>
      </x:c>
      <x:c r="F204" s="139" t="str">
        <x:v>建立復發日誌</x:v>
      </x:c>
      <x:c r="G204" s="139" t="str">
        <x:v>了解哪種負荷、地形或生活壓力會引發症狀，能提早介入。
行動：記錄跑量、強度、鞋、睡眠、疼痛與隔日反應，找出重複模式。</x:v>
      </x:c>
      <x:c r="H204" s="139" t="str">
        <x:v>記錄跑量、強度、鞋、睡眠、疼痛與隔日反應，找出重複模式。</x:v>
      </x:c>
      <x:c r="I204" s="139" t="str">
        <x:v>回歸常態後</x:v>
      </x:c>
      <x:c r="J204" s="146" t="str">
        <x:v>中</x:v>
      </x:c>
      <x:c r="K204" s="146" t="str">
        <x:v>一般</x:v>
      </x:c>
      <x:c r="L204" s="139" t="str">
        <x:v>修復值 +1</x:v>
      </x:c>
      <x:c r="M204" s="139" t="str">
        <x:v>若症狀持續、反覆或惡化，請由合格醫療專業評估。</x:v>
      </x:c>
      <x:c r="N204" s="155" t="n">
        <x:f>LEN(G204)</x:f>
        <x:v>58</x:v>
      </x:c>
      <x:c r="O204" s="146" t="str">
        <x:v>S003</x:v>
      </x:c>
      <x:c r="P204" s="139" t="str">
        <x:v>國際奧會（IOC）／BJSM</x:v>
      </x:c>
      <x:c r="Q204" s="139" t="str">
        <x:v>How much is too much? Part 1: load and injury risk</x:v>
      </x:c>
      <x:c r="R204" s="152" t="str">
        <x:v>https://bjsm.bmj.com/content/50/17/1030</x:v>
      </x:c>
      <x:c r="S204" s="149" t="str">
        <x:v>2026-07-27</x:v>
      </x:c>
    </x:row>
  </x:sheetData>
  <x:mergeCells>
    <x:mergeCell ref="A1:S1"/>
    <x:mergeCell ref="A2:S2"/>
  </x:mergeCells>
  <x:conditionalFormatting sqref="N5:N204">
    <x:cfRule type="cellIs" dxfId="5" priority="1" operator="greaterThan">
      <x:formula>500</x:formula>
    </x:cfRule>
  </x:conditionalFormatting>
  <x:conditionalFormatting sqref="K5:K204">
    <x:cfRule type="containsText" dxfId="6" priority="2" operator="containsText" text="緊急"/>
    <x:cfRule type="containsText" dxfId="7" priority="3" operator="containsText" text="停止運動"/>
    <x:cfRule type="containsText" dxfId="8" priority="4" operator="containsText" text="留意"/>
    <x:cfRule type="containsText" dxfId="9" priority="5" operator="containsText" text="一般"/>
  </x:conditionalFormatting>
  <x:pageMargins left="0.7" right="0.7" top="0.75" bottom="0.75" header="0.3" footer="0.3"/>
  <x:tableParts count="1">
    <x:tablePart xmlns:r="http://schemas.openxmlformats.org/officeDocument/2006/relationships" r:id="Re4791a49bf5b4a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42" hidden="0" customWidth="1"/>
    <x:col min="4" max="4" width="28" hidden="0" customWidth="1"/>
    <x:col min="5" max="5" width="72" hidden="0" customWidth="1"/>
    <x:col min="6" max="6" width="13" hidden="0" customWidth="1"/>
  </x:cols>
  <x:sheetData>
    <x:row r="1" ht="34" customHeight="1">
      <x:c r="A1" s="4" t="str">
        <x:v>資料來源｜權威運動醫學、公衛與研究文獻</x:v>
      </x:c>
    </x:row>
    <x:row r="2" ht="28" customHeight="1">
      <x:c r="A2" s="7" t="str">
        <x:v>URL 為原始官方頁面、共識聲明或 PubMed 紀錄；使用時仍需配合個人健康與最新專業指引。</x:v>
      </x:c>
    </x:row>
    <x:row r="4" ht="30" customHeight="1">
      <x:c r="A4" s="162" t="str">
        <x:v>來源代碼</x:v>
      </x:c>
      <x:c r="B4" s="162" t="str">
        <x:v>機構</x:v>
      </x:c>
      <x:c r="C4" s="162" t="str">
        <x:v>文件／研究</x:v>
      </x:c>
      <x:c r="D4" s="162" t="str">
        <x:v>對應主題</x:v>
      </x:c>
      <x:c r="E4" s="162" t="str">
        <x:v>URL</x:v>
      </x:c>
      <x:c r="F4" s="162" t="str">
        <x:v>審校日期</x:v>
      </x:c>
    </x:row>
    <x:row r="5" ht="44" customHeight="1">
      <x:c r="A5" s="132" t="str">
        <x:v>S001</x:v>
      </x:c>
      <x:c r="B5" s="133" t="str">
        <x:v>美國衛生及公共服務部（HHS）</x:v>
      </x:c>
      <x:c r="C5" s="133" t="str">
        <x:v>Physical Activity Guidelines for Americans, 2nd edition</x:v>
      </x:c>
      <x:c r="D5" s="133" t="str">
        <x:v>運動量、肌力與循序漸進</x:v>
      </x:c>
      <x:c r="E5" s="150" t="str">
        <x:v>https://health.gov/sites/default/files/2019-09/Physical_Activity_Guidelines_2nd_edition.pdf</x:v>
      </x:c>
      <x:c r="F5" s="134" t="str">
        <x:v>2026-07-27</x:v>
      </x:c>
    </x:row>
    <x:row r="6" ht="44" customHeight="1">
      <x:c r="A6" s="135" t="str">
        <x:v>S002</x:v>
      </x:c>
      <x:c r="B6" s="136" t="str">
        <x:v>世界衛生組織（WHO）</x:v>
      </x:c>
      <x:c r="C6" s="136" t="str">
        <x:v>WHO Guidelines on Physical Activity and Sedentary Behaviour</x:v>
      </x:c>
      <x:c r="D6" s="136" t="str">
        <x:v>成人身體活動與久坐建議</x:v>
      </x:c>
      <x:c r="E6" s="151" t="str">
        <x:v>https://www.who.int/publications/i/item/9789240015128</x:v>
      </x:c>
      <x:c r="F6" s="137" t="str">
        <x:v>2026-07-27</x:v>
      </x:c>
    </x:row>
    <x:row r="7" ht="44" customHeight="1">
      <x:c r="A7" s="135" t="str">
        <x:v>S003</x:v>
      </x:c>
      <x:c r="B7" s="136" t="str">
        <x:v>國際奧會（IOC）／BJSM</x:v>
      </x:c>
      <x:c r="C7" s="136" t="str">
        <x:v>How much is too much? Part 1: load and injury risk</x:v>
      </x:c>
      <x:c r="D7" s="136" t="str">
        <x:v>訓練負荷與受傷風險</x:v>
      </x:c>
      <x:c r="E7" s="151" t="str">
        <x:v>https://bjsm.bmj.com/content/50/17/1030</x:v>
      </x:c>
      <x:c r="F7" s="137" t="str">
        <x:v>2026-07-27</x:v>
      </x:c>
    </x:row>
    <x:row r="8" ht="44" customHeight="1">
      <x:c r="A8" s="135" t="str">
        <x:v>S004</x:v>
      </x:c>
      <x:c r="B8" s="136" t="str">
        <x:v>國際奧會（IOC）／BJSM</x:v>
      </x:c>
      <x:c r="C8" s="136" t="str">
        <x:v>How much is too much? Part 2: load and illness risk</x:v>
      </x:c>
      <x:c r="D8" s="136" t="str">
        <x:v>負荷、疲勞與疾病風險</x:v>
      </x:c>
      <x:c r="E8" s="151" t="str">
        <x:v>https://bjsm.bmj.com/content/50/17/1043</x:v>
      </x:c>
      <x:c r="F8" s="137" t="str">
        <x:v>2026-07-27</x:v>
      </x:c>
    </x:row>
    <x:row r="9" ht="44" customHeight="1">
      <x:c r="A9" s="135" t="str">
        <x:v>S005</x:v>
      </x:c>
      <x:c r="B9" s="136" t="str">
        <x:v>Sports Medicine／PubMed</x:v>
      </x:c>
      <x:c r="C9" s="136" t="str">
        <x:v>Polarized training systematic review and meta-analysis</x:v>
      </x:c>
      <x:c r="D9" s="136" t="str">
        <x:v>耐力訓練強度分配</x:v>
      </x:c>
      <x:c r="E9" s="151" t="str">
        <x:v>https://pubmed.ncbi.nlm.nih.gov/29863593/</x:v>
      </x:c>
      <x:c r="F9" s="137" t="str">
        <x:v>2026-07-27</x:v>
      </x:c>
    </x:row>
    <x:row r="10" ht="44" customHeight="1">
      <x:c r="A10" s="135" t="str">
        <x:v>S006</x:v>
      </x:c>
      <x:c r="B10" s="136" t="str">
        <x:v>European Journal of Applied Physiology／PubMed</x:v>
      </x:c>
      <x:c r="C10" s="136" t="str">
        <x:v>Training intensity distribution and performance prediction</x:v>
      </x:c>
      <x:c r="D10" s="136" t="str">
        <x:v>輕鬆跑、節奏跑與間歇分配</x:v>
      </x:c>
      <x:c r="E10" s="151" t="str">
        <x:v>https://pubmed.ncbi.nlm.nih.gov/31045681/</x:v>
      </x:c>
      <x:c r="F10" s="137" t="str">
        <x:v>2026-07-27</x:v>
      </x:c>
    </x:row>
    <x:row r="11" ht="44" customHeight="1">
      <x:c r="A11" s="135" t="str">
        <x:v>S007</x:v>
      </x:c>
      <x:c r="B11" s="136" t="str">
        <x:v>Medicine &amp; Science in Sports &amp; Exercise／PubMed</x:v>
      </x:c>
      <x:c r="C11" s="136" t="str">
        <x:v>Aerobic high-intensity intervals improve VO2max</x:v>
      </x:c>
      <x:c r="D11" s="136" t="str">
        <x:v>高強度間歇</x:v>
      </x:c>
      <x:c r="E11" s="151" t="str">
        <x:v>https://pubmed.ncbi.nlm.nih.gov/17414804/</x:v>
      </x:c>
      <x:c r="F11" s="137" t="str">
        <x:v>2026-07-27</x:v>
      </x:c>
    </x:row>
    <x:row r="12" ht="44" customHeight="1">
      <x:c r="A12" s="135" t="str">
        <x:v>S008</x:v>
      </x:c>
      <x:c r="B12" s="136" t="str">
        <x:v>Sports Medicine／PubMed</x:v>
      </x:c>
      <x:c r="C12" s="136" t="str">
        <x:v>Threshold training and endurance performance</x:v>
      </x:c>
      <x:c r="D12" s="136" t="str">
        <x:v>乳酸閾值訓練</x:v>
      </x:c>
      <x:c r="E12" s="151" t="str">
        <x:v>https://pubmed.ncbi.nlm.nih.gov/36900796/</x:v>
      </x:c>
      <x:c r="F12" s="137" t="str">
        <x:v>2026-07-27</x:v>
      </x:c>
    </x:row>
    <x:row r="13" ht="44" customHeight="1">
      <x:c r="A13" s="135" t="str">
        <x:v>S009</x:v>
      </x:c>
      <x:c r="B13" s="136" t="str">
        <x:v>Sports Medicine／PubMed</x:v>
      </x:c>
      <x:c r="C13" s="136" t="str">
        <x:v>Strength training and running economy meta-analysis</x:v>
      </x:c>
      <x:c r="D13" s="136" t="str">
        <x:v>肌力訓練與跑步經濟性</x:v>
      </x:c>
      <x:c r="E13" s="151" t="str">
        <x:v>https://pubmed.ncbi.nlm.nih.gov/38165636/</x:v>
      </x:c>
      <x:c r="F13" s="137" t="str">
        <x:v>2026-07-27</x:v>
      </x:c>
    </x:row>
    <x:row r="14" ht="44" customHeight="1">
      <x:c r="A14" s="135" t="str">
        <x:v>S010</x:v>
      </x:c>
      <x:c r="B14" s="136" t="str">
        <x:v>Sports Medicine／PubMed</x:v>
      </x:c>
      <x:c r="C14" s="136" t="str">
        <x:v>Tapering and endurance performance meta-analysis</x:v>
      </x:c>
      <x:c r="D14" s="136" t="str">
        <x:v>賽前減量</x:v>
      </x:c>
      <x:c r="E14" s="151" t="str">
        <x:v>https://pubmed.ncbi.nlm.nih.gov/37163550/</x:v>
      </x:c>
      <x:c r="F14" s="137" t="str">
        <x:v>2026-07-27</x:v>
      </x:c>
    </x:row>
    <x:row r="15" ht="44" customHeight="1">
      <x:c r="A15" s="135" t="str">
        <x:v>S011</x:v>
      </x:c>
      <x:c r="B15" s="136" t="str">
        <x:v>Applied Physiology, Nutrition, and Metabolism／PubMed</x:v>
      </x:c>
      <x:c r="C15" s="136" t="str">
        <x:v>Warm-up and stretching review</x:v>
      </x:c>
      <x:c r="D15" s="136" t="str">
        <x:v>熱身與伸展</x:v>
      </x:c>
      <x:c r="E15" s="151" t="str">
        <x:v>https://pubmed.ncbi.nlm.nih.gov/26642915/</x:v>
      </x:c>
      <x:c r="F15" s="137" t="str">
        <x:v>2026-07-27</x:v>
      </x:c>
    </x:row>
    <x:row r="16" ht="44" customHeight="1">
      <x:c r="A16" s="135" t="str">
        <x:v>S012</x:v>
      </x:c>
      <x:c r="B16" s="136" t="str">
        <x:v>World Athletics</x:v>
      </x:c>
      <x:c r="C16" s="136" t="str">
        <x:v>Nutrition for Athletics — Consensus Statement</x:v>
      </x:c>
      <x:c r="D16" s="136" t="str">
        <x:v>田徑營養總則</x:v>
      </x:c>
      <x:c r="E16" s="151" t="str">
        <x:v>https://worldathletics.org/download/download?filename=23fb9de0-6699-4d5b-b075-42f5da5518f5.pdf&amp;urlslug=Nutrition%2Bfor%2BAthletics%2B-%2B2019%2BIAAF%2BConsensus%2BStatement</x:v>
      </x:c>
      <x:c r="F16" s="137" t="str">
        <x:v>2026-07-27</x:v>
      </x:c>
    </x:row>
    <x:row r="17" ht="44" customHeight="1">
      <x:c r="A17" s="135" t="str">
        <x:v>S013</x:v>
      </x:c>
      <x:c r="B17" s="136" t="str">
        <x:v>World Athletics</x:v>
      </x:c>
      <x:c r="C17" s="136" t="str">
        <x:v>Contemporary Nutrition Strategies for Distance Runners</x:v>
      </x:c>
      <x:c r="D17" s="136" t="str">
        <x:v>長跑碳水、補給與腸胃訓練</x:v>
      </x:c>
      <x:c r="E17" s="151" t="str">
        <x:v>https://worldathletics.org/download/download?filename=6babe10a-9969-407e-b0cd-f7d96df50f51.pdf&amp;urlslug=Contemporary+Nutrition+Strategies+to+Optimize+Performance+in+Distance+Runners+and+Race+Walkers</x:v>
      </x:c>
      <x:c r="F17" s="137" t="str">
        <x:v>2026-07-27</x:v>
      </x:c>
    </x:row>
    <x:row r="18" ht="44" customHeight="1">
      <x:c r="A18" s="135" t="str">
        <x:v>S014</x:v>
      </x:c>
      <x:c r="B18" s="136" t="str">
        <x:v>World Athletics</x:v>
      </x:c>
      <x:c r="C18" s="136" t="str">
        <x:v>Fluid Needs for Training, Competition, and Recovery</x:v>
      </x:c>
      <x:c r="D18" s="136" t="str">
        <x:v>個人化水分與電解質</x:v>
      </x:c>
      <x:c r="E18" s="151" t="str">
        <x:v>https://worldathletics.org/download/download?filename=ef30aa1b-f972-4f15-84a0-5c131e13b2c9.pdf&amp;urlslug=Fluid+Needs+for+Training%2C+Competition%2C+and+Recovery+in+Track-and-Field+Athletes</x:v>
      </x:c>
      <x:c r="F18" s="137" t="str">
        <x:v>2026-07-27</x:v>
      </x:c>
    </x:row>
    <x:row r="19" ht="44" customHeight="1">
      <x:c r="A19" s="135" t="str">
        <x:v>S015</x:v>
      </x:c>
      <x:c r="B19" s="136" t="str">
        <x:v>World Athletics</x:v>
      </x:c>
      <x:c r="C19" s="136" t="str">
        <x:v>Dietary Protein for Training Adaptation</x:v>
      </x:c>
      <x:c r="D19" s="136" t="str">
        <x:v>蛋白質與訓練適應</x:v>
      </x:c>
      <x:c r="E19" s="151" t="str">
        <x:v>https://worldathletics.org/download/download?filename=c873b6da-a0fb-4625-ace2-fc9a3cf0ebe3.pdf&amp;urlslug=Dietary+Protein+for+Training+Adaptation+and+Body+Composition+Manipulation+in+Track+and+Field+Athletes</x:v>
      </x:c>
      <x:c r="F19" s="137" t="str">
        <x:v>2026-07-27</x:v>
      </x:c>
    </x:row>
    <x:row r="20" ht="44" customHeight="1">
      <x:c r="A20" s="135" t="str">
        <x:v>S016</x:v>
      </x:c>
      <x:c r="B20" s="136" t="str">
        <x:v>World Athletics</x:v>
      </x:c>
      <x:c r="C20" s="136" t="str">
        <x:v>Sports Foods and Dietary Supplements</x:v>
      </x:c>
      <x:c r="D20" s="136" t="str">
        <x:v>運動食品與補充品</x:v>
      </x:c>
      <x:c r="E20" s="151" t="str">
        <x:v>https://worldathletics.org/download/download?filename=05a42d7a-446e-4613-999a-b0c834a7c93e.pdf&amp;urlslug=Sports+Foods+and+Dietary+Supplements+for+Optimal+Function+and+Performance+Enhancement+in+Track-and-Field+Athletes</x:v>
      </x:c>
      <x:c r="F20" s="137" t="str">
        <x:v>2026-07-27</x:v>
      </x:c>
    </x:row>
    <x:row r="21" ht="44" customHeight="1">
      <x:c r="A21" s="135" t="str">
        <x:v>S017</x:v>
      </x:c>
      <x:c r="B21" s="136" t="str">
        <x:v>BJSM／PMC</x:v>
      </x:c>
      <x:c r="C21" s="136" t="str">
        <x:v>Heat acclimatisation consensus recommendations</x:v>
      </x:c>
      <x:c r="D21" s="136" t="str">
        <x:v>熱適應</x:v>
      </x:c>
      <x:c r="E21" s="151" t="str">
        <x:v>https://pmc.ncbi.nlm.nih.gov/articles/PMC4473280/</x:v>
      </x:c>
      <x:c r="F21" s="137" t="str">
        <x:v>2026-07-27</x:v>
      </x:c>
    </x:row>
    <x:row r="22" ht="44" customHeight="1">
      <x:c r="A22" s="135" t="str">
        <x:v>S018</x:v>
      </x:c>
      <x:c r="B22" s="136" t="str">
        <x:v>國際奧會（IOC）／BJSM</x:v>
      </x:c>
      <x:c r="C22" s="136" t="str">
        <x:v>Consensus on thermoregulatory and altitude challenges</x:v>
      </x:c>
      <x:c r="D22" s="136" t="str">
        <x:v>高溫、低溫與高地</x:v>
      </x:c>
      <x:c r="E22" s="151" t="str">
        <x:v>https://bjsm.bmj.com/content/57/1/8</x:v>
      </x:c>
      <x:c r="F22" s="137" t="str">
        <x:v>2026-07-27</x:v>
      </x:c>
    </x:row>
    <x:row r="23" ht="44" customHeight="1">
      <x:c r="A23" s="135" t="str">
        <x:v>S019</x:v>
      </x:c>
      <x:c r="B23" s="136" t="str">
        <x:v>Sports Medicine／PubMed</x:v>
      </x:c>
      <x:c r="C23" s="136" t="str">
        <x:v>Session RPE systematic review</x:v>
      </x:c>
      <x:c r="D23" s="136" t="str">
        <x:v>主觀用力程度與負荷監測</x:v>
      </x:c>
      <x:c r="E23" s="151" t="str">
        <x:v>https://pubmed.ncbi.nlm.nih.gov/36361320/</x:v>
      </x:c>
      <x:c r="F23" s="137" t="str">
        <x:v>2026-07-27</x:v>
      </x:c>
    </x:row>
    <x:row r="24" ht="44" customHeight="1">
      <x:c r="A24" s="135" t="str">
        <x:v>S020</x:v>
      </x:c>
      <x:c r="B24" s="136" t="str">
        <x:v>Sports Medicine／PubMed</x:v>
      </x:c>
      <x:c r="C24" s="136" t="str">
        <x:v>Psychological determinants of endurance performance</x:v>
      </x:c>
      <x:c r="D24" s="136" t="str">
        <x:v>心理策略與耐力表現</x:v>
      </x:c>
      <x:c r="E24" s="151" t="str">
        <x:v>https://pubmed.ncbi.nlm.nih.gov/25771784/</x:v>
      </x:c>
      <x:c r="F24" s="137" t="str">
        <x:v>2026-07-27</x:v>
      </x:c>
    </x:row>
    <x:row r="25" ht="44" customHeight="1">
      <x:c r="A25" s="135" t="str">
        <x:v>S021</x:v>
      </x:c>
      <x:c r="B25" s="136" t="str">
        <x:v>Sports Medicine／PubMed</x:v>
      </x:c>
      <x:c r="C25" s="136" t="str">
        <x:v>Gait retraining in distance runners</x:v>
      </x:c>
      <x:c r="D25" s="136" t="str">
        <x:v>跑姿調整</x:v>
      </x:c>
      <x:c r="E25" s="151" t="str">
        <x:v>https://pubmed.ncbi.nlm.nih.gov/29065279/</x:v>
      </x:c>
      <x:c r="F25" s="137" t="str">
        <x:v>2026-07-27</x:v>
      </x:c>
    </x:row>
    <x:row r="26" ht="44" customHeight="1">
      <x:c r="A26" s="135" t="str">
        <x:v>S022</x:v>
      </x:c>
      <x:c r="B26" s="136" t="str">
        <x:v>American Academy of Orthopaedic Surgeons（AAOS）</x:v>
      </x:c>
      <x:c r="C26" s="136" t="str">
        <x:v>Tips for a Safe Running Program</x:v>
      </x:c>
      <x:c r="D26" s="136" t="str">
        <x:v>安全跑步與漸進負荷</x:v>
      </x:c>
      <x:c r="E26" s="151" t="str">
        <x:v>https://orthoinfo.aaos.org/en/staying-healthy/tips-for-a-safe-running-program/</x:v>
      </x:c>
      <x:c r="F26" s="137" t="str">
        <x:v>2026-07-27</x:v>
      </x:c>
    </x:row>
    <x:row r="27" ht="44" customHeight="1">
      <x:c r="A27" s="135" t="str">
        <x:v>S023</x:v>
      </x:c>
      <x:c r="B27" s="136" t="str">
        <x:v>AAOS</x:v>
      </x:c>
      <x:c r="C27" s="136" t="str">
        <x:v>Athletic Shoes</x:v>
      </x:c>
      <x:c r="D27" s="136" t="str">
        <x:v>跑鞋選擇與使用</x:v>
      </x:c>
      <x:c r="E27" s="151" t="str">
        <x:v>https://orthoinfo.aaos.org/en/staying-healthy/athletic-shoes/</x:v>
      </x:c>
      <x:c r="F27" s="137" t="str">
        <x:v>2026-07-27</x:v>
      </x:c>
    </x:row>
    <x:row r="28" ht="44" customHeight="1">
      <x:c r="A28" s="135" t="str">
        <x:v>S024</x:v>
      </x:c>
      <x:c r="B28" s="136" t="str">
        <x:v>BJSM</x:v>
      </x:c>
      <x:c r="C28" s="136" t="str">
        <x:v>Soft-tissue injuries simply need PEACE and LOVE</x:v>
      </x:c>
      <x:c r="D28" s="136" t="str">
        <x:v>急性軟組織傷害照護</x:v>
      </x:c>
      <x:c r="E28" s="151" t="str">
        <x:v>https://bjsm.bmj.com/content/54/2/72</x:v>
      </x:c>
      <x:c r="F28" s="137" t="str">
        <x:v>2026-07-27</x:v>
      </x:c>
    </x:row>
    <x:row r="29" ht="44" customHeight="1">
      <x:c r="A29" s="135" t="str">
        <x:v>S025</x:v>
      </x:c>
      <x:c r="B29" s="136" t="str">
        <x:v>AAOS</x:v>
      </x:c>
      <x:c r="C29" s="136" t="str">
        <x:v>Sprains, Strains and Other Soft-Tissue Injuries</x:v>
      </x:c>
      <x:c r="D29" s="136" t="str">
        <x:v>扭傷與拉傷</x:v>
      </x:c>
      <x:c r="E29" s="151" t="str">
        <x:v>https://orthoinfo.aaos.org/en/diseases--conditions/sprains-strains-and-other-soft-tissue-injuries/</x:v>
      </x:c>
      <x:c r="F29" s="137" t="str">
        <x:v>2026-07-27</x:v>
      </x:c>
    </x:row>
    <x:row r="30" ht="44" customHeight="1">
      <x:c r="A30" s="135" t="str">
        <x:v>S026</x:v>
      </x:c>
      <x:c r="B30" s="136" t="str">
        <x:v>AAOS</x:v>
      </x:c>
      <x:c r="C30" s="136" t="str">
        <x:v>Patellofemoral Pain Syndrome</x:v>
      </x:c>
      <x:c r="D30" s="136" t="str">
        <x:v>髕股疼痛</x:v>
      </x:c>
      <x:c r="E30" s="151" t="str">
        <x:v>https://orthoinfo.aaos.org/en/diseases--conditions/patellofemoral-pain-syndrome/</x:v>
      </x:c>
      <x:c r="F30" s="137" t="str">
        <x:v>2026-07-27</x:v>
      </x:c>
    </x:row>
    <x:row r="31" ht="44" customHeight="1">
      <x:c r="A31" s="135" t="str">
        <x:v>S027</x:v>
      </x:c>
      <x:c r="B31" s="136" t="str">
        <x:v>AAOS</x:v>
      </x:c>
      <x:c r="C31" s="136" t="str">
        <x:v>Iliotibial Band Syndrome</x:v>
      </x:c>
      <x:c r="D31" s="136" t="str">
        <x:v>髂脛束症候群</x:v>
      </x:c>
      <x:c r="E31" s="151" t="str">
        <x:v>https://orthoinfo.aaos.org/en/diseases--conditions/iliotibial-band-it-band-syndrome/</x:v>
      </x:c>
      <x:c r="F31" s="137" t="str">
        <x:v>2026-07-27</x:v>
      </x:c>
    </x:row>
    <x:row r="32" ht="44" customHeight="1">
      <x:c r="A32" s="135" t="str">
        <x:v>S028</x:v>
      </x:c>
      <x:c r="B32" s="136" t="str">
        <x:v>AAOS</x:v>
      </x:c>
      <x:c r="C32" s="136" t="str">
        <x:v>Stress Fractures</x:v>
      </x:c>
      <x:c r="D32" s="136" t="str">
        <x:v>骨壓力傷害</x:v>
      </x:c>
      <x:c r="E32" s="151" t="str">
        <x:v>https://orthoinfo.aaos.org/en/diseases--conditions/stress-fractures/</x:v>
      </x:c>
      <x:c r="F32" s="137" t="str">
        <x:v>2026-07-27</x:v>
      </x:c>
    </x:row>
    <x:row r="33" ht="44" customHeight="1">
      <x:c r="A33" s="135" t="str">
        <x:v>S029</x:v>
      </x:c>
      <x:c r="B33" s="136" t="str">
        <x:v>AAOS</x:v>
      </x:c>
      <x:c r="C33" s="136" t="str">
        <x:v>Shin Splints</x:v>
      </x:c>
      <x:c r="D33" s="136" t="str">
        <x:v>脛骨內側壓力症候群</x:v>
      </x:c>
      <x:c r="E33" s="151" t="str">
        <x:v>https://orthoinfo.aaos.org/en/diseases--conditions/shin-splints/</x:v>
      </x:c>
      <x:c r="F33" s="137" t="str">
        <x:v>2026-07-27</x:v>
      </x:c>
    </x:row>
    <x:row r="34" ht="44" customHeight="1">
      <x:c r="A34" s="135" t="str">
        <x:v>S030</x:v>
      </x:c>
      <x:c r="B34" s="136" t="str">
        <x:v>AAOS</x:v>
      </x:c>
      <x:c r="C34" s="136" t="str">
        <x:v>Achilles Tendinitis</x:v>
      </x:c>
      <x:c r="D34" s="136" t="str">
        <x:v>阿基里斯腱病變</x:v>
      </x:c>
      <x:c r="E34" s="151" t="str">
        <x:v>https://orthoinfo.aaos.org/en/diseases--conditions/achilles-tendinitis/</x:v>
      </x:c>
      <x:c r="F34" s="137" t="str">
        <x:v>2026-07-27</x:v>
      </x:c>
    </x:row>
    <x:row r="35" ht="44" customHeight="1">
      <x:c r="A35" s="135" t="str">
        <x:v>S031</x:v>
      </x:c>
      <x:c r="B35" s="136" t="str">
        <x:v>AAOS</x:v>
      </x:c>
      <x:c r="C35" s="136" t="str">
        <x:v>Plantar Fasciitis and Bone Spurs</x:v>
      </x:c>
      <x:c r="D35" s="136" t="str">
        <x:v>足底筋膜與足跟疼痛</x:v>
      </x:c>
      <x:c r="E35" s="151" t="str">
        <x:v>https://orthoinfo.aaos.org/en/diseases--conditions/plantar-fasciitis-and-bone-spurs</x:v>
      </x:c>
      <x:c r="F35" s="137" t="str">
        <x:v>2026-07-27</x:v>
      </x:c>
    </x:row>
    <x:row r="36" ht="44" customHeight="1">
      <x:c r="A36" s="135" t="str">
        <x:v>S032</x:v>
      </x:c>
      <x:c r="B36" s="136" t="str">
        <x:v>AAOS</x:v>
      </x:c>
      <x:c r="C36" s="136" t="str">
        <x:v>Sprained Ankle</x:v>
      </x:c>
      <x:c r="D36" s="136" t="str">
        <x:v>踝關節扭傷</x:v>
      </x:c>
      <x:c r="E36" s="151" t="str">
        <x:v>https://orthoinfo.aaos.org/en/diseases--conditions/sprained-ankle/</x:v>
      </x:c>
      <x:c r="F36" s="137" t="str">
        <x:v>2026-07-27</x:v>
      </x:c>
    </x:row>
    <x:row r="37" ht="44" customHeight="1">
      <x:c r="A37" s="135" t="str">
        <x:v>S033</x:v>
      </x:c>
      <x:c r="B37" s="136" t="str">
        <x:v>AAOS</x:v>
      </x:c>
      <x:c r="C37" s="136" t="str">
        <x:v>Hamstring Muscle Injuries</x:v>
      </x:c>
      <x:c r="D37" s="136" t="str">
        <x:v>腿後肌拉傷</x:v>
      </x:c>
      <x:c r="E37" s="151" t="str">
        <x:v>https://orthoinfo.aaos.org/en/diseases--conditions/hamstring-muscle-injuries/</x:v>
      </x:c>
      <x:c r="F37" s="137" t="str">
        <x:v>2026-07-27</x:v>
      </x:c>
    </x:row>
    <x:row r="38" ht="44" customHeight="1">
      <x:c r="A38" s="135" t="str">
        <x:v>S034</x:v>
      </x:c>
      <x:c r="B38" s="136" t="str">
        <x:v>AAOS</x:v>
      </x:c>
      <x:c r="C38" s="136" t="str">
        <x:v>Hip Strains</x:v>
      </x:c>
      <x:c r="D38" s="136" t="str">
        <x:v>髖部肌肉拉傷</x:v>
      </x:c>
      <x:c r="E38" s="151" t="str">
        <x:v>https://orthoinfo.aaos.org/en/diseases--conditions/hip-strains/</x:v>
      </x:c>
      <x:c r="F38" s="137" t="str">
        <x:v>2026-07-27</x:v>
      </x:c>
    </x:row>
    <x:row r="39" ht="44" customHeight="1">
      <x:c r="A39" s="135" t="str">
        <x:v>S035</x:v>
      </x:c>
      <x:c r="B39" s="136" t="str">
        <x:v>美國疾病管制與預防中心（CDC/NIOSH）</x:v>
      </x:c>
      <x:c r="C39" s="136" t="str">
        <x:v>Heat-related Illnesses</x:v>
      </x:c>
      <x:c r="D39" s="136" t="str">
        <x:v>熱痙攣、熱衰竭與熱中暑</x:v>
      </x:c>
      <x:c r="E39" s="151" t="str">
        <x:v>https://www.cdc.gov/niosh/heat-stress/about/illnesses.html</x:v>
      </x:c>
      <x:c r="F39" s="137" t="str">
        <x:v>2026-07-27</x:v>
      </x:c>
    </x:row>
    <x:row r="40" ht="44" customHeight="1">
      <x:c r="A40" s="135" t="str">
        <x:v>S036</x:v>
      </x:c>
      <x:c r="B40" s="136" t="str">
        <x:v>National Athletic Trainers' Association（NATA）</x:v>
      </x:c>
      <x:c r="C40" s="136" t="str">
        <x:v>Exertional Heat Illnesses Position Statement</x:v>
      </x:c>
      <x:c r="D40" s="136" t="str">
        <x:v>運動性熱傷害處置</x:v>
      </x:c>
      <x:c r="E40" s="151" t="str">
        <x:v>https://www.nata.org/sites/default/files/2025-08/exertional_heat_illnesses.pdf</x:v>
      </x:c>
      <x:c r="F40" s="137" t="str">
        <x:v>2026-07-27</x:v>
      </x:c>
    </x:row>
    <x:row r="41" ht="44" customHeight="1">
      <x:c r="A41" s="135" t="str">
        <x:v>S037</x:v>
      </x:c>
      <x:c r="B41" s="136" t="str">
        <x:v>NATA</x:v>
      </x:c>
      <x:c r="C41" s="136" t="str">
        <x:v>Fluid Replacement for the Physically Active</x:v>
      </x:c>
      <x:c r="D41" s="136" t="str">
        <x:v>飲水、鈉與低鈉血症</x:v>
      </x:c>
      <x:c r="E41" s="151" t="str">
        <x:v>https://www.nata.org/sites/default/files/2025-08/fluid_replacement_for_the_physically_active.pdf</x:v>
      </x:c>
      <x:c r="F41" s="137" t="str">
        <x:v>2026-07-27</x:v>
      </x:c>
    </x:row>
    <x:row r="42" ht="44" customHeight="1">
      <x:c r="A42" s="135" t="str">
        <x:v>S038</x:v>
      </x:c>
      <x:c r="B42" s="136" t="str">
        <x:v>CDC/NIOSH</x:v>
      </x:c>
      <x:c r="C42" s="136" t="str">
        <x:v>Rhabdomyolysis</x:v>
      </x:c>
      <x:c r="D42" s="136" t="str">
        <x:v>橫紋肌溶解警訊</x:v>
      </x:c>
      <x:c r="E42" s="151" t="str">
        <x:v>https://www.cdc.gov/niosh/rhabdo/about/index.html</x:v>
      </x:c>
      <x:c r="F42" s="137" t="str">
        <x:v>2026-07-27</x:v>
      </x:c>
    </x:row>
    <x:row r="43" ht="44" customHeight="1">
      <x:c r="A43" s="135" t="str">
        <x:v>S039</x:v>
      </x:c>
      <x:c r="B43" s="136" t="str">
        <x:v>World Athletics</x:v>
      </x:c>
      <x:c r="C43" s="136" t="str">
        <x:v>Competition Medical Guidelines</x:v>
      </x:c>
      <x:c r="D43" s="136" t="str">
        <x:v>賽事醫療與急症處置</x:v>
      </x:c>
      <x:c r="E43" s="151" t="str">
        <x:v>https://worldathletics.org/download/download?filename=a20d107f-c682-48be-8c54-b4c3764de329.pdf&amp;urlslug=World+Athletics+Competition+Medical+Guidelines+-+October+2020+Second+Edition</x:v>
      </x:c>
      <x:c r="F43" s="137" t="str">
        <x:v>2026-07-27</x:v>
      </x:c>
    </x:row>
    <x:row r="44" ht="44" customHeight="1">
      <x:c r="A44" s="135" t="str">
        <x:v>S040</x:v>
      </x:c>
      <x:c r="B44" s="136" t="str">
        <x:v>國際奧會（IOC）／BJSM</x:v>
      </x:c>
      <x:c r="C44" s="136" t="str">
        <x:v>Acute respiratory illness in athletes</x:v>
      </x:c>
      <x:c r="D44" s="136" t="str">
        <x:v>呼吸道疾病與回訓</x:v>
      </x:c>
      <x:c r="E44" s="151" t="str">
        <x:v>https://bjsm.bmj.com/content/56/19/1066</x:v>
      </x:c>
      <x:c r="F44" s="137" t="str">
        <x:v>2026-07-27</x:v>
      </x:c>
    </x:row>
    <x:row r="45" ht="44" customHeight="1">
      <x:c r="A45" s="135" t="str">
        <x:v>S041</x:v>
      </x:c>
      <x:c r="B45" s="136" t="str">
        <x:v>CDC</x:v>
      </x:c>
      <x:c r="C45" s="136" t="str">
        <x:v>About Sleep</x:v>
      </x:c>
      <x:c r="D45" s="136" t="str">
        <x:v>睡眠健康</x:v>
      </x:c>
      <x:c r="E45" s="151" t="str">
        <x:v>https://www.cdc.gov/sleep/about/index.html</x:v>
      </x:c>
      <x:c r="F45" s="137" t="str">
        <x:v>2026-07-27</x:v>
      </x:c>
    </x:row>
    <x:row r="46" ht="44" customHeight="1">
      <x:c r="A46" s="135" t="str">
        <x:v>S042</x:v>
      </x:c>
      <x:c r="B46" s="136" t="str">
        <x:v>國際奧會（IOC）／BJSM</x:v>
      </x:c>
      <x:c r="C46" s="136" t="str">
        <x:v>2023 IOC consensus statement on REDs</x:v>
      </x:c>
      <x:c r="D46" s="136" t="str">
        <x:v>相對能量不足</x:v>
      </x:c>
      <x:c r="E46" s="151" t="str">
        <x:v>https://bjsm.bmj.com/content/57/17/1073</x:v>
      </x:c>
      <x:c r="F46" s="137" t="str">
        <x:v>2026-07-27</x:v>
      </x:c>
    </x:row>
    <x:row r="47" ht="44" customHeight="1">
      <x:c r="A47" s="135" t="str">
        <x:v>S043</x:v>
      </x:c>
      <x:c r="B47" s="136" t="str">
        <x:v>World Athletics</x:v>
      </x:c>
      <x:c r="C47" s="136" t="str">
        <x:v>Energy Availability in Athletics</x:v>
      </x:c>
      <x:c r="D47" s="136" t="str">
        <x:v>能量可用性與健康</x:v>
      </x:c>
      <x:c r="E47" s="151" t="str">
        <x:v>https://worldathletics.org/download/download?filename=2d963a63-c730-48c6-8f15-9b7014bc8dda.pdf&amp;urlslug=Energy+Availability+in+Athletics%3A+Health%2C+Performance%2C+and+Physique</x:v>
      </x:c>
      <x:c r="F47" s="137" t="str">
        <x:v>2026-07-27</x:v>
      </x:c>
    </x:row>
    <x:row r="48" ht="44" customHeight="1">
      <x:c r="A48" s="135" t="str">
        <x:v>S044</x:v>
      </x:c>
      <x:c r="B48" s="136" t="str">
        <x:v>Australian Institute of Sport（AIS）</x:v>
      </x:c>
      <x:c r="C48" s="136" t="str">
        <x:v>AIS Position Statements — Iron</x:v>
      </x:c>
      <x:c r="D48" s="136" t="str">
        <x:v>鐵營養與檢驗</x:v>
      </x:c>
      <x:c r="E48" s="151" t="str">
        <x:v>https://www.ais.gov.au/position_statements</x:v>
      </x:c>
      <x:c r="F48" s="137" t="str">
        <x:v>2026-07-27</x:v>
      </x:c>
    </x:row>
    <x:row r="49" ht="44" customHeight="1">
      <x:c r="A49" s="135" t="str">
        <x:v>S045</x:v>
      </x:c>
      <x:c r="B49" s="136" t="str">
        <x:v>World Athletics</x:v>
      </x:c>
      <x:c r="C49" s="136" t="str">
        <x:v>Nutrition for Prevention and Treatment of Injuries</x:v>
      </x:c>
      <x:c r="D49" s="136" t="str">
        <x:v>傷後營養</x:v>
      </x:c>
      <x:c r="E49" s="151" t="str">
        <x:v>https://worldathletics.org/download/download?filename=077c2d7a-619f-45dc-8c0a-7ffd450bc22a.pdf&amp;urlslug=Nutrition+for+the+Prevention+and+Treatment+of+Injuries+in+Track+and+Field+Athletes</x:v>
      </x:c>
      <x:c r="F49" s="137" t="str">
        <x:v>2026-07-27</x:v>
      </x:c>
    </x:row>
    <x:row r="50" ht="44" customHeight="1">
      <x:c r="A50" s="135" t="str">
        <x:v>S046</x:v>
      </x:c>
      <x:c r="B50" s="136" t="str">
        <x:v>Journal of Athletic Training／PubMed</x:v>
      </x:c>
      <x:c r="C50" s="136" t="str">
        <x:v>Exercise-associated muscle cramps review</x:v>
      </x:c>
      <x:c r="D50" s="136" t="str">
        <x:v>運動相關抽筋</x:v>
      </x:c>
      <x:c r="E50" s="151" t="str">
        <x:v>https://pubmed.ncbi.nlm.nih.gov/34185846/</x:v>
      </x:c>
      <x:c r="F50" s="137" t="str">
        <x:v>2026-07-27</x:v>
      </x:c>
    </x:row>
    <x:row r="51" ht="44" customHeight="1">
      <x:c r="A51" s="135" t="str">
        <x:v>S047</x:v>
      </x:c>
      <x:c r="B51" s="136" t="str">
        <x:v>AAOS</x:v>
      </x:c>
      <x:c r="C51" s="136" t="str">
        <x:v>Shoes: Finding the Right Fit</x:v>
      </x:c>
      <x:c r="D51" s="136" t="str">
        <x:v>鞋楦與尺寸</x:v>
      </x:c>
      <x:c r="E51" s="151" t="str">
        <x:v>https://orthoinfo.aaos.org/en/staying-healthy/shoes-finding-the-right-fit/</x:v>
      </x:c>
      <x:c r="F51" s="137" t="str">
        <x:v>2026-07-27</x:v>
      </x:c>
    </x:row>
    <x:row r="52" ht="44" customHeight="1">
      <x:c r="A52" s="135" t="str">
        <x:v>S048</x:v>
      </x:c>
      <x:c r="B52" s="136" t="str">
        <x:v>AAOS</x:v>
      </x:c>
      <x:c r="C52" s="136" t="str">
        <x:v>Compartment Syndrome</x:v>
      </x:c>
      <x:c r="D52" s="136" t="str">
        <x:v>腔室症候群警訊</x:v>
      </x:c>
      <x:c r="E52" s="151" t="str">
        <x:v>https://orthoinfo.aaos.org/en/diseases--conditions/compartment-syndrome/</x:v>
      </x:c>
      <x:c r="F52" s="137" t="str">
        <x:v>2026-07-27</x:v>
      </x:c>
    </x:row>
    <x:row r="53" ht="44" customHeight="1">
      <x:c r="A53" s="135" t="str">
        <x:v>S049</x:v>
      </x:c>
      <x:c r="B53" s="136" t="str">
        <x:v>World Athletics</x:v>
      </x:c>
      <x:c r="C53" s="136" t="str">
        <x:v>Nutrition for Travel</x:v>
      </x:c>
      <x:c r="D53" s="136" t="str">
        <x:v>旅行、時差與飲食</x:v>
      </x:c>
      <x:c r="E53" s="151" t="str">
        <x:v>https://worldathletics.org/download/download?filename=f901713a-2825-4532-b08d-03a9318146b2.pdf&amp;urlslug=Nutrition+for+Travel%3A+From+Jet+lag+To+Catering</x:v>
      </x:c>
      <x:c r="F53" s="137" t="str">
        <x:v>2026-07-27</x:v>
      </x:c>
    </x:row>
    <x:row r="54" ht="44" customHeight="1">
      <x:c r="A54" s="135" t="str">
        <x:v>S050</x:v>
      </x:c>
      <x:c r="B54" s="136" t="str">
        <x:v>內政部消防署</x:v>
      </x:c>
      <x:c r="C54" s="136" t="str">
        <x:v>119 報案專線</x:v>
      </x:c>
      <x:c r="D54" s="136" t="str">
        <x:v>臺灣緊急救護</x:v>
      </x:c>
      <x:c r="E54" s="151" t="str">
        <x:v>https://www.nfa.gov.tw/cht/index.php?article_id=795&amp;code=list&amp;flag=detail&amp;ids=66</x:v>
      </x:c>
      <x:c r="F54" s="137" t="str">
        <x:v>2026-07-27</x:v>
      </x:c>
    </x:row>
    <x:row r="55" ht="44" customHeight="1">
      <x:c r="A55" s="135" t="str">
        <x:v>S051</x:v>
      </x:c>
      <x:c r="B55" s="136" t="str">
        <x:v>衛生福利部國民健康署</x:v>
      </x:c>
      <x:c r="C55" s="136" t="str">
        <x:v>運動時心血管警訊</x:v>
      </x:c>
      <x:c r="D55" s="136" t="str">
        <x:v>胸痛、呼吸困難、暈厥等警訊</x:v>
      </x:c>
      <x:c r="E55" s="151" t="str">
        <x:v>https://health99.hpa.gov.tw/health99/Subject/Detail/10741?nodeId=10</x:v>
      </x:c>
      <x:c r="F55" s="137" t="str">
        <x:v>2026-07-27</x:v>
      </x:c>
    </x:row>
    <x:row r="56" ht="44" customHeight="1">
      <x:c r="A56" s="135" t="str">
        <x:v>S052</x:v>
      </x:c>
      <x:c r="B56" s="136" t="str">
        <x:v>BJSM／PubMed</x:v>
      </x:c>
      <x:c r="C56" s="136" t="str">
        <x:v>Identifying high-risk running sessions in 5200 runners</x:v>
      </x:c>
      <x:c r="D56" s="136" t="str">
        <x:v>單次距離突增與受傷</x:v>
      </x:c>
      <x:c r="E56" s="151" t="str">
        <x:v>https://pubmed.ncbi.nlm.nih.gov/40623829/</x:v>
      </x:c>
      <x:c r="F56" s="137" t="str">
        <x:v>2026-07-27</x:v>
      </x:c>
    </x:row>
    <x:row r="57" ht="44" customHeight="1">
      <x:c r="A57" s="135" t="str">
        <x:v>S053</x:v>
      </x:c>
      <x:c r="B57" s="136" t="str">
        <x:v>Journal of Science and Medicine in Sport／PubMed</x:v>
      </x:c>
      <x:c r="C57" s="136" t="str">
        <x:v>Training characteristics and marathon performance</x:v>
      </x:c>
      <x:c r="D57" s="136" t="str">
        <x:v>長跑與馬拉松表現</x:v>
      </x:c>
      <x:c r="E57" s="151" t="str">
        <x:v>https://pubmed.ncbi.nlm.nih.gov/32421886/</x:v>
      </x:c>
      <x:c r="F57" s="137" t="str">
        <x:v>2026-07-27</x:v>
      </x:c>
    </x:row>
    <x:row r="58" ht="44" customHeight="1">
      <x:c r="A58" s="135" t="str">
        <x:v>S054</x:v>
      </x:c>
      <x:c r="B58" s="136" t="str">
        <x:v>Sports Medicine／PubMed</x:v>
      </x:c>
      <x:c r="C58" s="136" t="str">
        <x:v>Nutrition for marathon running</x:v>
      </x:c>
      <x:c r="D58" s="136" t="str">
        <x:v>馬拉松補給</x:v>
      </x:c>
      <x:c r="E58" s="151" t="str">
        <x:v>https://pubmed.ncbi.nlm.nih.gov/17465604/</x:v>
      </x:c>
      <x:c r="F58" s="137" t="str">
        <x:v>2026-07-27</x:v>
      </x:c>
    </x:row>
    <x:row r="59" ht="44" customHeight="1">
      <x:c r="A59" s="135" t="str">
        <x:v>S055</x:v>
      </x:c>
      <x:c r="B59" s="136" t="str">
        <x:v>Medicine &amp; Science in Sports &amp; Exercise／PubMed</x:v>
      </x:c>
      <x:c r="C59" s="136" t="str">
        <x:v>Foam rolling and recovery</x:v>
      </x:c>
      <x:c r="D59" s="136" t="str">
        <x:v>滾筒與恢復</x:v>
      </x:c>
      <x:c r="E59" s="151" t="str">
        <x:v>https://pubmed.ncbi.nlm.nih.gov/24343353/</x:v>
      </x:c>
      <x:c r="F59" s="137" t="str">
        <x:v>2026-07-27</x:v>
      </x:c>
    </x:row>
    <x:row r="60" ht="44" customHeight="1">
      <x:c r="A60" s="135" t="str">
        <x:v>S056</x:v>
      </x:c>
      <x:c r="B60" s="136" t="str">
        <x:v>BMJ Open Sport &amp; Exercise Medicine／PubMed</x:v>
      </x:c>
      <x:c r="C60" s="136" t="str">
        <x:v>Massage and recovery meta-analysis</x:v>
      </x:c>
      <x:c r="D60" s="136" t="str">
        <x:v>按摩與恢復</x:v>
      </x:c>
      <x:c r="E60" s="151" t="str">
        <x:v>https://pubmed.ncbi.nlm.nih.gov/32426160/</x:v>
      </x:c>
      <x:c r="F60" s="137" t="str">
        <x:v>2026-07-27</x:v>
      </x:c>
    </x:row>
    <x:row r="61" ht="44" customHeight="1">
      <x:c r="A61" s="135" t="str">
        <x:v>S057</x:v>
      </x:c>
      <x:c r="B61" s="136" t="str">
        <x:v>Sports Medicine／PubMed</x:v>
      </x:c>
      <x:c r="C61" s="136" t="str">
        <x:v>Cold-water immersion for recovery</x:v>
      </x:c>
      <x:c r="D61" s="136" t="str">
        <x:v>冷水浸泡與恢復</x:v>
      </x:c>
      <x:c r="E61" s="151" t="str">
        <x:v>https://pubmed.ncbi.nlm.nih.gov/36527593/</x:v>
      </x:c>
      <x:c r="F61" s="137" t="str">
        <x:v>2026-07-27</x:v>
      </x:c>
    </x:row>
    <x:row r="62" ht="44" customHeight="1">
      <x:c r="A62" s="135" t="str">
        <x:v>S058</x:v>
      </x:c>
      <x:c r="B62" s="136" t="str">
        <x:v>AAOS</x:v>
      </x:c>
      <x:c r="C62" s="136" t="str">
        <x:v>Stress Fractures of the Foot and Ankle</x:v>
      </x:c>
      <x:c r="D62" s="136" t="str">
        <x:v>足踝骨壓力傷害</x:v>
      </x:c>
      <x:c r="E62" s="151" t="str">
        <x:v>https://orthoinfo.aaos.org/en/diseases--conditions/stress-fractures-of-the-foot-and-ankle/</x:v>
      </x:c>
      <x:c r="F62" s="137" t="str">
        <x:v>2026-07-27</x:v>
      </x:c>
    </x:row>
    <x:row r="63" ht="44" customHeight="1">
      <x:c r="A63" s="135" t="str">
        <x:v>S059</x:v>
      </x:c>
      <x:c r="B63" s="136" t="str">
        <x:v>AAOS</x:v>
      </x:c>
      <x:c r="C63" s="136" t="str">
        <x:v>Muscle Strains in the Thigh</x:v>
      </x:c>
      <x:c r="D63" s="136" t="str">
        <x:v>大腿肌肉拉傷</x:v>
      </x:c>
      <x:c r="E63" s="151" t="str">
        <x:v>https://orthoinfo.aaos.org/en/diseases--conditions/muscle-strains-in-the-thigh/</x:v>
      </x:c>
      <x:c r="F63" s="137" t="str">
        <x:v>2026-07-27</x:v>
      </x:c>
    </x:row>
    <x:row r="64" ht="44" customHeight="1">
      <x:c r="A64" s="135" t="str">
        <x:v>S060</x:v>
      </x:c>
      <x:c r="B64" s="136" t="str">
        <x:v>BJSM</x:v>
      </x:c>
      <x:c r="C64" s="136" t="str">
        <x:v>Youth running consensus statement</x:v>
      </x:c>
      <x:c r="D64" s="136" t="str">
        <x:v>青少年跑者</x:v>
      </x:c>
      <x:c r="E64" s="151" t="str">
        <x:v>https://bjsm.bmj.com/content/55/6/305</x:v>
      </x:c>
      <x:c r="F64" s="137" t="str">
        <x:v>2026-07-27</x:v>
      </x:c>
    </x:row>
    <x:row r="65" ht="44" customHeight="1">
      <x:c r="A65" s="135" t="str">
        <x:v>S061</x:v>
      </x:c>
      <x:c r="B65" s="136" t="str">
        <x:v>World Athletics</x:v>
      </x:c>
      <x:c r="C65" s="136" t="str">
        <x:v>Nutrition for Ultramarathon Running</x:v>
      </x:c>
      <x:c r="D65" s="136" t="str">
        <x:v>超長距離補給與腸胃</x:v>
      </x:c>
      <x:c r="E65" s="151" t="str">
        <x:v>https://worldathletics.org/download/download?filename=60b9a7fd-effa-4234-b4ab-daf4021aadf3.pdf&amp;urlslug=Nutrition+for+Ultramarathon+Running%3A+Trail%2C+Track%2C+and+Road</x:v>
      </x:c>
      <x:c r="F65" s="137" t="str">
        <x:v>2026-07-27</x:v>
      </x:c>
    </x:row>
    <x:row r="66" ht="44" customHeight="1">
      <x:c r="A66" s="135" t="str">
        <x:v>S062</x:v>
      </x:c>
      <x:c r="B66" s="136" t="str">
        <x:v>World Athletics</x:v>
      </x:c>
      <x:c r="C66" s="136" t="str">
        <x:v>Dietary Practices Adopted by Track-and-Field Athletes</x:v>
      </x:c>
      <x:c r="D66" s="136" t="str">
        <x:v>低 FODMAP、素食與特殊飲食</x:v>
      </x:c>
      <x:c r="E66" s="151" t="str">
        <x:v>https://worldathletics.org/download/download?filename=fc05d994-f5fc-403c-8469-c3329294526c.pdf&amp;urlslug=Dietary+Practices+Adopted+by+Track-and-Field+Athletes%3A+Gluten-Free%2C+Low+FODMAP%2C+Vegetarian%2C+and+Fasting</x:v>
      </x:c>
      <x:c r="F66" s="137" t="str">
        <x:v>2026-07-27</x:v>
      </x:c>
    </x:row>
    <x:row r="67" ht="44" customHeight="1">
      <x:c r="A67" s="135" t="str">
        <x:v>S063</x:v>
      </x:c>
      <x:c r="B67" s="136" t="str">
        <x:v>American Heart Association（AHA）</x:v>
      </x:c>
      <x:c r="C67" s="136" t="str">
        <x:v>Recommendations for Physical Activity in Adults</x:v>
      </x:c>
      <x:c r="D67" s="136" t="str">
        <x:v>一般成人運動量</x:v>
      </x:c>
      <x:c r="E67" s="151" t="str">
        <x:v>https://www.heart.org/en/healthy-living/exercise-and-physical-activity/fitness-basics/aha-recs-for-physical-activity-in-adults</x:v>
      </x:c>
      <x:c r="F67" s="137" t="str">
        <x:v>2026-07-27</x:v>
      </x:c>
    </x:row>
    <x:row r="68" ht="44" customHeight="1">
      <x:c r="A68" s="135" t="str">
        <x:v>S064</x:v>
      </x:c>
      <x:c r="B68" s="136" t="str">
        <x:v>World Athletics</x:v>
      </x:c>
      <x:c r="C68" s="136" t="str">
        <x:v>Exercise-Induced Illness and Inflammation</x:v>
      </x:c>
      <x:c r="D68" s="136" t="str">
        <x:v>疾病、免疫與鐵</x:v>
      </x:c>
      <x:c r="E68" s="151" t="str">
        <x:v>https://worldathletics.org/download/download?filename=d3f1f84d-74d5-4fed-8593-cc959727d9db.pdf&amp;urlslug=Exercise-Induced+Illness+and+Inflammation%3A+Can+Immunonutrition+and+Iron+Help%3F</x:v>
      </x:c>
      <x:c r="F68" s="137" t="str">
        <x:v>2026-07-27</x:v>
      </x:c>
    </x:row>
    <x:row r="69" ht="44" customHeight="1">
      <x:c r="A69" s="135" t="str">
        <x:v>S065</x:v>
      </x:c>
      <x:c r="B69" s="136" t="str">
        <x:v>國際奧會（IOC）／BJSM</x:v>
      </x:c>
      <x:c r="C69" s="136" t="str">
        <x:v>Dietary supplements and the high-performance athlete</x:v>
      </x:c>
      <x:c r="D69" s="136" t="str">
        <x:v>補充品風險與第三方檢測</x:v>
      </x:c>
      <x:c r="E69" s="151" t="str">
        <x:v>https://bjsm.bmj.com/content/52/7/439</x:v>
      </x:c>
      <x:c r="F69" s="137" t="str">
        <x:v>2026-07-27</x:v>
      </x:c>
    </x:row>
    <x:row r="70" ht="44" customHeight="1">
      <x:c r="A70" s="135" t="str">
        <x:v>S066</x:v>
      </x:c>
      <x:c r="B70" s="136" t="str">
        <x:v>AAOS</x:v>
      </x:c>
      <x:c r="C70" s="136" t="str">
        <x:v>Achilles Tendon Rupture</x:v>
      </x:c>
      <x:c r="D70" s="136" t="str">
        <x:v>阿基里斯腱斷裂</x:v>
      </x:c>
      <x:c r="E70" s="151" t="str">
        <x:v>https://orthoinfo.aaos.org/en/diseases--conditions/achilles-tendon-rupture-tear/</x:v>
      </x:c>
      <x:c r="F70" s="137" t="str">
        <x:v>2026-07-27</x:v>
      </x:c>
    </x:row>
    <x:row r="71" ht="44" customHeight="1">
      <x:c r="A71" s="135" t="str">
        <x:v>S067</x:v>
      </x:c>
      <x:c r="B71" s="136" t="str">
        <x:v>AAOS</x:v>
      </x:c>
      <x:c r="C71" s="136" t="str">
        <x:v>Muscle Cramps</x:v>
      </x:c>
      <x:c r="D71" s="136" t="str">
        <x:v>抽筋處置</x:v>
      </x:c>
      <x:c r="E71" s="151" t="str">
        <x:v>https://orthoinfo.aaos.org/en/diseases--conditions/muscle-cramps</x:v>
      </x:c>
      <x:c r="F71" s="137" t="str">
        <x:v>2026-07-27</x:v>
      </x:c>
    </x:row>
    <x:row r="72" ht="44" customHeight="1">
      <x:c r="A72" s="135" t="str">
        <x:v>S068</x:v>
      </x:c>
      <x:c r="B72" s="136" t="str">
        <x:v>AAOS</x:v>
      </x:c>
      <x:c r="C72" s="136" t="str">
        <x:v>Relative Energy Deficiency in Sport</x:v>
      </x:c>
      <x:c r="D72" s="136" t="str">
        <x:v>RED-S 與骨骼健康</x:v>
      </x:c>
      <x:c r="E72" s="151" t="str">
        <x:v>https://orthoinfo.aaos.org/en/diseases--conditions/relative-energy-deficiency-in-sport-reds/</x:v>
      </x:c>
      <x:c r="F72" s="137" t="str">
        <x:v>2026-07-27</x:v>
      </x:c>
    </x:row>
    <x:row r="73" ht="44" customHeight="1">
      <x:c r="A73" s="135" t="str">
        <x:v>S069</x:v>
      </x:c>
      <x:c r="B73" s="136" t="str">
        <x:v>國際奧會（IOC）／BJSM</x:v>
      </x:c>
      <x:c r="C73" s="136" t="str">
        <x:v>Pain management in elite athletes</x:v>
      </x:c>
      <x:c r="D73" s="136" t="str">
        <x:v>止痛藥與風險</x:v>
      </x:c>
      <x:c r="E73" s="151" t="str">
        <x:v>https://bjsm.bmj.com/content/51/17/1245</x:v>
      </x:c>
      <x:c r="F73" s="137" t="str">
        <x:v>2026-07-27</x:v>
      </x:c>
    </x:row>
    <x:row r="74" ht="44" customHeight="1">
      <x:c r="A74" s="135" t="str">
        <x:v>S070</x:v>
      </x:c>
      <x:c r="B74" s="136" t="str">
        <x:v>World Athletics</x:v>
      </x:c>
      <x:c r="C74" s="136" t="str">
        <x:v>A Framework for Periodized Nutrition</x:v>
      </x:c>
      <x:c r="D74" s="136" t="str">
        <x:v>營養週期化</x:v>
      </x:c>
      <x:c r="E74" s="151" t="str">
        <x:v>https://worldathletics.org/download/download?filename=7306a4e3-7227-4016-8d25-c34110751292.pdf&amp;urlslug=A+Framework+for+Periodized+Nutrition+for+Athletics</x:v>
      </x:c>
      <x:c r="F74" s="137" t="str">
        <x:v>2026-07-27</x:v>
      </x:c>
    </x:row>
    <x:row r="75" ht="44" customHeight="1">
      <x:c r="A75" s="135" t="str">
        <x:v>S071</x:v>
      </x:c>
      <x:c r="B75" s="136" t="str">
        <x:v>Cochrane／PubMed</x:v>
      </x:c>
      <x:c r="C75" s="136" t="str">
        <x:v>Post-exercise stretching for recovery</x:v>
      </x:c>
      <x:c r="D75" s="136" t="str">
        <x:v>運動後伸展</x:v>
      </x:c>
      <x:c r="E75" s="151" t="str">
        <x:v>https://pubmed.ncbi.nlm.nih.gov/34025459/</x:v>
      </x:c>
      <x:c r="F75" s="137" t="str">
        <x:v>2026-07-27</x:v>
      </x:c>
    </x:row>
    <x:row r="76" ht="44" customHeight="1">
      <x:c r="A76" s="135" t="str">
        <x:v>S072</x:v>
      </x:c>
      <x:c r="B76" s="136" t="str">
        <x:v>AAOS</x:v>
      </x:c>
      <x:c r="C76" s="136" t="str">
        <x:v>Starting an Exercise Program</x:v>
      </x:c>
      <x:c r="D76" s="136" t="str">
        <x:v>開始運動與風險評估</x:v>
      </x:c>
      <x:c r="E76" s="151" t="str">
        <x:v>https://orthoinfo.aaos.org/en/staying-healthy/starting-an-exercise-program/</x:v>
      </x:c>
      <x:c r="F76" s="137" t="str">
        <x:v>2026-07-27</x:v>
      </x:c>
    </x:row>
    <x:row r="77" ht="44" customHeight="1">
      <x:c r="A77" s="135" t="str">
        <x:v>S073</x:v>
      </x:c>
      <x:c r="B77" s="136" t="str">
        <x:v>Medicine &amp; Science in Sports &amp; Exercise／PubMed</x:v>
      </x:c>
      <x:c r="C77" s="136" t="str">
        <x:v>Longest endurance run and durability</x:v>
      </x:c>
      <x:c r="D77" s="136" t="str">
        <x:v>長跑耐久力</x:v>
      </x:c>
      <x:c r="E77" s="151" t="str">
        <x:v>https://pubmed.ncbi.nlm.nih.gov/40878015/</x:v>
      </x:c>
      <x:c r="F77" s="137" t="str">
        <x:v>2026-07-27</x:v>
      </x:c>
    </x:row>
    <x:row r="78" ht="44" customHeight="1">
      <x:c r="A78" s="135" t="str">
        <x:v>S074</x:v>
      </x:c>
      <x:c r="B78" s="136" t="str">
        <x:v>Scandinavian Journal of Medicine &amp; Science in Sports／PubMed</x:v>
      </x:c>
      <x:c r="C78" s="136" t="str">
        <x:v>Training disruptions and marathon performance</x:v>
      </x:c>
      <x:c r="D78" s="136" t="str">
        <x:v>訓練中斷與賽事結果</x:v>
      </x:c>
      <x:c r="E78" s="151" t="str">
        <x:v>https://pubmed.ncbi.nlm.nih.gov/36704260/</x:v>
      </x:c>
      <x:c r="F78" s="137" t="str">
        <x:v>2026-07-27</x:v>
      </x:c>
    </x:row>
    <x:row r="79" ht="44" customHeight="1">
      <x:c r="A79" s="135" t="str">
        <x:v>S075</x:v>
      </x:c>
      <x:c r="B79" s="136" t="str">
        <x:v>Sports Medicine／PubMed</x:v>
      </x:c>
      <x:c r="C79" s="136" t="str">
        <x:v>Interval training review</x:v>
      </x:c>
      <x:c r="D79" s="136" t="str">
        <x:v>間歇訓練設計</x:v>
      </x:c>
      <x:c r="E79" s="151" t="str">
        <x:v>https://pubmed.ncbi.nlm.nih.gov/11219499/</x:v>
      </x:c>
      <x:c r="F79" s="137" t="str">
        <x:v>2026-07-27</x:v>
      </x:c>
    </x:row>
    <x:row r="80" ht="44" customHeight="1">
      <x:c r="A80" s="135" t="str">
        <x:v>S076</x:v>
      </x:c>
      <x:c r="B80" s="136" t="str">
        <x:v>Journal of Strength and Conditioning Research／PubMed</x:v>
      </x:c>
      <x:c r="C80" s="136" t="str">
        <x:v>Uphill interval running</x:v>
      </x:c>
      <x:c r="D80" s="136" t="str">
        <x:v>坡跑間歇</x:v>
      </x:c>
      <x:c r="E80" s="151" t="str">
        <x:v>https://pubmed.ncbi.nlm.nih.gov/22996027/</x:v>
      </x:c>
      <x:c r="F80" s="137" t="str">
        <x:v>2026-07-27</x:v>
      </x:c>
    </x:row>
    <x:row r="81" ht="44" customHeight="1">
      <x:c r="A81" s="135" t="str">
        <x:v>S077</x:v>
      </x:c>
      <x:c r="B81" s="136" t="str">
        <x:v>Medicine &amp; Science in Sports &amp; Exercise／PubMed</x:v>
      </x:c>
      <x:c r="C81" s="136" t="str">
        <x:v>Precompetition tapering</x:v>
      </x:c>
      <x:c r="D81" s="136" t="str">
        <x:v>賽前減量原則</x:v>
      </x:c>
      <x:c r="E81" s="151" t="str">
        <x:v>https://pubmed.ncbi.nlm.nih.gov/12840640/</x:v>
      </x:c>
      <x:c r="F81" s="137" t="str">
        <x:v>2026-07-27</x:v>
      </x:c>
    </x:row>
    <x:row r="82" ht="44" customHeight="1">
      <x:c r="A82" s="135" t="str">
        <x:v>S078</x:v>
      </x:c>
      <x:c r="B82" s="136" t="str">
        <x:v>Sports Medicine／PubMed</x:v>
      </x:c>
      <x:c r="C82" s="136" t="str">
        <x:v>Psychological interventions for endurance performance</x:v>
      </x:c>
      <x:c r="D82" s="136" t="str">
        <x:v>意象、自我對話與目標</x:v>
      </x:c>
      <x:c r="E82" s="151" t="str">
        <x:v>https://pubmed.ncbi.nlm.nih.gov/37812334/</x:v>
      </x:c>
      <x:c r="F82" s="137" t="str">
        <x:v>2026-07-27</x:v>
      </x:c>
    </x:row>
    <x:row r="83" ht="44" customHeight="1">
      <x:c r="A83" s="135" t="str">
        <x:v>S079</x:v>
      </x:c>
      <x:c r="B83" s="136" t="str">
        <x:v>World Athletics</x:v>
      </x:c>
      <x:c r="C83" s="136" t="str">
        <x:v>Anti-Doping Rules</x:v>
      </x:c>
      <x:c r="D83" s="136" t="str">
        <x:v>補充品與禁藥責任</x:v>
      </x:c>
      <x:c r="E83" s="151" t="str">
        <x:v>https://worldathletics.org/download/download?filename=ebd30cca-9461-4ed8-8f6e-49521f6bd93e.pdf&amp;urlslug=D3.1+Anti-Doping+Rules</x:v>
      </x:c>
      <x:c r="F83" s="137" t="str">
        <x:v>2026-07-27</x:v>
      </x:c>
    </x:row>
    <x:row r="84" ht="44" customHeight="1">
      <x:c r="A84" s="138" t="str">
        <x:v>S080</x:v>
      </x:c>
      <x:c r="B84" s="139" t="str">
        <x:v>BJSM</x:v>
      </x:c>
      <x:c r="C84" s="139" t="str">
        <x:v>International Delphi on bone stress injuries</x:v>
      </x:c>
      <x:c r="D84" s="139" t="str">
        <x:v>骨壓力傷害風險分層</x:v>
      </x:c>
      <x:c r="E84" s="152" t="str">
        <x:v>https://bjsm.bmj.com/content/59/2/78</x:v>
      </x:c>
      <x:c r="F84" s="140" t="str">
        <x:v>2026-07-27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3bd63f653e34433"/>
  </x:tableParts>
</x:worksheet>
</file>