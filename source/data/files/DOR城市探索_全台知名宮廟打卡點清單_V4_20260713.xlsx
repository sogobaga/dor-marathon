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47cee4639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宮廟打卡點清單" sheetId="1" r:id="Rab2dc0b765ca44d6"/>
    <x:sheet xmlns:r="http://schemas.openxmlformats.org/officeDocument/2006/relationships" name="縣市統計" sheetId="2" r:id="Rba8510a8476e4e6c"/>
    <x:sheet xmlns:r="http://schemas.openxmlformats.org/officeDocument/2006/relationships" name="大型場域複核" sheetId="3" r:id="R96f198a941494d9a"/>
    <x:sheet xmlns:r="http://schemas.openxmlformats.org/officeDocument/2006/relationships" name="使用說明" sheetId="4" r:id="R6aab79a35b5c4e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"/>
    <x:numFmt numFmtId="202" formatCode="0.00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1"/>
      <x:color rgb="FF581C87"/>
      <x:name val="Carlito"/>
    </x:font>
    <x:font>
      <x:b/>
      <x:sz val="16"/>
      <x:color rgb="FFFFFFFF"/>
      <x:name val="Carlito"/>
    </x:font>
    <x:font>
      <x:b/>
      <x:sz val="11"/>
      <x:color rgb="FF83184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A1F2B"/>
      </x:patternFill>
    </x:fill>
    <x:fill>
      <x:patternFill patternType="solid">
        <x:fgColor rgb="FFF3E8FF"/>
      </x:patternFill>
    </x:fill>
    <x:fill>
      <x:patternFill patternType="solid">
        <x:fgColor rgb="FFFCE7F3"/>
      </x:patternFill>
    </x:fill>
  </x:fills>
  <x:borders count="1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bottom/>
    </x:border>
    <x:border>
      <x:top/>
      <x:bottom/>
    </x:border>
    <x:border>
      <x:top/>
      <x:bottom/>
    </x:border>
    <x:border>
      <x:top/>
      <x:bottom/>
    </x:border>
    <x:border>
      <x:top/>
      <x:bottom/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8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1" fontId="2" fillId="0" borderId="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1" xfId="0" applyNumberFormat="1" applyFont="1" applyFill="1" applyBorder="1"/>
    <x:xf numFmtId="0" fontId="0" fillId="0" borderId="0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3" borderId="12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3" fillId="3" borderId="12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3" fillId="3" borderId="1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D174D"/>
      </x:font>
      <x:fill>
        <x:patternFill patternType="solid">
          <x:bgColor rgb="FFFCE7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e3bba71f5436e" /><Relationship Type="http://schemas.openxmlformats.org/officeDocument/2006/relationships/theme" Target="/xl/theme/theme1.xml" Id="R98a99aed500647c2" /><Relationship Type="http://schemas.openxmlformats.org/officeDocument/2006/relationships/sharedStrings" Target="/xl/sharedStrings.xml" Id="Re4c357ee8594461a" /><Relationship Type="http://schemas.openxmlformats.org/officeDocument/2006/relationships/worksheet" Target="/xl/worksheets/sheet1.xml" Id="Rab2dc0b765ca44d6" /><Relationship Type="http://schemas.openxmlformats.org/officeDocument/2006/relationships/worksheet" Target="/xl/worksheets/sheet2.xml" Id="Rba8510a8476e4e6c" /><Relationship Type="http://schemas.openxmlformats.org/officeDocument/2006/relationships/worksheet" Target="/xl/worksheets/sheet3.xml" Id="R96f198a941494d9a" /><Relationship Type="http://schemas.openxmlformats.org/officeDocument/2006/relationships/worksheet" Target="/xl/worksheets/sheet4.xml" Id="R6aab79a35b5c4e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cbb89546d446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各縣市知名宮廟收錄數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收錄筆數</c:v>
          </c:tx>
          <c:cat>
            <c:strRef>
              <c:f>'縣市統計'!$A$2:$A$23</c:f>
              <c:strCache>
                <c:ptCount val="0"/>
              </c:strCache>
            </c:strRef>
          </c:cat>
          <c:val>
            <c:numRef>
              <c:f>'縣市統計'!$B$2:$B$23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cbb89546d4466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mpleLocationsTable" displayName="TempleLocationsTable" ref="A1:AB146" headerRowCount="1">
  <x:tableColumns count="28">
    <x:tableColumn id="1" name="index"/>
    <x:tableColumn id="2" name="地點ID"/>
    <x:tableColumn id="3" name="縣市"/>
    <x:tableColumn id="4" name="行政區"/>
    <x:tableColumn id="5" name="類型"/>
    <x:tableColumn id="6" name="地點名稱"/>
    <x:tableColumn id="7" name="打卡點定位"/>
    <x:tableColumn id="8" name="緯度"/>
    <x:tableColumn id="9" name="經度"/>
    <x:tableColumn id="10" name="星等"/>
    <x:tableColumn id="11" name="星等顯示"/>
    <x:tableColumn id="12" name="知名度層級"/>
    <x:tableColumn id="13" name="主祀神祇"/>
    <x:tableColumn id="14" name="熱門理由"/>
    <x:tableColumn id="15" name="建議任務"/>
    <x:tableColumn id="16" name="開放性備註"/>
    <x:tableColumn id="17" name="GPS半徑建議m"/>
    <x:tableColumn id="18" name="座標可信度"/>
    <x:tableColumn id="19" name="座標設定說明"/>
    <x:tableColumn id="20" name="主類別"/>
    <x:tableColumn id="21" name="所在地址"/>
    <x:tableColumn id="22" name="Google Maps搜尋連結"/>
    <x:tableColumn id="23" name="Google Maps座標連結"/>
    <x:tableColumn id="24" name="資料來源類型"/>
    <x:tableColumn id="25" name="整理日期"/>
    <x:tableColumn id="26" name="收錄版本"/>
    <x:tableColumn id="27" name="去重備註"/>
    <x:tableColumn id="28" name="資料複核建議"/>
  </x:tableColumns>
  <x:tableStyleInfo name="TableStyleMedium2" showRowStripes="1"/>
</x:table>
</file>

<file path=xl/tables/table2.xml><?xml version="1.0" encoding="utf-8"?>
<x:table xmlns:x="http://schemas.openxmlformats.org/spreadsheetml/2006/main" id="2" name="LargeSiteReviewTable" displayName="LargeSiteReviewTable" ref="A1:J18" headerRowCount="1">
  <x:tableColumns count="10">
    <x:tableColumn id="1" name="地點ID"/>
    <x:tableColumn id="2" name="縣市"/>
    <x:tableColumn id="3" name="行政區"/>
    <x:tableColumn id="4" name="地點名稱"/>
    <x:tableColumn id="5" name="緯度"/>
    <x:tableColumn id="6" name="經度"/>
    <x:tableColumn id="7" name="GPS半徑建議m"/>
    <x:tableColumn id="8" name="座標設定說明"/>
    <x:tableColumn id="9" name="Google Maps座標連結"/>
    <x:tableColumn id="10" name="資料複核建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4fa83a433042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56dff62e5f549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5fa08aaaff40ac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7" hidden="0" customWidth="1"/>
    <x:col min="3" max="3" width="11" hidden="0" customWidth="1"/>
    <x:col min="4" max="4" width="11" hidden="0" customWidth="1"/>
    <x:col min="5" max="5" width="18" hidden="0" customWidth="1"/>
    <x:col min="6" max="6" width="22" hidden="0" customWidth="1"/>
    <x:col min="7" max="7" width="20" hidden="0" customWidth="1"/>
    <x:col min="8" max="8" width="13" hidden="0" customWidth="1"/>
    <x:col min="9" max="9" width="13" hidden="0" customWidth="1"/>
    <x:col min="10" max="10" width="8" hidden="0" customWidth="1"/>
    <x:col min="11" max="11" width="12" hidden="0" customWidth="1"/>
    <x:col min="12" max="12" width="13" hidden="0" customWidth="1"/>
    <x:col min="13" max="13" width="18" hidden="0" customWidth="1"/>
    <x:col min="14" max="14" width="34" hidden="0" customWidth="1"/>
    <x:col min="15" max="15" width="38" hidden="0" customWidth="1"/>
    <x:col min="16" max="16" width="38" hidden="0" customWidth="1"/>
    <x:col min="17" max="17" width="14" hidden="0" customWidth="1"/>
    <x:col min="18" max="18" width="12" hidden="0" customWidth="1"/>
    <x:col min="19" max="19" width="38" hidden="0" customWidth="1"/>
    <x:col min="20" max="20" width="18" hidden="0" customWidth="1"/>
    <x:col min="21" max="21" width="34" hidden="0" customWidth="1"/>
    <x:col min="22" max="22" width="46" hidden="0" customWidth="1"/>
    <x:col min="23" max="23" width="46" hidden="0" customWidth="1"/>
    <x:col min="24" max="24" width="38" hidden="0" customWidth="1"/>
    <x:col min="25" max="25" width="12" hidden="0" customWidth="1"/>
    <x:col min="26" max="26" width="20" hidden="0" customWidth="1"/>
    <x:col min="27" max="27" width="38" hidden="0" customWidth="1"/>
    <x:col min="28" max="28" width="38" hidden="0" customWidth="1"/>
  </x:cols>
  <x:sheetData>
    <x:row r="1">
      <x:c r="A1" s="13" t="str">
        <x:v>index</x:v>
      </x:c>
      <x:c r="B1" s="14" t="str">
        <x:v>地點ID</x:v>
      </x:c>
      <x:c r="C1" s="14" t="str">
        <x:v>縣市</x:v>
      </x:c>
      <x:c r="D1" s="14" t="str">
        <x:v>行政區</x:v>
      </x:c>
      <x:c r="E1" s="14" t="str">
        <x:v>類型</x:v>
      </x:c>
      <x:c r="F1" s="14" t="str">
        <x:v>地點名稱</x:v>
      </x:c>
      <x:c r="G1" s="14" t="str">
        <x:v>打卡點定位</x:v>
      </x:c>
      <x:c r="H1" s="14" t="str">
        <x:v>緯度</x:v>
      </x:c>
      <x:c r="I1" s="14" t="str">
        <x:v>經度</x:v>
      </x:c>
      <x:c r="J1" s="14" t="str">
        <x:v>星等</x:v>
      </x:c>
      <x:c r="K1" s="14" t="str">
        <x:v>星等顯示</x:v>
      </x:c>
      <x:c r="L1" s="14" t="str">
        <x:v>知名度層級</x:v>
      </x:c>
      <x:c r="M1" s="14" t="str">
        <x:v>主祀神祇</x:v>
      </x:c>
      <x:c r="N1" s="14" t="str">
        <x:v>熱門理由</x:v>
      </x:c>
      <x:c r="O1" s="14" t="str">
        <x:v>建議任務</x:v>
      </x:c>
      <x:c r="P1" s="14" t="str">
        <x:v>開放性備註</x:v>
      </x:c>
      <x:c r="Q1" s="14" t="str">
        <x:v>GPS半徑建議m</x:v>
      </x:c>
      <x:c r="R1" s="14" t="str">
        <x:v>座標可信度</x:v>
      </x:c>
      <x:c r="S1" s="14" t="str">
        <x:v>座標設定說明</x:v>
      </x:c>
      <x:c r="T1" s="14" t="str">
        <x:v>主類別</x:v>
      </x:c>
      <x:c r="U1" s="14" t="str">
        <x:v>所在地址</x:v>
      </x:c>
      <x:c r="V1" s="14" t="str">
        <x:v>Google Maps搜尋連結</x:v>
      </x:c>
      <x:c r="W1" s="14" t="str">
        <x:v>Google Maps座標連結</x:v>
      </x:c>
      <x:c r="X1" s="14" t="str">
        <x:v>資料來源類型</x:v>
      </x:c>
      <x:c r="Y1" s="14" t="str">
        <x:v>整理日期</x:v>
      </x:c>
      <x:c r="Z1" s="14" t="str">
        <x:v>收錄版本</x:v>
      </x:c>
      <x:c r="AA1" s="14" t="str">
        <x:v>去重備註</x:v>
      </x:c>
      <x:c r="AB1" s="15" t="str">
        <x:v>資料複核建議</x:v>
      </x:c>
    </x:row>
    <x:row r="2">
      <x:c r="A2" s="34" t="n">
        <x:v>1</x:v>
      </x:c>
      <x:c r="B2" s="34" t="str">
        <x:v>DOR-TPE-M001</x:v>
      </x:c>
      <x:c r="C2" s="34" t="str">
        <x:v>臺北市</x:v>
      </x:c>
      <x:c r="D2" s="34" t="str">
        <x:v>萬華區</x:v>
      </x:c>
      <x:c r="E2" s="34" t="str">
        <x:v>寺廟／國定古蹟</x:v>
      </x:c>
      <x:c r="F2" s="34" t="str">
        <x:v>艋舺龍山寺</x:v>
      </x:c>
      <x:c r="G2" s="34" t="str">
        <x:v>主要入口／廟埕代表點</x:v>
      </x:c>
      <x:c r="H2" s="38" t="n">
        <x:v>25.037162</x:v>
      </x:c>
      <x:c r="I2" s="38" t="n">
        <x:v>121.499901</x:v>
      </x:c>
      <x:c r="J2" s="42" t="n">
        <x:v>5</x:v>
      </x:c>
      <x:c r="K2" s="34" t="str">
        <x:v>★★★★★</x:v>
      </x:c>
      <x:c r="L2" s="34" t="str">
        <x:v>全國級</x:v>
      </x:c>
      <x:c r="M2" s="34" t="str">
        <x:v>觀世音菩薩</x:v>
      </x:c>
      <x:c r="N2" s="34" t="str">
        <x:v>臺北最具代表性的傳統寺廟之一，結合古蹟、夜市與老城散步動線。</x:v>
      </x:c>
      <x:c r="O2" s="34" t="str">
        <x:v>文化主線任務｜完成正門打卡、代表建築拍照與周邊街區散步，解鎖宮廟文化徽章。</x:v>
      </x:c>
      <x:c r="P2" s="34" t="str">
        <x:v>宗教場所通常對外開放；祭典、法會、整修或人流管制請依廟方與 Google Maps 最新公告。</x:v>
      </x:c>
      <x:c r="Q2" s="42" t="n">
        <x:v>70</x:v>
      </x:c>
      <x:c r="R2" s="34" t="str">
        <x:v>A</x:v>
      </x:c>
      <x:c r="S2" s="34" t="str">
        <x:v>Google Maps POI 圖釘；以廟埕或主要入口作為任務代表點</x:v>
      </x:c>
      <x:c r="T2" s="34" t="str">
        <x:v>宮廟／宗教文化</x:v>
      </x:c>
      <x:c r="U2" s="34" t="str">
        <x:v>臺北市萬華區廣州街211號</x:v>
      </x:c>
      <x:c r="V2" s="34" t="str">
        <x:v>https://www.google.com/maps/search/?api=1&amp;query=%E8%89%8B%E8%88%BA%E9%BE%8D%E5%B1%B1%E5%AF%BA%20%E8%87%BA%E5%8C%97%E5%B8%82%20%E8%90%AC%E8%8F%AF%E5%8D%80</x:v>
      </x:c>
      <x:c r="W2" s="34" t="str">
        <x:v>https://www.google.com/maps?q=25.037162,121.499901</x:v>
      </x:c>
      <x:c r="X2" s="34" t="str">
        <x:v>Google Maps POI 主定位＋政府宗教資料／官方廟方資料交叉整理</x:v>
      </x:c>
      <x:c r="Y2" s="34" t="str">
        <x:v>2026-07-13</x:v>
      </x:c>
      <x:c r="Z2" s="34" t="str">
        <x:v>V4-宮廟知名地點池</x:v>
      </x:c>
      <x:c r="AA2" s="34" t="str">
        <x:v>以正式廟名、所在縣市與 Google Maps POI 區分同名宮廟。</x:v>
      </x:c>
      <x:c r="AB2" s="34" t="str">
        <x:v>正式上線前點開 Google Maps 連結，確認主入口、廟埕與任務圓心沒有落在後殿、停車場或山區道路。</x:v>
      </x:c>
    </x:row>
    <x:row r="3">
      <x:c r="A3" s="34" t="n">
        <x:v>2</x:v>
      </x:c>
      <x:c r="B3" s="34" t="str">
        <x:v>DOR-TPE-M002</x:v>
      </x:c>
      <x:c r="C3" s="34" t="str">
        <x:v>臺北市</x:v>
      </x:c>
      <x:c r="D3" s="34" t="str">
        <x:v>中山區</x:v>
      </x:c>
      <x:c r="E3" s="34" t="str">
        <x:v>宮廟</x:v>
      </x:c>
      <x:c r="F3" s="34" t="str">
        <x:v>行天宮</x:v>
      </x:c>
      <x:c r="G3" s="34" t="str">
        <x:v>主要入口／廟埕代表點</x:v>
      </x:c>
      <x:c r="H3" s="38" t="n">
        <x:v>25.063114</x:v>
      </x:c>
      <x:c r="I3" s="38" t="n">
        <x:v>121.533957</x:v>
      </x:c>
      <x:c r="J3" s="42" t="n">
        <x:v>5</x:v>
      </x:c>
      <x:c r="K3" s="34" t="str">
        <x:v>★★★★★</x:v>
      </x:c>
      <x:c r="L3" s="34" t="str">
        <x:v>全國級</x:v>
      </x:c>
      <x:c r="M3" s="34" t="str">
        <x:v>關聖帝君</x:v>
      </x:c>
      <x:c r="N3" s="34" t="str">
        <x:v>都會區香火極盛，交通便利，適合日常祈福散步與捷運周邊任務。</x:v>
      </x:c>
      <x:c r="O3" s="34" t="str">
        <x:v>文化主線任務｜完成正門打卡、代表建築拍照與周邊街區散步，解鎖宮廟文化徽章。</x:v>
      </x:c>
      <x:c r="P3" s="34" t="str">
        <x:v>宗教場所通常對外開放；祭典、法會、整修或人流管制請依廟方與 Google Maps 最新公告。</x:v>
      </x:c>
      <x:c r="Q3" s="42" t="n">
        <x:v>60</x:v>
      </x:c>
      <x:c r="R3" s="34" t="str">
        <x:v>A</x:v>
      </x:c>
      <x:c r="S3" s="34" t="str">
        <x:v>Google Maps POI 圖釘；以廟埕或主要入口作為任務代表點</x:v>
      </x:c>
      <x:c r="T3" s="34" t="str">
        <x:v>宮廟／宗教文化</x:v>
      </x:c>
      <x:c r="U3" s="34" t="str">
        <x:v>臺北市中山區民權東路二段109號</x:v>
      </x:c>
      <x:c r="V3" s="34" t="str">
        <x:v>https://www.google.com/maps/search/?api=1&amp;query=%E8%A1%8C%E5%A4%A9%E5%AE%AE%20%E8%87%BA%E5%8C%97%E5%B8%82%20%E4%B8%AD%E5%B1%B1%E5%8D%80</x:v>
      </x:c>
      <x:c r="W3" s="34" t="str">
        <x:v>https://www.google.com/maps?q=25.063114,121.533957</x:v>
      </x:c>
      <x:c r="X3" s="34" t="str">
        <x:v>Google Maps POI 主定位＋政府宗教資料／官方廟方資料交叉整理</x:v>
      </x:c>
      <x:c r="Y3" s="34" t="str">
        <x:v>2026-07-13</x:v>
      </x:c>
      <x:c r="Z3" s="34" t="str">
        <x:v>V4-宮廟知名地點池</x:v>
      </x:c>
      <x:c r="AA3" s="34" t="str">
        <x:v>以正式廟名、所在縣市與 Google Maps POI 區分同名宮廟。</x:v>
      </x:c>
      <x:c r="AB3" s="34" t="str">
        <x:v>正式上線前點開 Google Maps 連結，確認主入口、廟埕與任務圓心沒有落在後殿、停車場或山區道路。</x:v>
      </x:c>
    </x:row>
    <x:row r="4">
      <x:c r="A4" s="34" t="n">
        <x:v>3</x:v>
      </x:c>
      <x:c r="B4" s="34" t="str">
        <x:v>DOR-TPE-M003</x:v>
      </x:c>
      <x:c r="C4" s="34" t="str">
        <x:v>臺北市</x:v>
      </x:c>
      <x:c r="D4" s="34" t="str">
        <x:v>大同區</x:v>
      </x:c>
      <x:c r="E4" s="34" t="str">
        <x:v>宮廟／國定古蹟</x:v>
      </x:c>
      <x:c r="F4" s="34" t="str">
        <x:v>大龍峒保安宮</x:v>
      </x:c>
      <x:c r="G4" s="34" t="str">
        <x:v>主要入口／廟埕代表點</x:v>
      </x:c>
      <x:c r="H4" s="38" t="n">
        <x:v>25.07307</x:v>
      </x:c>
      <x:c r="I4" s="38" t="n">
        <x:v>121.51555</x:v>
      </x:c>
      <x:c r="J4" s="42" t="n">
        <x:v>5</x:v>
      </x:c>
      <x:c r="K4" s="34" t="str">
        <x:v>★★★★★</x:v>
      </x:c>
      <x:c r="L4" s="34" t="str">
        <x:v>全國級</x:v>
      </x:c>
      <x:c r="M4" s="34" t="str">
        <x:v>保生大帝</x:v>
      </x:c>
      <x:c r="N4" s="34" t="str">
        <x:v>保生大帝重要信仰中心，建築與祭典具高度文化辨識度。</x:v>
      </x:c>
      <x:c r="O4" s="34" t="str">
        <x:v>文化主線任務｜完成正門打卡、代表建築拍照與周邊街區散步，解鎖宮廟文化徽章。</x:v>
      </x:c>
      <x:c r="P4" s="34" t="str">
        <x:v>宗教場所通常對外開放；祭典、法會、整修或人流管制請依廟方與 Google Maps 最新公告。</x:v>
      </x:c>
      <x:c r="Q4" s="42" t="n">
        <x:v>70</x:v>
      </x:c>
      <x:c r="R4" s="34" t="str">
        <x:v>A</x:v>
      </x:c>
      <x:c r="S4" s="34" t="str">
        <x:v>Google Maps POI 圖釘；以廟埕或主要入口作為任務代表點</x:v>
      </x:c>
      <x:c r="T4" s="34" t="str">
        <x:v>宮廟／宗教文化</x:v>
      </x:c>
      <x:c r="U4" s="34" t="str">
        <x:v>臺北市大同區哈密街61號</x:v>
      </x:c>
      <x:c r="V4" s="34" t="str">
        <x:v>https://www.google.com/maps/search/?api=1&amp;query=%E5%A4%A7%E9%BE%8D%E5%B3%92%E4%BF%9D%E5%AE%89%E5%AE%AE%20%E8%87%BA%E5%8C%97%E5%B8%82%20%E5%A4%A7%E5%90%8C%E5%8D%80</x:v>
      </x:c>
      <x:c r="W4" s="34" t="str">
        <x:v>https://www.google.com/maps?q=25.073070,121.515550</x:v>
      </x:c>
      <x:c r="X4" s="34" t="str">
        <x:v>Google Maps POI 主定位＋政府宗教資料／官方廟方資料交叉整理</x:v>
      </x:c>
      <x:c r="Y4" s="34" t="str">
        <x:v>2026-07-13</x:v>
      </x:c>
      <x:c r="Z4" s="34" t="str">
        <x:v>V4-宮廟知名地點池</x:v>
      </x:c>
      <x:c r="AA4" s="34" t="str">
        <x:v>以正式廟名、所在縣市與 Google Maps POI 區分同名宮廟。</x:v>
      </x:c>
      <x:c r="AB4" s="34" t="str">
        <x:v>正式上線前點開 Google Maps 連結，確認主入口、廟埕與任務圓心沒有落在後殿、停車場或山區道路。</x:v>
      </x:c>
    </x:row>
    <x:row r="5">
      <x:c r="A5" s="34" t="n">
        <x:v>4</x:v>
      </x:c>
      <x:c r="B5" s="34" t="str">
        <x:v>DOR-TPE-M004</x:v>
      </x:c>
      <x:c r="C5" s="34" t="str">
        <x:v>臺北市</x:v>
      </x:c>
      <x:c r="D5" s="34" t="str">
        <x:v>松山區</x:v>
      </x:c>
      <x:c r="E5" s="34" t="str">
        <x:v>宮廟</x:v>
      </x:c>
      <x:c r="F5" s="34" t="str">
        <x:v>松山慈祐宮</x:v>
      </x:c>
      <x:c r="G5" s="34" t="str">
        <x:v>主要入口／廟埕代表點</x:v>
      </x:c>
      <x:c r="H5" s="38" t="n">
        <x:v>25.050321</x:v>
      </x:c>
      <x:c r="I5" s="38" t="n">
        <x:v>121.577122</x:v>
      </x:c>
      <x:c r="J5" s="42" t="n">
        <x:v>5</x:v>
      </x:c>
      <x:c r="K5" s="34" t="str">
        <x:v>★★★★★</x:v>
      </x:c>
      <x:c r="L5" s="34" t="str">
        <x:v>全國級</x:v>
      </x:c>
      <x:c r="M5" s="34" t="str">
        <x:v>天上聖母</x:v>
      </x:c>
      <x:c r="N5" s="34" t="str">
        <x:v>與饒河街夜市形成成熟散步路線，夜間打卡辨識度高。</x:v>
      </x:c>
      <x:c r="O5" s="34" t="str">
        <x:v>文化主線任務｜完成正門打卡、代表建築拍照與周邊街區散步，解鎖宮廟文化徽章。</x:v>
      </x:c>
      <x:c r="P5" s="34" t="str">
        <x:v>宗教場所通常對外開放；祭典、法會、整修或人流管制請依廟方與 Google Maps 最新公告。</x:v>
      </x:c>
      <x:c r="Q5" s="42" t="n">
        <x:v>60</x:v>
      </x:c>
      <x:c r="R5" s="34" t="str">
        <x:v>A</x:v>
      </x:c>
      <x:c r="S5" s="34" t="str">
        <x:v>Google Maps POI 圖釘；以廟埕或主要入口作為任務代表點</x:v>
      </x:c>
      <x:c r="T5" s="34" t="str">
        <x:v>宮廟／宗教文化</x:v>
      </x:c>
      <x:c r="U5" s="34" t="str">
        <x:v>臺北市松山區八德路四段761號</x:v>
      </x:c>
      <x:c r="V5" s="34" t="str">
        <x:v>https://www.google.com/maps/search/?api=1&amp;query=%E6%9D%BE%E5%B1%B1%E6%85%88%E7%A5%90%E5%AE%AE%20%E8%87%BA%E5%8C%97%E5%B8%82%20%E6%9D%BE%E5%B1%B1%E5%8D%80</x:v>
      </x:c>
      <x:c r="W5" s="34" t="str">
        <x:v>https://www.google.com/maps?q=25.050321,121.577122</x:v>
      </x:c>
      <x:c r="X5" s="34" t="str">
        <x:v>Google Maps POI 主定位＋政府宗教資料／官方廟方資料交叉整理</x:v>
      </x:c>
      <x:c r="Y5" s="34" t="str">
        <x:v>2026-07-13</x:v>
      </x:c>
      <x:c r="Z5" s="34" t="str">
        <x:v>V4-宮廟知名地點池</x:v>
      </x:c>
      <x:c r="AA5" s="34" t="str">
        <x:v>以正式廟名、所在縣市與 Google Maps POI 區分同名宮廟。</x:v>
      </x:c>
      <x:c r="AB5" s="34" t="str">
        <x:v>正式上線前點開 Google Maps 連結，確認主入口、廟埕與任務圓心沒有落在後殿、停車場或山區道路。</x:v>
      </x:c>
    </x:row>
    <x:row r="6">
      <x:c r="A6" s="34" t="n">
        <x:v>5</x:v>
      </x:c>
      <x:c r="B6" s="34" t="str">
        <x:v>DOR-TPE-M005</x:v>
      </x:c>
      <x:c r="C6" s="34" t="str">
        <x:v>臺北市</x:v>
      </x:c>
      <x:c r="D6" s="34" t="str">
        <x:v>大同區</x:v>
      </x:c>
      <x:c r="E6" s="34" t="str">
        <x:v>城隍廟</x:v>
      </x:c>
      <x:c r="F6" s="34" t="str">
        <x:v>台北霞海城隍廟</x:v>
      </x:c>
      <x:c r="G6" s="34" t="str">
        <x:v>主要入口／廟埕代表點</x:v>
      </x:c>
      <x:c r="H6" s="38" t="n">
        <x:v>25.055551</x:v>
      </x:c>
      <x:c r="I6" s="38" t="n">
        <x:v>121.51023</x:v>
      </x:c>
      <x:c r="J6" s="42" t="n">
        <x:v>5</x:v>
      </x:c>
      <x:c r="K6" s="34" t="str">
        <x:v>★★★★★</x:v>
      </x:c>
      <x:c r="L6" s="34" t="str">
        <x:v>全國級</x:v>
      </x:c>
      <x:c r="M6" s="34" t="str">
        <x:v>霞海城隍</x:v>
      </x:c>
      <x:c r="N6" s="34" t="str">
        <x:v>月老信仰與大稻埕街區高度連結，適合文化散步與商圈串聯。</x:v>
      </x:c>
      <x:c r="O6" s="34" t="str">
        <x:v>文化主線任務｜完成正門打卡、代表建築拍照與周邊街區散步，解鎖宮廟文化徽章。</x:v>
      </x:c>
      <x:c r="P6" s="34" t="str">
        <x:v>宗教場所通常對外開放；祭典、法會、整修或人流管制請依廟方與 Google Maps 最新公告。</x:v>
      </x:c>
      <x:c r="Q6" s="42" t="n">
        <x:v>45</x:v>
      </x:c>
      <x:c r="R6" s="34" t="str">
        <x:v>A</x:v>
      </x:c>
      <x:c r="S6" s="34" t="str">
        <x:v>Google Maps POI 圖釘；以廟埕或主要入口作為任務代表點</x:v>
      </x:c>
      <x:c r="T6" s="34" t="str">
        <x:v>宮廟／宗教文化</x:v>
      </x:c>
      <x:c r="U6" s="34" t="str">
        <x:v>臺北市大同區迪化街一段61號</x:v>
      </x:c>
      <x:c r="V6" s="34" t="str">
        <x:v>https://www.google.com/maps/search/?api=1&amp;query=%E5%8F%B0%E5%8C%97%E9%9C%9E%E6%B5%B7%E5%9F%8E%E9%9A%8D%E5%BB%9F%20%E8%87%BA%E5%8C%97%E5%B8%82%20%E5%A4%A7%E5%90%8C%E5%8D%80</x:v>
      </x:c>
      <x:c r="W6" s="34" t="str">
        <x:v>https://www.google.com/maps?q=25.055551,121.510230</x:v>
      </x:c>
      <x:c r="X6" s="34" t="str">
        <x:v>Google Maps POI 主定位＋政府宗教資料／官方廟方資料交叉整理</x:v>
      </x:c>
      <x:c r="Y6" s="34" t="str">
        <x:v>2026-07-13</x:v>
      </x:c>
      <x:c r="Z6" s="34" t="str">
        <x:v>V4-宮廟知名地點池</x:v>
      </x:c>
      <x:c r="AA6" s="34" t="str">
        <x:v>以正式廟名、所在縣市與 Google Maps POI 區分同名宮廟。</x:v>
      </x:c>
      <x:c r="AB6" s="34" t="str">
        <x:v>正式上線前點開 Google Maps 連結，確認主入口、廟埕與任務圓心沒有落在後殿、停車場或山區道路。</x:v>
      </x:c>
    </x:row>
    <x:row r="7">
      <x:c r="A7" s="34" t="n">
        <x:v>6</x:v>
      </x:c>
      <x:c r="B7" s="34" t="str">
        <x:v>DOR-TPE-M006</x:v>
      </x:c>
      <x:c r="C7" s="34" t="str">
        <x:v>臺北市</x:v>
      </x:c>
      <x:c r="D7" s="34" t="str">
        <x:v>文山區</x:v>
      </x:c>
      <x:c r="E7" s="34" t="str">
        <x:v>道教宮觀</x:v>
      </x:c>
      <x:c r="F7" s="34" t="str">
        <x:v>指南宮</x:v>
      </x:c>
      <x:c r="G7" s="34" t="str">
        <x:v>主要入口／廟埕代表點</x:v>
      </x:c>
      <x:c r="H7" s="38" t="n">
        <x:v>24.979441</x:v>
      </x:c>
      <x:c r="I7" s="38" t="n">
        <x:v>121.586623</x:v>
      </x:c>
      <x:c r="J7" s="42" t="n">
        <x:v>5</x:v>
      </x:c>
      <x:c r="K7" s="34" t="str">
        <x:v>★★★★★</x:v>
      </x:c>
      <x:c r="L7" s="34" t="str">
        <x:v>全國級</x:v>
      </x:c>
      <x:c r="M7" s="34" t="str">
        <x:v>孚佑帝君</x:v>
      </x:c>
      <x:c r="N7" s="34" t="str">
        <x:v>山城景觀、纜車與廟宇文化兼具，適合坡道探索任務。</x:v>
      </x:c>
      <x:c r="O7" s="34" t="str">
        <x:v>文化主線任務｜完成正門打卡、代表建築拍照與周邊街區散步，解鎖宮廟文化徽章。</x:v>
      </x:c>
      <x:c r="P7" s="34" t="str">
        <x:v>宗教場所通常對外開放；祭典、法會、整修或人流管制請依廟方與 Google Maps 最新公告。</x:v>
      </x:c>
      <x:c r="Q7" s="42" t="n">
        <x:v>100</x:v>
      </x:c>
      <x:c r="R7" s="34" t="str">
        <x:v>B</x:v>
      </x:c>
      <x:c r="S7" s="34" t="str">
        <x:v>Google Maps 指南宮主地標；大型山區廟區以主要參拜入口作任務代表點</x:v>
      </x:c>
      <x:c r="T7" s="34" t="str">
        <x:v>宮廟／宗教文化</x:v>
      </x:c>
      <x:c r="U7" s="34" t="str">
        <x:v>臺北市文山區萬壽路115號</x:v>
      </x:c>
      <x:c r="V7" s="34" t="str">
        <x:v>https://www.google.com/maps/search/?api=1&amp;query=%E6%8C%87%E5%8D%97%E5%AE%AE%20%E8%87%BA%E5%8C%97%E5%B8%82%20%E6%96%87%E5%B1%B1%E5%8D%80</x:v>
      </x:c>
      <x:c r="W7" s="34" t="str">
        <x:v>https://www.google.com/maps?q=24.979441,121.586623</x:v>
      </x:c>
      <x:c r="X7" s="34" t="str">
        <x:v>Google Maps POI 主定位＋政府宗教資料／官方廟方資料交叉整理</x:v>
      </x:c>
      <x:c r="Y7" s="34" t="str">
        <x:v>2026-07-13</x:v>
      </x:c>
      <x:c r="Z7" s="34" t="str">
        <x:v>V4-宮廟知名地點池</x:v>
      </x:c>
      <x:c r="AA7" s="34" t="str">
        <x:v>以正式廟名、所在縣市與 Google Maps POI 區分同名宮廟。</x:v>
      </x:c>
      <x:c r="AB7" s="34" t="str">
        <x:v>正式上線前點開 Google Maps 連結，確認主入口、廟埕與任務圓心沒有落在後殿、停車場或山區道路。</x:v>
      </x:c>
    </x:row>
    <x:row r="8">
      <x:c r="A8" s="34" t="n">
        <x:v>7</x:v>
      </x:c>
      <x:c r="B8" s="34" t="str">
        <x:v>DOR-TPE-M007</x:v>
      </x:c>
      <x:c r="C8" s="34" t="str">
        <x:v>臺北市</x:v>
      </x:c>
      <x:c r="D8" s="34" t="str">
        <x:v>北投區</x:v>
      </x:c>
      <x:c r="E8" s="34" t="str">
        <x:v>宮廟</x:v>
      </x:c>
      <x:c r="F8" s="34" t="str">
        <x:v>關渡宮</x:v>
      </x:c>
      <x:c r="G8" s="34" t="str">
        <x:v>主要入口／廟埕代表點</x:v>
      </x:c>
      <x:c r="H8" s="38" t="n">
        <x:v>25.117956</x:v>
      </x:c>
      <x:c r="I8" s="38" t="n">
        <x:v>121.464258</x:v>
      </x:c>
      <x:c r="J8" s="42" t="n">
        <x:v>5</x:v>
      </x:c>
      <x:c r="K8" s="34" t="str">
        <x:v>★★★★★</x:v>
      </x:c>
      <x:c r="L8" s="34" t="str">
        <x:v>全國級</x:v>
      </x:c>
      <x:c r="M8" s="34" t="str">
        <x:v>天上聖母</x:v>
      </x:c>
      <x:c r="N8" s="34" t="str">
        <x:v>北臺灣重要媽祖信仰中心，可串聯關渡水岸與自然步道。</x:v>
      </x:c>
      <x:c r="O8" s="34" t="str">
        <x:v>文化主線任務｜完成正門打卡、代表建築拍照與周邊街區散步，解鎖宮廟文化徽章。</x:v>
      </x:c>
      <x:c r="P8" s="34" t="str">
        <x:v>宗教場所通常對外開放；祭典、法會、整修或人流管制請依廟方與 Google Maps 最新公告。</x:v>
      </x:c>
      <x:c r="Q8" s="42" t="n">
        <x:v>90</x:v>
      </x:c>
      <x:c r="R8" s="34" t="str">
        <x:v>B</x:v>
      </x:c>
      <x:c r="S8" s="34" t="str">
        <x:v>Google Maps 關渡宮主地標；任務圓心建議放在正門廟埕</x:v>
      </x:c>
      <x:c r="T8" s="34" t="str">
        <x:v>宮廟／宗教文化</x:v>
      </x:c>
      <x:c r="U8" s="34" t="str">
        <x:v>臺北市北投區知行路360號</x:v>
      </x:c>
      <x:c r="V8" s="34" t="str">
        <x:v>https://www.google.com/maps/search/?api=1&amp;query=%E9%97%9C%E6%B8%A1%E5%AE%AE%20%E8%87%BA%E5%8C%97%E5%B8%82%20%E5%8C%97%E6%8A%95%E5%8D%80</x:v>
      </x:c>
      <x:c r="W8" s="34" t="str">
        <x:v>https://www.google.com/maps?q=25.117956,121.464258</x:v>
      </x:c>
      <x:c r="X8" s="34" t="str">
        <x:v>Google Maps POI 主定位＋政府宗教資料／官方廟方資料交叉整理</x:v>
      </x:c>
      <x:c r="Y8" s="34" t="str">
        <x:v>2026-07-13</x:v>
      </x:c>
      <x:c r="Z8" s="34" t="str">
        <x:v>V4-宮廟知名地點池</x:v>
      </x:c>
      <x:c r="AA8" s="34" t="str">
        <x:v>以正式廟名、所在縣市與 Google Maps POI 區分同名宮廟。</x:v>
      </x:c>
      <x:c r="AB8" s="34" t="str">
        <x:v>正式上線前點開 Google Maps 連結，確認主入口、廟埕與任務圓心沒有落在後殿、停車場或山區道路。</x:v>
      </x:c>
    </x:row>
    <x:row r="9">
      <x:c r="A9" s="34" t="n">
        <x:v>8</x:v>
      </x:c>
      <x:c r="B9" s="34" t="str">
        <x:v>DOR-TPE-M008</x:v>
      </x:c>
      <x:c r="C9" s="34" t="str">
        <x:v>臺北市</x:v>
      </x:c>
      <x:c r="D9" s="34" t="str">
        <x:v>萬華區</x:v>
      </x:c>
      <x:c r="E9" s="34" t="str">
        <x:v>宮廟／古蹟</x:v>
      </x:c>
      <x:c r="F9" s="34" t="str">
        <x:v>艋舺青山宮</x:v>
      </x:c>
      <x:c r="G9" s="34" t="str">
        <x:v>主要入口／廟埕代表點</x:v>
      </x:c>
      <x:c r="H9" s="38" t="n">
        <x:v>25.038854</x:v>
      </x:c>
      <x:c r="I9" s="38" t="n">
        <x:v>121.498245</x:v>
      </x:c>
      <x:c r="J9" s="42" t="n">
        <x:v>4</x:v>
      </x:c>
      <x:c r="K9" s="34" t="str">
        <x:v>★★★★☆</x:v>
      </x:c>
      <x:c r="L9" s="34" t="str">
        <x:v>區域代表級</x:v>
      </x:c>
      <x:c r="M9" s="34" t="str">
        <x:v>靈安尊王</x:v>
      </x:c>
      <x:c r="N9" s="34" t="str">
        <x:v>青山王祭典聞名，與萬華老城街區形成高辨識度文化路線。</x:v>
      </x:c>
      <x:c r="O9" s="34" t="str">
        <x:v>文化探索任務｜完成廟埕打卡，沿周邊老街、聚落或生活圈步行探索。</x:v>
      </x:c>
      <x:c r="P9" s="34" t="str">
        <x:v>宗教場所通常對外開放；祭典、法會、整修或人流管制請依廟方與 Google Maps 最新公告。</x:v>
      </x:c>
      <x:c r="Q9" s="42" t="n">
        <x:v>50</x:v>
      </x:c>
      <x:c r="R9" s="34" t="str">
        <x:v>A</x:v>
      </x:c>
      <x:c r="S9" s="34" t="str">
        <x:v>Google Maps POI 圖釘；以廟埕或主要入口作為任務代表點</x:v>
      </x:c>
      <x:c r="T9" s="34" t="str">
        <x:v>宮廟／宗教文化</x:v>
      </x:c>
      <x:c r="U9" s="34" t="str">
        <x:v>臺北市萬華區貴陽街二段218號</x:v>
      </x:c>
      <x:c r="V9" s="34" t="str">
        <x:v>https://www.google.com/maps/search/?api=1&amp;query=%E8%89%8B%E8%88%BA%E9%9D%92%E5%B1%B1%E5%AE%AE%20%E8%87%BA%E5%8C%97%E5%B8%82%20%E8%90%AC%E8%8F%AF%E5%8D%80</x:v>
      </x:c>
      <x:c r="W9" s="34" t="str">
        <x:v>https://www.google.com/maps?q=25.038854,121.498245</x:v>
      </x:c>
      <x:c r="X9" s="34" t="str">
        <x:v>Google Maps POI 主定位＋政府宗教資料／官方廟方資料交叉整理</x:v>
      </x:c>
      <x:c r="Y9" s="34" t="str">
        <x:v>2026-07-13</x:v>
      </x:c>
      <x:c r="Z9" s="34" t="str">
        <x:v>V4-宮廟知名地點池</x:v>
      </x:c>
      <x:c r="AA9" s="34" t="str">
        <x:v>以正式廟名、所在縣市與 Google Maps POI 區分同名宮廟。</x:v>
      </x:c>
      <x:c r="AB9" s="34" t="str">
        <x:v>正式上線前點開 Google Maps 連結，確認主入口、廟埕與任務圓心沒有落在後殿、停車場或山區道路。</x:v>
      </x:c>
    </x:row>
    <x:row r="10">
      <x:c r="A10" s="34" t="n">
        <x:v>9</x:v>
      </x:c>
      <x:c r="B10" s="34" t="str">
        <x:v>DOR-NTP-M001</x:v>
      </x:c>
      <x:c r="C10" s="34" t="str">
        <x:v>新北市</x:v>
      </x:c>
      <x:c r="D10" s="34" t="str">
        <x:v>三峽區</x:v>
      </x:c>
      <x:c r="E10" s="34" t="str">
        <x:v>祖師廟／古蹟</x:v>
      </x:c>
      <x:c r="F10" s="34" t="str">
        <x:v>三峽清水祖師廟</x:v>
      </x:c>
      <x:c r="G10" s="34" t="str">
        <x:v>主要入口／廟埕代表點</x:v>
      </x:c>
      <x:c r="H10" s="38" t="n">
        <x:v>24.934248</x:v>
      </x:c>
      <x:c r="I10" s="38" t="n">
        <x:v>121.369942</x:v>
      </x:c>
      <x:c r="J10" s="42" t="n">
        <x:v>5</x:v>
      </x:c>
      <x:c r="K10" s="34" t="str">
        <x:v>★★★★★</x:v>
      </x:c>
      <x:c r="L10" s="34" t="str">
        <x:v>全國級</x:v>
      </x:c>
      <x:c r="M10" s="34" t="str">
        <x:v>清水祖師</x:v>
      </x:c>
      <x:c r="N10" s="34" t="str">
        <x:v>三峽老街核心地標，建築雕刻與地方文化辨識度極高。</x:v>
      </x:c>
      <x:c r="O10" s="34" t="str">
        <x:v>文化主線任務｜完成正門打卡、代表建築拍照與周邊街區散步，解鎖宮廟文化徽章。</x:v>
      </x:c>
      <x:c r="P10" s="34" t="str">
        <x:v>宗教場所通常對外開放；祭典、法會、整修或人流管制請依廟方與 Google Maps 最新公告。</x:v>
      </x:c>
      <x:c r="Q10" s="42" t="n">
        <x:v>60</x:v>
      </x:c>
      <x:c r="R10" s="34" t="str">
        <x:v>A</x:v>
      </x:c>
      <x:c r="S10" s="34" t="str">
        <x:v>Google Maps POI 圖釘；以廟埕或主要入口作為任務代表點</x:v>
      </x:c>
      <x:c r="T10" s="34" t="str">
        <x:v>宮廟／宗教文化</x:v>
      </x:c>
      <x:c r="U10" s="34" t="str">
        <x:v>新北市三峽區長福街1號</x:v>
      </x:c>
      <x:c r="V10" s="34" t="str">
        <x:v>https://www.google.com/maps/search/?api=1&amp;query=%E4%B8%89%E5%B3%BD%E6%B8%85%E6%B0%B4%E7%A5%96%E5%B8%AB%E5%BB%9F%20%E6%96%B0%E5%8C%97%E5%B8%82%20%E4%B8%89%E5%B3%BD%E5%8D%80</x:v>
      </x:c>
      <x:c r="W10" s="34" t="str">
        <x:v>https://www.google.com/maps?q=24.934248,121.369942</x:v>
      </x:c>
      <x:c r="X10" s="34" t="str">
        <x:v>Google Maps POI 主定位＋政府宗教資料／官方廟方資料交叉整理</x:v>
      </x:c>
      <x:c r="Y10" s="34" t="str">
        <x:v>2026-07-13</x:v>
      </x:c>
      <x:c r="Z10" s="34" t="str">
        <x:v>V4-宮廟知名地點池</x:v>
      </x:c>
      <x:c r="AA10" s="34" t="str">
        <x:v>以正式廟名、所在縣市與 Google Maps POI 區分同名宮廟。</x:v>
      </x:c>
      <x:c r="AB10" s="34" t="str">
        <x:v>正式上線前點開 Google Maps 連結，確認主入口、廟埕與任務圓心沒有落在後殿、停車場或山區道路。</x:v>
      </x:c>
    </x:row>
    <x:row r="11">
      <x:c r="A11" s="34" t="n">
        <x:v>10</x:v>
      </x:c>
      <x:c r="B11" s="34" t="str">
        <x:v>DOR-NTP-M002</x:v>
      </x:c>
      <x:c r="C11" s="34" t="str">
        <x:v>新北市</x:v>
      </x:c>
      <x:c r="D11" s="34" t="str">
        <x:v>中和區</x:v>
      </x:c>
      <x:c r="E11" s="34" t="str">
        <x:v>土地公廟</x:v>
      </x:c>
      <x:c r="F11" s="34" t="str">
        <x:v>烘爐地南山福德宮</x:v>
      </x:c>
      <x:c r="G11" s="34" t="str">
        <x:v>主要入口／廟埕代表點</x:v>
      </x:c>
      <x:c r="H11" s="38" t="n">
        <x:v>24.991179</x:v>
      </x:c>
      <x:c r="I11" s="38" t="n">
        <x:v>121.494702</x:v>
      </x:c>
      <x:c r="J11" s="42" t="n">
        <x:v>5</x:v>
      </x:c>
      <x:c r="K11" s="34" t="str">
        <x:v>★★★★★</x:v>
      </x:c>
      <x:c r="L11" s="34" t="str">
        <x:v>全國級</x:v>
      </x:c>
      <x:c r="M11" s="34" t="str">
        <x:v>福德正神</x:v>
      </x:c>
      <x:c r="N11" s="34" t="str">
        <x:v>北臺灣最知名土地公信仰之一，夜景與登階散步特色鮮明。</x:v>
      </x:c>
      <x:c r="O11" s="34" t="str">
        <x:v>日常祈福散步｜步行抵達廟埕完成打卡，繞行周邊街區或步道 500 公尺。</x:v>
      </x:c>
      <x:c r="P11" s="34" t="str">
        <x:v>宗教場所通常對外開放；祭典、法會、整修或人流管制請依廟方與 Google Maps 最新公告。</x:v>
      </x:c>
      <x:c r="Q11" s="42" t="n">
        <x:v>100</x:v>
      </x:c>
      <x:c r="R11" s="34" t="str">
        <x:v>B</x:v>
      </x:c>
      <x:c r="S11" s="34" t="str">
        <x:v>Google Maps 南山福德宮主地標；山區大型廟區建議以牌樓或主殿前平台為圓心</x:v>
      </x:c>
      <x:c r="T11" s="34" t="str">
        <x:v>宮廟／宗教文化</x:v>
      </x:c>
      <x:c r="U11" s="34" t="str">
        <x:v>新北市中和區興南路二段399巷160之1號</x:v>
      </x:c>
      <x:c r="V11" s="34" t="str">
        <x:v>https://www.google.com/maps/search/?api=1&amp;query=%E7%83%98%E7%88%90%E5%9C%B0%E5%8D%97%E5%B1%B1%E7%A6%8F%E5%BE%B7%E5%AE%AE%20%E6%96%B0%E5%8C%97%E5%B8%82%20%E4%B8%AD%E5%92%8C%E5%8D%80</x:v>
      </x:c>
      <x:c r="W11" s="34" t="str">
        <x:v>https://www.google.com/maps?q=24.991179,121.494702</x:v>
      </x:c>
      <x:c r="X11" s="34" t="str">
        <x:v>Google Maps POI 主定位＋政府宗教資料／官方廟方資料交叉整理</x:v>
      </x:c>
      <x:c r="Y11" s="34" t="str">
        <x:v>2026-07-13</x:v>
      </x:c>
      <x:c r="Z11" s="34" t="str">
        <x:v>V4-宮廟知名地點池</x:v>
      </x:c>
      <x:c r="AA11" s="34" t="str">
        <x:v>以正式廟名、所在縣市與 Google Maps POI 區分同名宮廟。</x:v>
      </x:c>
      <x:c r="AB11" s="34" t="str">
        <x:v>正式上線前點開 Google Maps 連結，確認主入口、廟埕與任務圓心沒有落在後殿、停車場或山區道路。</x:v>
      </x:c>
    </x:row>
    <x:row r="12">
      <x:c r="A12" s="34" t="n">
        <x:v>11</x:v>
      </x:c>
      <x:c r="B12" s="34" t="str">
        <x:v>DOR-NTP-M003</x:v>
      </x:c>
      <x:c r="C12" s="34" t="str">
        <x:v>新北市</x:v>
      </x:c>
      <x:c r="D12" s="34" t="str">
        <x:v>淡水區</x:v>
      </x:c>
      <x:c r="E12" s="34" t="str">
        <x:v>媽祖廟／古蹟</x:v>
      </x:c>
      <x:c r="F12" s="34" t="str">
        <x:v>淡水福佑宮</x:v>
      </x:c>
      <x:c r="G12" s="34" t="str">
        <x:v>主要入口／廟埕代表點</x:v>
      </x:c>
      <x:c r="H12" s="38" t="n">
        <x:v>25.167681</x:v>
      </x:c>
      <x:c r="I12" s="38" t="n">
        <x:v>121.445293</x:v>
      </x:c>
      <x:c r="J12" s="42" t="n">
        <x:v>4</x:v>
      </x:c>
      <x:c r="K12" s="34" t="str">
        <x:v>★★★★☆</x:v>
      </x:c>
      <x:c r="L12" s="34" t="str">
        <x:v>區域代表級</x:v>
      </x:c>
      <x:c r="M12" s="34" t="str">
        <x:v>天上聖母</x:v>
      </x:c>
      <x:c r="N12" s="34" t="str">
        <x:v>淡水老街重要信仰地標，適合河岸與老街散步串聯。</x:v>
      </x:c>
      <x:c r="O12" s="34" t="str">
        <x:v>文化探索任務｜完成廟埕打卡，沿周邊老街、聚落或生活圈步行探索。</x:v>
      </x:c>
      <x:c r="P12" s="34" t="str">
        <x:v>宗教場所通常對外開放；祭典、法會、整修或人流管制請依廟方與 Google Maps 最新公告。</x:v>
      </x:c>
      <x:c r="Q12" s="42" t="n">
        <x:v>50</x:v>
      </x:c>
      <x:c r="R12" s="34" t="str">
        <x:v>A</x:v>
      </x:c>
      <x:c r="S12" s="34" t="str">
        <x:v>Google Maps POI 圖釘；以廟埕或主要入口作為任務代表點</x:v>
      </x:c>
      <x:c r="T12" s="34" t="str">
        <x:v>宮廟／宗教文化</x:v>
      </x:c>
      <x:c r="U12" s="34" t="str">
        <x:v>新北市淡水區中正路200號</x:v>
      </x:c>
      <x:c r="V12" s="34" t="str">
        <x:v>https://www.google.com/maps/search/?api=1&amp;query=%E6%B7%A1%E6%B0%B4%E7%A6%8F%E4%BD%91%E5%AE%AE%20%E6%96%B0%E5%8C%97%E5%B8%82%20%E6%B7%A1%E6%B0%B4%E5%8D%80</x:v>
      </x:c>
      <x:c r="W12" s="34" t="str">
        <x:v>https://www.google.com/maps?q=25.167681,121.445293</x:v>
      </x:c>
      <x:c r="X12" s="34" t="str">
        <x:v>Google Maps POI 主定位＋政府宗教資料／官方廟方資料交叉整理</x:v>
      </x:c>
      <x:c r="Y12" s="34" t="str">
        <x:v>2026-07-13</x:v>
      </x:c>
      <x:c r="Z12" s="34" t="str">
        <x:v>V4-宮廟知名地點池</x:v>
      </x:c>
      <x:c r="AA12" s="34" t="str">
        <x:v>以正式廟名、所在縣市與 Google Maps POI 區分同名宮廟。</x:v>
      </x:c>
      <x:c r="AB12" s="34" t="str">
        <x:v>正式上線前點開 Google Maps 連結，確認主入口、廟埕與任務圓心沒有落在後殿、停車場或山區道路。</x:v>
      </x:c>
    </x:row>
    <x:row r="13">
      <x:c r="A13" s="34" t="n">
        <x:v>12</x:v>
      </x:c>
      <x:c r="B13" s="34" t="str">
        <x:v>DOR-NTP-M004</x:v>
      </x:c>
      <x:c r="C13" s="34" t="str">
        <x:v>新北市</x:v>
      </x:c>
      <x:c r="D13" s="34" t="str">
        <x:v>淡水區</x:v>
      </x:c>
      <x:c r="E13" s="34" t="str">
        <x:v>祖師廟</x:v>
      </x:c>
      <x:c r="F13" s="34" t="str">
        <x:v>淡水清水巖</x:v>
      </x:c>
      <x:c r="G13" s="34" t="str">
        <x:v>主要入口／廟埕代表點</x:v>
      </x:c>
      <x:c r="H13" s="38" t="n">
        <x:v>25.168563</x:v>
      </x:c>
      <x:c r="I13" s="38" t="n">
        <x:v>121.446557</x:v>
      </x:c>
      <x:c r="J13" s="42" t="n">
        <x:v>4</x:v>
      </x:c>
      <x:c r="K13" s="34" t="str">
        <x:v>★★★★☆</x:v>
      </x:c>
      <x:c r="L13" s="34" t="str">
        <x:v>區域代表級</x:v>
      </x:c>
      <x:c r="M13" s="34" t="str">
        <x:v>清水祖師</x:v>
      </x:c>
      <x:c r="N13" s="34" t="str">
        <x:v>淡水地方重要廟宇，與老街生活圈高度融合。</x:v>
      </x:c>
      <x:c r="O13" s="34" t="str">
        <x:v>文化探索任務｜完成廟埕打卡，沿周邊老街、聚落或生活圈步行探索。</x:v>
      </x:c>
      <x:c r="P13" s="34" t="str">
        <x:v>宗教場所通常對外開放；祭典、法會、整修或人流管制請依廟方與 Google Maps 最新公告。</x:v>
      </x:c>
      <x:c r="Q13" s="42" t="n">
        <x:v>45</x:v>
      </x:c>
      <x:c r="R13" s="34" t="str">
        <x:v>A</x:v>
      </x:c>
      <x:c r="S13" s="34" t="str">
        <x:v>Google Maps POI 圖釘；以廟埕或主要入口作為任務代表點</x:v>
      </x:c>
      <x:c r="T13" s="34" t="str">
        <x:v>宮廟／宗教文化</x:v>
      </x:c>
      <x:c r="U13" s="34" t="str">
        <x:v>新北市淡水區清水街87號</x:v>
      </x:c>
      <x:c r="V13" s="34" t="str">
        <x:v>https://www.google.com/maps/search/?api=1&amp;query=%E6%B7%A1%E6%B0%B4%E6%B8%85%E6%B0%B4%E5%B7%96%20%E6%96%B0%E5%8C%97%E5%B8%82%20%E6%B7%A1%E6%B0%B4%E5%8D%80</x:v>
      </x:c>
      <x:c r="W13" s="34" t="str">
        <x:v>https://www.google.com/maps?q=25.168563,121.446557</x:v>
      </x:c>
      <x:c r="X13" s="34" t="str">
        <x:v>Google Maps POI 主定位＋政府宗教資料／官方廟方資料交叉整理</x:v>
      </x:c>
      <x:c r="Y13" s="34" t="str">
        <x:v>2026-07-13</x:v>
      </x:c>
      <x:c r="Z13" s="34" t="str">
        <x:v>V4-宮廟知名地點池</x:v>
      </x:c>
      <x:c r="AA13" s="34" t="str">
        <x:v>以正式廟名、所在縣市與 Google Maps POI 區分同名宮廟。</x:v>
      </x:c>
      <x:c r="AB13" s="34" t="str">
        <x:v>正式上線前點開 Google Maps 連結，確認主入口、廟埕與任務圓心沒有落在後殿、停車場或山區道路。</x:v>
      </x:c>
    </x:row>
    <x:row r="14">
      <x:c r="A14" s="34" t="n">
        <x:v>13</x:v>
      </x:c>
      <x:c r="B14" s="34" t="str">
        <x:v>DOR-NTP-M005</x:v>
      </x:c>
      <x:c r="C14" s="34" t="str">
        <x:v>新北市</x:v>
      </x:c>
      <x:c r="D14" s="34" t="str">
        <x:v>金山區</x:v>
      </x:c>
      <x:c r="E14" s="34" t="str">
        <x:v>媽祖廟</x:v>
      </x:c>
      <x:c r="F14" s="34" t="str">
        <x:v>金山慈護宮</x:v>
      </x:c>
      <x:c r="G14" s="34" t="str">
        <x:v>主要入口／廟埕代表點</x:v>
      </x:c>
      <x:c r="H14" s="38" t="n">
        <x:v>25.221979</x:v>
      </x:c>
      <x:c r="I14" s="38" t="n">
        <x:v>121.636928</x:v>
      </x:c>
      <x:c r="J14" s="42" t="n">
        <x:v>4</x:v>
      </x:c>
      <x:c r="K14" s="34" t="str">
        <x:v>★★★★☆</x:v>
      </x:c>
      <x:c r="L14" s="34" t="str">
        <x:v>區域代表級</x:v>
      </x:c>
      <x:c r="M14" s="34" t="str">
        <x:v>天上聖母</x:v>
      </x:c>
      <x:c r="N14" s="34" t="str">
        <x:v>金山老街信仰中心，可與溫泉街區及海岸行程結合。</x:v>
      </x:c>
      <x:c r="O14" s="34" t="str">
        <x:v>文化探索任務｜完成廟埕打卡，沿周邊老街、聚落或生活圈步行探索。</x:v>
      </x:c>
      <x:c r="P14" s="34" t="str">
        <x:v>宗教場所通常對外開放；祭典、法會、整修或人流管制請依廟方與 Google Maps 最新公告。</x:v>
      </x:c>
      <x:c r="Q14" s="42" t="n">
        <x:v>55</x:v>
      </x:c>
      <x:c r="R14" s="34" t="str">
        <x:v>A</x:v>
      </x:c>
      <x:c r="S14" s="34" t="str">
        <x:v>Google Maps POI 圖釘；以廟埕或主要入口作為任務代表點</x:v>
      </x:c>
      <x:c r="T14" s="34" t="str">
        <x:v>宮廟／宗教文化</x:v>
      </x:c>
      <x:c r="U14" s="34" t="str">
        <x:v>新北市金山區金包里街16號</x:v>
      </x:c>
      <x:c r="V14" s="34" t="str">
        <x:v>https://www.google.com/maps/search/?api=1&amp;query=%E9%87%91%E5%B1%B1%E6%85%88%E8%AD%B7%E5%AE%AE%20%E6%96%B0%E5%8C%97%E5%B8%82%20%E9%87%91%E5%B1%B1%E5%8D%80</x:v>
      </x:c>
      <x:c r="W14" s="34" t="str">
        <x:v>https://www.google.com/maps?q=25.221979,121.636928</x:v>
      </x:c>
      <x:c r="X14" s="34" t="str">
        <x:v>Google Maps POI 主定位＋政府宗教資料／官方廟方資料交叉整理</x:v>
      </x:c>
      <x:c r="Y14" s="34" t="str">
        <x:v>2026-07-13</x:v>
      </x:c>
      <x:c r="Z14" s="34" t="str">
        <x:v>V4-宮廟知名地點池</x:v>
      </x:c>
      <x:c r="AA14" s="34" t="str">
        <x:v>以正式廟名、所在縣市與 Google Maps POI 區分同名宮廟。</x:v>
      </x:c>
      <x:c r="AB14" s="34" t="str">
        <x:v>正式上線前點開 Google Maps 連結，確認主入口、廟埕與任務圓心沒有落在後殿、停車場或山區道路。</x:v>
      </x:c>
    </x:row>
    <x:row r="15">
      <x:c r="A15" s="34" t="n">
        <x:v>14</x:v>
      </x:c>
      <x:c r="B15" s="34" t="str">
        <x:v>DOR-NTP-M006</x:v>
      </x:c>
      <x:c r="C15" s="34" t="str">
        <x:v>新北市</x:v>
      </x:c>
      <x:c r="D15" s="34" t="str">
        <x:v>新莊區</x:v>
      </x:c>
      <x:c r="E15" s="34" t="str">
        <x:v>媽祖廟／古蹟</x:v>
      </x:c>
      <x:c r="F15" s="34" t="str">
        <x:v>新莊慈祐宮</x:v>
      </x:c>
      <x:c r="G15" s="34" t="str">
        <x:v>主要入口／廟埕代表點</x:v>
      </x:c>
      <x:c r="H15" s="38" t="n">
        <x:v>25.035866</x:v>
      </x:c>
      <x:c r="I15" s="38" t="n">
        <x:v>121.451381</x:v>
      </x:c>
      <x:c r="J15" s="42" t="n">
        <x:v>4</x:v>
      </x:c>
      <x:c r="K15" s="34" t="str">
        <x:v>★★★★☆</x:v>
      </x:c>
      <x:c r="L15" s="34" t="str">
        <x:v>區域代表級</x:v>
      </x:c>
      <x:c r="M15" s="34" t="str">
        <x:v>天上聖母</x:v>
      </x:c>
      <x:c r="N15" s="34" t="str">
        <x:v>新莊老街核心古廟，適合短距離文化散步。</x:v>
      </x:c>
      <x:c r="O15" s="34" t="str">
        <x:v>文化探索任務｜完成廟埕打卡，沿周邊老街、聚落或生活圈步行探索。</x:v>
      </x:c>
      <x:c r="P15" s="34" t="str">
        <x:v>宗教場所通常對外開放；祭典、法會、整修或人流管制請依廟方與 Google Maps 最新公告。</x:v>
      </x:c>
      <x:c r="Q15" s="42" t="n">
        <x:v>50</x:v>
      </x:c>
      <x:c r="R15" s="34" t="str">
        <x:v>A</x:v>
      </x:c>
      <x:c r="S15" s="34" t="str">
        <x:v>Google Maps POI 圖釘；以廟埕或主要入口作為任務代表點</x:v>
      </x:c>
      <x:c r="T15" s="34" t="str">
        <x:v>宮廟／宗教文化</x:v>
      </x:c>
      <x:c r="U15" s="34" t="str">
        <x:v>新北市新莊區新莊路218號</x:v>
      </x:c>
      <x:c r="V15" s="34" t="str">
        <x:v>https://www.google.com/maps/search/?api=1&amp;query=%E6%96%B0%E8%8E%8A%E6%85%88%E7%A5%90%E5%AE%AE%20%E6%96%B0%E5%8C%97%E5%B8%82%20%E6%96%B0%E8%8E%8A%E5%8D%80</x:v>
      </x:c>
      <x:c r="W15" s="34" t="str">
        <x:v>https://www.google.com/maps?q=25.035866,121.451381</x:v>
      </x:c>
      <x:c r="X15" s="34" t="str">
        <x:v>Google Maps POI 主定位＋政府宗教資料／官方廟方資料交叉整理</x:v>
      </x:c>
      <x:c r="Y15" s="34" t="str">
        <x:v>2026-07-13</x:v>
      </x:c>
      <x:c r="Z15" s="34" t="str">
        <x:v>V4-宮廟知名地點池</x:v>
      </x:c>
      <x:c r="AA15" s="34" t="str">
        <x:v>以正式廟名、所在縣市與 Google Maps POI 區分同名宮廟。</x:v>
      </x:c>
      <x:c r="AB15" s="34" t="str">
        <x:v>正式上線前點開 Google Maps 連結，確認主入口、廟埕與任務圓心沒有落在後殿、停車場或山區道路。</x:v>
      </x:c>
    </x:row>
    <x:row r="16">
      <x:c r="A16" s="34" t="n">
        <x:v>15</x:v>
      </x:c>
      <x:c r="B16" s="34" t="str">
        <x:v>DOR-NTP-M007</x:v>
      </x:c>
      <x:c r="C16" s="34" t="str">
        <x:v>新北市</x:v>
      </x:c>
      <x:c r="D16" s="34" t="str">
        <x:v>新莊區</x:v>
      </x:c>
      <x:c r="E16" s="34" t="str">
        <x:v>地藏庵／古蹟</x:v>
      </x:c>
      <x:c r="F16" s="34" t="str">
        <x:v>新莊地藏庵</x:v>
      </x:c>
      <x:c r="G16" s="34" t="str">
        <x:v>主要入口／廟埕代表點</x:v>
      </x:c>
      <x:c r="H16" s="38" t="n">
        <x:v>25.034358</x:v>
      </x:c>
      <x:c r="I16" s="38" t="n">
        <x:v>121.449005</x:v>
      </x:c>
      <x:c r="J16" s="42" t="n">
        <x:v>4</x:v>
      </x:c>
      <x:c r="K16" s="34" t="str">
        <x:v>★★★★☆</x:v>
      </x:c>
      <x:c r="L16" s="34" t="str">
        <x:v>區域代表級</x:v>
      </x:c>
      <x:c r="M16" s="34" t="str">
        <x:v>地藏王菩薩</x:v>
      </x:c>
      <x:c r="N16" s="34" t="str">
        <x:v>新莊重要地方信仰中心，大眾爺祭典具高度地方辨識度。</x:v>
      </x:c>
      <x:c r="O16" s="34" t="str">
        <x:v>文化探索任務｜完成廟埕打卡，沿周邊老街、聚落或生活圈步行探索。</x:v>
      </x:c>
      <x:c r="P16" s="34" t="str">
        <x:v>宗教場所通常對外開放；祭典、法會、整修或人流管制請依廟方與 Google Maps 最新公告。</x:v>
      </x:c>
      <x:c r="Q16" s="42" t="n">
        <x:v>55</x:v>
      </x:c>
      <x:c r="R16" s="34" t="str">
        <x:v>A</x:v>
      </x:c>
      <x:c r="S16" s="34" t="str">
        <x:v>Google Maps POI 圖釘；以廟埕或主要入口作為任務代表點</x:v>
      </x:c>
      <x:c r="T16" s="34" t="str">
        <x:v>宮廟／宗教文化</x:v>
      </x:c>
      <x:c r="U16" s="34" t="str">
        <x:v>新北市新莊區中正路84號</x:v>
      </x:c>
      <x:c r="V16" s="34" t="str">
        <x:v>https://www.google.com/maps/search/?api=1&amp;query=%E6%96%B0%E8%8E%8A%E5%9C%B0%E8%97%8F%E5%BA%B5%20%E6%96%B0%E5%8C%97%E5%B8%82%20%E6%96%B0%E8%8E%8A%E5%8D%80</x:v>
      </x:c>
      <x:c r="W16" s="34" t="str">
        <x:v>https://www.google.com/maps?q=25.034358,121.449005</x:v>
      </x:c>
      <x:c r="X16" s="34" t="str">
        <x:v>Google Maps POI 主定位＋政府宗教資料／官方廟方資料交叉整理</x:v>
      </x:c>
      <x:c r="Y16" s="34" t="str">
        <x:v>2026-07-13</x:v>
      </x:c>
      <x:c r="Z16" s="34" t="str">
        <x:v>V4-宮廟知名地點池</x:v>
      </x:c>
      <x:c r="AA16" s="34" t="str">
        <x:v>以正式廟名、所在縣市與 Google Maps POI 區分同名宮廟。</x:v>
      </x:c>
      <x:c r="AB16" s="34" t="str">
        <x:v>正式上線前點開 Google Maps 連結，確認主入口、廟埕與任務圓心沒有落在後殿、停車場或山區道路。</x:v>
      </x:c>
    </x:row>
    <x:row r="17">
      <x:c r="A17" s="34" t="n">
        <x:v>16</x:v>
      </x:c>
      <x:c r="B17" s="34" t="str">
        <x:v>DOR-NTP-M008</x:v>
      </x:c>
      <x:c r="C17" s="34" t="str">
        <x:v>新北市</x:v>
      </x:c>
      <x:c r="D17" s="34" t="str">
        <x:v>板橋區</x:v>
      </x:c>
      <x:c r="E17" s="34" t="str">
        <x:v>媽祖廟</x:v>
      </x:c>
      <x:c r="F17" s="34" t="str">
        <x:v>板橋慈惠宮</x:v>
      </x:c>
      <x:c r="G17" s="34" t="str">
        <x:v>主要入口／廟埕代表點</x:v>
      </x:c>
      <x:c r="H17" s="38" t="n">
        <x:v>25.00927</x:v>
      </x:c>
      <x:c r="I17" s="38" t="n">
        <x:v>121.459736</x:v>
      </x:c>
      <x:c r="J17" s="42" t="n">
        <x:v>4</x:v>
      </x:c>
      <x:c r="K17" s="34" t="str">
        <x:v>★★★★☆</x:v>
      </x:c>
      <x:c r="L17" s="34" t="str">
        <x:v>區域代表級</x:v>
      </x:c>
      <x:c r="M17" s="34" t="str">
        <x:v>天上聖母</x:v>
      </x:c>
      <x:c r="N17" s="34" t="str">
        <x:v>府中商圈與板橋舊城核心廟宇，交通與散步可達性高。</x:v>
      </x:c>
      <x:c r="O17" s="34" t="str">
        <x:v>文化探索任務｜完成廟埕打卡，沿周邊老街、聚落或生活圈步行探索。</x:v>
      </x:c>
      <x:c r="P17" s="34" t="str">
        <x:v>宗教場所通常對外開放；祭典、法會、整修或人流管制請依廟方與 Google Maps 最新公告。</x:v>
      </x:c>
      <x:c r="Q17" s="42" t="n">
        <x:v>50</x:v>
      </x:c>
      <x:c r="R17" s="34" t="str">
        <x:v>A</x:v>
      </x:c>
      <x:c r="S17" s="34" t="str">
        <x:v>Google Maps POI 圖釘；以廟埕或主要入口作為任務代表點</x:v>
      </x:c>
      <x:c r="T17" s="34" t="str">
        <x:v>宮廟／宗教文化</x:v>
      </x:c>
      <x:c r="U17" s="34" t="str">
        <x:v>新北市板橋區府中路81號</x:v>
      </x:c>
      <x:c r="V17" s="34" t="str">
        <x:v>https://www.google.com/maps/search/?api=1&amp;query=%E6%9D%BF%E6%A9%8B%E6%85%88%E6%83%A0%E5%AE%AE%20%E6%96%B0%E5%8C%97%E5%B8%82%20%E6%9D%BF%E6%A9%8B%E5%8D%80</x:v>
      </x:c>
      <x:c r="W17" s="34" t="str">
        <x:v>https://www.google.com/maps?q=25.009270,121.459736</x:v>
      </x:c>
      <x:c r="X17" s="34" t="str">
        <x:v>Google Maps POI 主定位＋政府宗教資料／官方廟方資料交叉整理</x:v>
      </x:c>
      <x:c r="Y17" s="34" t="str">
        <x:v>2026-07-13</x:v>
      </x:c>
      <x:c r="Z17" s="34" t="str">
        <x:v>V4-宮廟知名地點池</x:v>
      </x:c>
      <x:c r="AA17" s="34" t="str">
        <x:v>以正式廟名、所在縣市與 Google Maps POI 區分同名宮廟。</x:v>
      </x:c>
      <x:c r="AB17" s="34" t="str">
        <x:v>正式上線前點開 Google Maps 連結，確認主入口、廟埕與任務圓心沒有落在後殿、停車場或山區道路。</x:v>
      </x:c>
    </x:row>
    <x:row r="18">
      <x:c r="A18" s="34" t="n">
        <x:v>17</x:v>
      </x:c>
      <x:c r="B18" s="34" t="str">
        <x:v>DOR-KEE-M001</x:v>
      </x:c>
      <x:c r="C18" s="34" t="str">
        <x:v>基隆市</x:v>
      </x:c>
      <x:c r="D18" s="34" t="str">
        <x:v>仁愛區</x:v>
      </x:c>
      <x:c r="E18" s="34" t="str">
        <x:v>宮廟／夜市地標</x:v>
      </x:c>
      <x:c r="F18" s="34" t="str">
        <x:v>奠濟宮</x:v>
      </x:c>
      <x:c r="G18" s="34" t="str">
        <x:v>主要入口／廟埕代表點</x:v>
      </x:c>
      <x:c r="H18" s="38" t="n">
        <x:v>25.128321</x:v>
      </x:c>
      <x:c r="I18" s="38" t="n">
        <x:v>121.743123</x:v>
      </x:c>
      <x:c r="J18" s="42" t="n">
        <x:v>5</x:v>
      </x:c>
      <x:c r="K18" s="34" t="str">
        <x:v>★★★★★</x:v>
      </x:c>
      <x:c r="L18" s="34" t="str">
        <x:v>全國級</x:v>
      </x:c>
      <x:c r="M18" s="34" t="str">
        <x:v>開漳聖王</x:v>
      </x:c>
      <x:c r="N18" s="34" t="str">
        <x:v>廟口夜市名稱來源，城市辨識度極高，適合夜間散步任務。</x:v>
      </x:c>
      <x:c r="O18" s="34" t="str">
        <x:v>文化主線任務｜完成正門打卡、代表建築拍照與周邊街區散步，解鎖宮廟文化徽章。</x:v>
      </x:c>
      <x:c r="P18" s="34" t="str">
        <x:v>宗教場所通常對外開放；祭典、法會、整修或人流管制請依廟方與 Google Maps 最新公告。</x:v>
      </x:c>
      <x:c r="Q18" s="42" t="n">
        <x:v>50</x:v>
      </x:c>
      <x:c r="R18" s="34" t="str">
        <x:v>A</x:v>
      </x:c>
      <x:c r="S18" s="34" t="str">
        <x:v>Google Maps POI 圖釘；以廟埕或主要入口作為任務代表點</x:v>
      </x:c>
      <x:c r="T18" s="34" t="str">
        <x:v>宮廟／宗教文化</x:v>
      </x:c>
      <x:c r="U18" s="34" t="str">
        <x:v>基隆市仁愛區仁三路27之2號</x:v>
      </x:c>
      <x:c r="V18" s="34" t="str">
        <x:v>https://www.google.com/maps/search/?api=1&amp;query=%E5%A5%A0%E6%BF%9F%E5%AE%AE%20%E5%9F%BA%E9%9A%86%E5%B8%82%20%E4%BB%81%E6%84%9B%E5%8D%80</x:v>
      </x:c>
      <x:c r="W18" s="34" t="str">
        <x:v>https://www.google.com/maps?q=25.128321,121.743123</x:v>
      </x:c>
      <x:c r="X18" s="34" t="str">
        <x:v>Google Maps POI 主定位＋政府宗教資料／官方廟方資料交叉整理</x:v>
      </x:c>
      <x:c r="Y18" s="34" t="str">
        <x:v>2026-07-13</x:v>
      </x:c>
      <x:c r="Z18" s="34" t="str">
        <x:v>V4-宮廟知名地點池</x:v>
      </x:c>
      <x:c r="AA18" s="34" t="str">
        <x:v>以正式廟名、所在縣市與 Google Maps POI 區分同名宮廟。</x:v>
      </x:c>
      <x:c r="AB18" s="34" t="str">
        <x:v>正式上線前點開 Google Maps 連結，確認主入口、廟埕與任務圓心沒有落在後殿、停車場或山區道路。</x:v>
      </x:c>
    </x:row>
    <x:row r="19">
      <x:c r="A19" s="34" t="n">
        <x:v>18</x:v>
      </x:c>
      <x:c r="B19" s="34" t="str">
        <x:v>DOR-KEE-M002</x:v>
      </x:c>
      <x:c r="C19" s="34" t="str">
        <x:v>基隆市</x:v>
      </x:c>
      <x:c r="D19" s="34" t="str">
        <x:v>仁愛區</x:v>
      </x:c>
      <x:c r="E19" s="34" t="str">
        <x:v>媽祖廟</x:v>
      </x:c>
      <x:c r="F19" s="34" t="str">
        <x:v>基隆慶安宮</x:v>
      </x:c>
      <x:c r="G19" s="34" t="str">
        <x:v>主要入口／廟埕代表點</x:v>
      </x:c>
      <x:c r="H19" s="38" t="n">
        <x:v>25.131048</x:v>
      </x:c>
      <x:c r="I19" s="38" t="n">
        <x:v>121.741986</x:v>
      </x:c>
      <x:c r="J19" s="42" t="n">
        <x:v>4</x:v>
      </x:c>
      <x:c r="K19" s="34" t="str">
        <x:v>★★★★☆</x:v>
      </x:c>
      <x:c r="L19" s="34" t="str">
        <x:v>區域代表級</x:v>
      </x:c>
      <x:c r="M19" s="34" t="str">
        <x:v>天上聖母</x:v>
      </x:c>
      <x:c r="N19" s="34" t="str">
        <x:v>基隆港區重要媽祖信仰中心，鄰近車站與港岸。</x:v>
      </x:c>
      <x:c r="O19" s="34" t="str">
        <x:v>文化探索任務｜完成廟埕打卡，沿周邊老街、聚落或生活圈步行探索。</x:v>
      </x:c>
      <x:c r="P19" s="34" t="str">
        <x:v>宗教場所通常對外開放；祭典、法會、整修或人流管制請依廟方與 Google Maps 最新公告。</x:v>
      </x:c>
      <x:c r="Q19" s="42" t="n">
        <x:v>55</x:v>
      </x:c>
      <x:c r="R19" s="34" t="str">
        <x:v>A</x:v>
      </x:c>
      <x:c r="S19" s="34" t="str">
        <x:v>Google Maps POI 圖釘；以廟埕或主要入口作為任務代表點</x:v>
      </x:c>
      <x:c r="T19" s="34" t="str">
        <x:v>宮廟／宗教文化</x:v>
      </x:c>
      <x:c r="U19" s="34" t="str">
        <x:v>基隆市仁愛區忠二路1號</x:v>
      </x:c>
      <x:c r="V19" s="34" t="str">
        <x:v>https://www.google.com/maps/search/?api=1&amp;query=%E5%9F%BA%E9%9A%86%E6%85%B6%E5%AE%89%E5%AE%AE%20%E5%9F%BA%E9%9A%86%E5%B8%82%20%E4%BB%81%E6%84%9B%E5%8D%80</x:v>
      </x:c>
      <x:c r="W19" s="34" t="str">
        <x:v>https://www.google.com/maps?q=25.131048,121.741986</x:v>
      </x:c>
      <x:c r="X19" s="34" t="str">
        <x:v>Google Maps POI 主定位＋政府宗教資料／官方廟方資料交叉整理</x:v>
      </x:c>
      <x:c r="Y19" s="34" t="str">
        <x:v>2026-07-13</x:v>
      </x:c>
      <x:c r="Z19" s="34" t="str">
        <x:v>V4-宮廟知名地點池</x:v>
      </x:c>
      <x:c r="AA19" s="34" t="str">
        <x:v>以正式廟名、所在縣市與 Google Maps POI 區分同名宮廟。</x:v>
      </x:c>
      <x:c r="AB19" s="34" t="str">
        <x:v>正式上線前點開 Google Maps 連結，確認主入口、廟埕與任務圓心沒有落在後殿、停車場或山區道路。</x:v>
      </x:c>
    </x:row>
    <x:row r="20">
      <x:c r="A20" s="34" t="n">
        <x:v>19</x:v>
      </x:c>
      <x:c r="B20" s="34" t="str">
        <x:v>DOR-KEE-M003</x:v>
      </x:c>
      <x:c r="C20" s="34" t="str">
        <x:v>基隆市</x:v>
      </x:c>
      <x:c r="D20" s="34" t="str">
        <x:v>仁愛區</x:v>
      </x:c>
      <x:c r="E20" s="34" t="str">
        <x:v>城隍廟</x:v>
      </x:c>
      <x:c r="F20" s="34" t="str">
        <x:v>基隆城隍廟</x:v>
      </x:c>
      <x:c r="G20" s="34" t="str">
        <x:v>主要入口／廟埕代表點</x:v>
      </x:c>
      <x:c r="H20" s="38" t="n">
        <x:v>25.129197</x:v>
      </x:c>
      <x:c r="I20" s="38" t="n">
        <x:v>121.7418</x:v>
      </x:c>
      <x:c r="J20" s="42" t="n">
        <x:v>4</x:v>
      </x:c>
      <x:c r="K20" s="34" t="str">
        <x:v>★★★★☆</x:v>
      </x:c>
      <x:c r="L20" s="34" t="str">
        <x:v>區域代表級</x:v>
      </x:c>
      <x:c r="M20" s="34" t="str">
        <x:v>城隍尊神</x:v>
      </x:c>
      <x:c r="N20" s="34" t="str">
        <x:v>港都重要城隍信仰中心，適合串聯廟口與港區。</x:v>
      </x:c>
      <x:c r="O20" s="34" t="str">
        <x:v>文化探索任務｜完成廟埕打卡，沿周邊老街、聚落或生活圈步行探索。</x:v>
      </x:c>
      <x:c r="P20" s="34" t="str">
        <x:v>宗教場所通常對外開放；祭典、法會、整修或人流管制請依廟方與 Google Maps 最新公告。</x:v>
      </x:c>
      <x:c r="Q20" s="42" t="n">
        <x:v>45</x:v>
      </x:c>
      <x:c r="R20" s="34" t="str">
        <x:v>A</x:v>
      </x:c>
      <x:c r="S20" s="34" t="str">
        <x:v>Google Maps POI 圖釘；以廟埕或主要入口作為任務代表點</x:v>
      </x:c>
      <x:c r="T20" s="34" t="str">
        <x:v>宮廟／宗教文化</x:v>
      </x:c>
      <x:c r="U20" s="34" t="str">
        <x:v>基隆市仁愛區忠一路7號</x:v>
      </x:c>
      <x:c r="V20" s="34" t="str">
        <x:v>https://www.google.com/maps/search/?api=1&amp;query=%E5%9F%BA%E9%9A%86%E5%9F%8E%E9%9A%8D%E5%BB%9F%20%E5%9F%BA%E9%9A%86%E5%B8%82%20%E4%BB%81%E6%84%9B%E5%8D%80</x:v>
      </x:c>
      <x:c r="W20" s="34" t="str">
        <x:v>https://www.google.com/maps?q=25.129197,121.741800</x:v>
      </x:c>
      <x:c r="X20" s="34" t="str">
        <x:v>Google Maps POI 主定位＋政府宗教資料／官方廟方資料交叉整理</x:v>
      </x:c>
      <x:c r="Y20" s="34" t="str">
        <x:v>2026-07-13</x:v>
      </x:c>
      <x:c r="Z20" s="34" t="str">
        <x:v>V4-宮廟知名地點池</x:v>
      </x:c>
      <x:c r="AA20" s="34" t="str">
        <x:v>以正式廟名、所在縣市與 Google Maps POI 區分同名宮廟。</x:v>
      </x:c>
      <x:c r="AB20" s="34" t="str">
        <x:v>正式上線前點開 Google Maps 連結，確認主入口、廟埕與任務圓心沒有落在後殿、停車場或山區道路。</x:v>
      </x:c>
    </x:row>
    <x:row r="21">
      <x:c r="A21" s="34" t="n">
        <x:v>20</x:v>
      </x:c>
      <x:c r="B21" s="34" t="str">
        <x:v>DOR-KEE-M004</x:v>
      </x:c>
      <x:c r="C21" s="34" t="str">
        <x:v>基隆市</x:v>
      </x:c>
      <x:c r="D21" s="34" t="str">
        <x:v>中山區</x:v>
      </x:c>
      <x:c r="E21" s="34" t="str">
        <x:v>石窟寺廟／古蹟</x:v>
      </x:c>
      <x:c r="F21" s="34" t="str">
        <x:v>仙洞巖</x:v>
      </x:c>
      <x:c r="G21" s="34" t="str">
        <x:v>主要入口／廟埕代表點</x:v>
      </x:c>
      <x:c r="H21" s="38" t="n">
        <x:v>25.145117</x:v>
      </x:c>
      <x:c r="I21" s="38" t="n">
        <x:v>121.748502</x:v>
      </x:c>
      <x:c r="J21" s="42" t="n">
        <x:v>4</x:v>
      </x:c>
      <x:c r="K21" s="34" t="str">
        <x:v>★★★★☆</x:v>
      </x:c>
      <x:c r="L21" s="34" t="str">
        <x:v>區域代表級</x:v>
      </x:c>
      <x:c r="M21" s="34" t="str">
        <x:v>觀世音菩薩</x:v>
      </x:c>
      <x:c r="N21" s="34" t="str">
        <x:v>天然海蝕洞與佛寺結合，景觀與探索性強。</x:v>
      </x:c>
      <x:c r="O21" s="34" t="str">
        <x:v>文化探索任務｜完成廟埕打卡，沿周邊老街、聚落或生活圈步行探索。</x:v>
      </x:c>
      <x:c r="P21" s="34" t="str">
        <x:v>宗教場所通常對外開放；祭典、法會、整修或人流管制請依廟方與 Google Maps 最新公告。</x:v>
      </x:c>
      <x:c r="Q21" s="42" t="n">
        <x:v>80</x:v>
      </x:c>
      <x:c r="R21" s="34" t="str">
        <x:v>B</x:v>
      </x:c>
      <x:c r="S21" s="34" t="str">
        <x:v>Google Maps POI 圖釘；以廟埕或主要入口作為任務代表點</x:v>
      </x:c>
      <x:c r="T21" s="34" t="str">
        <x:v>宮廟／宗教文化</x:v>
      </x:c>
      <x:c r="U21" s="34" t="str">
        <x:v>基隆市中山區仁安街1號</x:v>
      </x:c>
      <x:c r="V21" s="34" t="str">
        <x:v>https://www.google.com/maps/search/?api=1&amp;query=%E4%BB%99%E6%B4%9E%E5%B7%96%20%E5%9F%BA%E9%9A%86%E5%B8%82%20%E4%B8%AD%E5%B1%B1%E5%8D%80</x:v>
      </x:c>
      <x:c r="W21" s="34" t="str">
        <x:v>https://www.google.com/maps?q=25.145117,121.748502</x:v>
      </x:c>
      <x:c r="X21" s="34" t="str">
        <x:v>Google Maps POI 主定位＋政府宗教資料／官方廟方資料交叉整理</x:v>
      </x:c>
      <x:c r="Y21" s="34" t="str">
        <x:v>2026-07-13</x:v>
      </x:c>
      <x:c r="Z21" s="34" t="str">
        <x:v>V4-宮廟知名地點池</x:v>
      </x:c>
      <x:c r="AA21" s="34" t="str">
        <x:v>以正式廟名、所在縣市與 Google Maps POI 區分同名宮廟。</x:v>
      </x:c>
      <x:c r="AB21" s="34" t="str">
        <x:v>正式上線前點開 Google Maps 連結，確認主入口、廟埕與任務圓心沒有落在後殿、停車場或山區道路。</x:v>
      </x:c>
    </x:row>
    <x:row r="22">
      <x:c r="A22" s="34" t="n">
        <x:v>21</x:v>
      </x:c>
      <x:c r="B22" s="34" t="str">
        <x:v>DOR-TAO-M001</x:v>
      </x:c>
      <x:c r="C22" s="34" t="str">
        <x:v>桃園市</x:v>
      </x:c>
      <x:c r="D22" s="34" t="str">
        <x:v>桃園區</x:v>
      </x:c>
      <x:c r="E22" s="34" t="str">
        <x:v>地方公廟／古蹟</x:v>
      </x:c>
      <x:c r="F22" s="34" t="str">
        <x:v>桃園景福宮</x:v>
      </x:c>
      <x:c r="G22" s="34" t="str">
        <x:v>主要入口／廟埕代表點</x:v>
      </x:c>
      <x:c r="H22" s="38" t="n">
        <x:v>24.994599</x:v>
      </x:c>
      <x:c r="I22" s="38" t="n">
        <x:v>121.311884</x:v>
      </x:c>
      <x:c r="J22" s="42" t="n">
        <x:v>5</x:v>
      </x:c>
      <x:c r="K22" s="34" t="str">
        <x:v>★★★★★</x:v>
      </x:c>
      <x:c r="L22" s="34" t="str">
        <x:v>全國級</x:v>
      </x:c>
      <x:c r="M22" s="34" t="str">
        <x:v>開漳聖王</x:v>
      </x:c>
      <x:c r="N22" s="34" t="str">
        <x:v>桃園舊城核心信仰中心，適合市中心步行打卡。</x:v>
      </x:c>
      <x:c r="O22" s="34" t="str">
        <x:v>文化主線任務｜完成正門打卡、代表建築拍照與周邊街區散步，解鎖宮廟文化徽章。</x:v>
      </x:c>
      <x:c r="P22" s="34" t="str">
        <x:v>宗教場所通常對外開放；祭典、法會、整修或人流管制請依廟方與 Google Maps 最新公告。</x:v>
      </x:c>
      <x:c r="Q22" s="42" t="n">
        <x:v>55</x:v>
      </x:c>
      <x:c r="R22" s="34" t="str">
        <x:v>A</x:v>
      </x:c>
      <x:c r="S22" s="34" t="str">
        <x:v>Google Maps POI 圖釘；以廟埕或主要入口作為任務代表點</x:v>
      </x:c>
      <x:c r="T22" s="34" t="str">
        <x:v>宮廟／宗教文化</x:v>
      </x:c>
      <x:c r="U22" s="34" t="str">
        <x:v>桃園市桃園區中正路208號</x:v>
      </x:c>
      <x:c r="V22" s="34" t="str">
        <x:v>https://www.google.com/maps/search/?api=1&amp;query=%E6%A1%83%E5%9C%92%E6%99%AF%E7%A6%8F%E5%AE%AE%20%E6%A1%83%E5%9C%92%E5%B8%82%20%E6%A1%83%E5%9C%92%E5%8D%80</x:v>
      </x:c>
      <x:c r="W22" s="34" t="str">
        <x:v>https://www.google.com/maps?q=24.994599,121.311884</x:v>
      </x:c>
      <x:c r="X22" s="34" t="str">
        <x:v>Google Maps POI 主定位＋政府宗教資料／官方廟方資料交叉整理</x:v>
      </x:c>
      <x:c r="Y22" s="34" t="str">
        <x:v>2026-07-13</x:v>
      </x:c>
      <x:c r="Z22" s="34" t="str">
        <x:v>V4-宮廟知名地點池</x:v>
      </x:c>
      <x:c r="AA22" s="34" t="str">
        <x:v>以正式廟名、所在縣市與 Google Maps POI 區分同名宮廟。</x:v>
      </x:c>
      <x:c r="AB22" s="34" t="str">
        <x:v>正式上線前點開 Google Maps 連結，確認主入口、廟埕與任務圓心沒有落在後殿、停車場或山區道路。</x:v>
      </x:c>
    </x:row>
    <x:row r="23">
      <x:c r="A23" s="34" t="n">
        <x:v>22</x:v>
      </x:c>
      <x:c r="B23" s="34" t="str">
        <x:v>DOR-TAO-M002</x:v>
      </x:c>
      <x:c r="C23" s="34" t="str">
        <x:v>桃園市</x:v>
      </x:c>
      <x:c r="D23" s="34" t="str">
        <x:v>大溪區</x:v>
      </x:c>
      <x:c r="E23" s="34" t="str">
        <x:v>關帝廟</x:v>
      </x:c>
      <x:c r="F23" s="34" t="str">
        <x:v>大溪普濟堂</x:v>
      </x:c>
      <x:c r="G23" s="34" t="str">
        <x:v>主要入口／廟埕代表點</x:v>
      </x:c>
      <x:c r="H23" s="38" t="n">
        <x:v>24.884125</x:v>
      </x:c>
      <x:c r="I23" s="38" t="n">
        <x:v>121.286971</x:v>
      </x:c>
      <x:c r="J23" s="42" t="n">
        <x:v>4</x:v>
      </x:c>
      <x:c r="K23" s="34" t="str">
        <x:v>★★★★☆</x:v>
      </x:c>
      <x:c r="L23" s="34" t="str">
        <x:v>區域代表級</x:v>
      </x:c>
      <x:c r="M23" s="34" t="str">
        <x:v>關聖帝君</x:v>
      </x:c>
      <x:c r="N23" s="34" t="str">
        <x:v>大溪老街與關聖帝君信仰核心，慶典與街區文化鮮明。</x:v>
      </x:c>
      <x:c r="O23" s="34" t="str">
        <x:v>文化探索任務｜完成廟埕打卡，沿周邊老街、聚落或生活圈步行探索。</x:v>
      </x:c>
      <x:c r="P23" s="34" t="str">
        <x:v>宗教場所通常對外開放；祭典、法會、整修或人流管制請依廟方與 Google Maps 最新公告。</x:v>
      </x:c>
      <x:c r="Q23" s="42" t="n">
        <x:v>55</x:v>
      </x:c>
      <x:c r="R23" s="34" t="str">
        <x:v>A</x:v>
      </x:c>
      <x:c r="S23" s="34" t="str">
        <x:v>Google Maps POI 圖釘；以廟埕或主要入口作為任務代表點</x:v>
      </x:c>
      <x:c r="T23" s="34" t="str">
        <x:v>宮廟／宗教文化</x:v>
      </x:c>
      <x:c r="U23" s="34" t="str">
        <x:v>桃園市大溪區普濟路124號</x:v>
      </x:c>
      <x:c r="V23" s="34" t="str">
        <x:v>https://www.google.com/maps/search/?api=1&amp;query=%E5%A4%A7%E6%BA%AA%E6%99%AE%E6%BF%9F%E5%A0%82%20%E6%A1%83%E5%9C%92%E5%B8%82%20%E5%A4%A7%E6%BA%AA%E5%8D%80</x:v>
      </x:c>
      <x:c r="W23" s="34" t="str">
        <x:v>https://www.google.com/maps?q=24.884125,121.286971</x:v>
      </x:c>
      <x:c r="X23" s="34" t="str">
        <x:v>Google Maps POI 主定位＋政府宗教資料／官方廟方資料交叉整理</x:v>
      </x:c>
      <x:c r="Y23" s="34" t="str">
        <x:v>2026-07-13</x:v>
      </x:c>
      <x:c r="Z23" s="34" t="str">
        <x:v>V4-宮廟知名地點池</x:v>
      </x:c>
      <x:c r="AA23" s="34" t="str">
        <x:v>以正式廟名、所在縣市與 Google Maps POI 區分同名宮廟。</x:v>
      </x:c>
      <x:c r="AB23" s="34" t="str">
        <x:v>正式上線前點開 Google Maps 連結，確認主入口、廟埕與任務圓心沒有落在後殿、停車場或山區道路。</x:v>
      </x:c>
    </x:row>
    <x:row r="24">
      <x:c r="A24" s="34" t="n">
        <x:v>23</x:v>
      </x:c>
      <x:c r="B24" s="34" t="str">
        <x:v>DOR-TAO-M003</x:v>
      </x:c>
      <x:c r="C24" s="34" t="str">
        <x:v>桃園市</x:v>
      </x:c>
      <x:c r="D24" s="34" t="str">
        <x:v>中壢區</x:v>
      </x:c>
      <x:c r="E24" s="34" t="str">
        <x:v>媽祖廟</x:v>
      </x:c>
      <x:c r="F24" s="34" t="str">
        <x:v>中壢仁海宮</x:v>
      </x:c>
      <x:c r="G24" s="34" t="str">
        <x:v>主要入口／廟埕代表點</x:v>
      </x:c>
      <x:c r="H24" s="38" t="n">
        <x:v>24.953242</x:v>
      </x:c>
      <x:c r="I24" s="38" t="n">
        <x:v>121.225404</x:v>
      </x:c>
      <x:c r="J24" s="42" t="n">
        <x:v>4</x:v>
      </x:c>
      <x:c r="K24" s="34" t="str">
        <x:v>★★★★☆</x:v>
      </x:c>
      <x:c r="L24" s="34" t="str">
        <x:v>區域代表級</x:v>
      </x:c>
      <x:c r="M24" s="34" t="str">
        <x:v>天上聖母</x:v>
      </x:c>
      <x:c r="N24" s="34" t="str">
        <x:v>中壢重要信仰中心，鄰近市區生活圈。</x:v>
      </x:c>
      <x:c r="O24" s="34" t="str">
        <x:v>文化探索任務｜完成廟埕打卡，沿周邊老街、聚落或生活圈步行探索。</x:v>
      </x:c>
      <x:c r="P24" s="34" t="str">
        <x:v>宗教場所通常對外開放；祭典、法會、整修或人流管制請依廟方與 Google Maps 最新公告。</x:v>
      </x:c>
      <x:c r="Q24" s="42" t="n">
        <x:v>55</x:v>
      </x:c>
      <x:c r="R24" s="34" t="str">
        <x:v>A</x:v>
      </x:c>
      <x:c r="S24" s="34" t="str">
        <x:v>Google Maps POI 圖釘；以廟埕或主要入口作為任務代表點</x:v>
      </x:c>
      <x:c r="T24" s="34" t="str">
        <x:v>宮廟／宗教文化</x:v>
      </x:c>
      <x:c r="U24" s="34" t="str">
        <x:v>桃園市中壢區延平路198號</x:v>
      </x:c>
      <x:c r="V24" s="34" t="str">
        <x:v>https://www.google.com/maps/search/?api=1&amp;query=%E4%B8%AD%E5%A3%A2%E4%BB%81%E6%B5%B7%E5%AE%AE%20%E6%A1%83%E5%9C%92%E5%B8%82%20%E4%B8%AD%E5%A3%A2%E5%8D%80</x:v>
      </x:c>
      <x:c r="W24" s="34" t="str">
        <x:v>https://www.google.com/maps?q=24.953242,121.225404</x:v>
      </x:c>
      <x:c r="X24" s="34" t="str">
        <x:v>Google Maps POI 主定位＋政府宗教資料／官方廟方資料交叉整理</x:v>
      </x:c>
      <x:c r="Y24" s="34" t="str">
        <x:v>2026-07-13</x:v>
      </x:c>
      <x:c r="Z24" s="34" t="str">
        <x:v>V4-宮廟知名地點池</x:v>
      </x:c>
      <x:c r="AA24" s="34" t="str">
        <x:v>以正式廟名、所在縣市與 Google Maps POI 區分同名宮廟。</x:v>
      </x:c>
      <x:c r="AB24" s="34" t="str">
        <x:v>正式上線前點開 Google Maps 連結，確認主入口、廟埕與任務圓心沒有落在後殿、停車場或山區道路。</x:v>
      </x:c>
    </x:row>
    <x:row r="25">
      <x:c r="A25" s="34" t="n">
        <x:v>24</x:v>
      </x:c>
      <x:c r="B25" s="34" t="str">
        <x:v>DOR-TAO-M004</x:v>
      </x:c>
      <x:c r="C25" s="34" t="str">
        <x:v>桃園市</x:v>
      </x:c>
      <x:c r="D25" s="34" t="str">
        <x:v>龜山區</x:v>
      </x:c>
      <x:c r="E25" s="34" t="str">
        <x:v>觀音寺／古蹟</x:v>
      </x:c>
      <x:c r="F25" s="34" t="str">
        <x:v>壽山巖觀音寺</x:v>
      </x:c>
      <x:c r="G25" s="34" t="str">
        <x:v>主要入口／廟埕代表點</x:v>
      </x:c>
      <x:c r="H25" s="38" t="n">
        <x:v>25.018655</x:v>
      </x:c>
      <x:c r="I25" s="38" t="n">
        <x:v>121.365358</x:v>
      </x:c>
      <x:c r="J25" s="42" t="n">
        <x:v>5</x:v>
      </x:c>
      <x:c r="K25" s="34" t="str">
        <x:v>★★★★★</x:v>
      </x:c>
      <x:c r="L25" s="34" t="str">
        <x:v>全國級</x:v>
      </x:c>
      <x:c r="M25" s="34" t="str">
        <x:v>觀世音菩薩</x:v>
      </x:c>
      <x:c r="N25" s="34" t="str">
        <x:v>北臺灣歷史悠久的觀音信仰中心，山坡與古蹟特色兼具。</x:v>
      </x:c>
      <x:c r="O25" s="34" t="str">
        <x:v>文化主線任務｜完成正門打卡、代表建築拍照與周邊街區散步，解鎖宮廟文化徽章。</x:v>
      </x:c>
      <x:c r="P25" s="34" t="str">
        <x:v>宗教場所通常對外開放；祭典、法會、整修或人流管制請依廟方與 Google Maps 最新公告。</x:v>
      </x:c>
      <x:c r="Q25" s="42" t="n">
        <x:v>80</x:v>
      </x:c>
      <x:c r="R25" s="34" t="str">
        <x:v>B</x:v>
      </x:c>
      <x:c r="S25" s="34" t="str">
        <x:v>Google Maps POI 圖釘；以廟埕或主要入口作為任務代表點</x:v>
      </x:c>
      <x:c r="T25" s="34" t="str">
        <x:v>宮廟／宗教文化</x:v>
      </x:c>
      <x:c r="U25" s="34" t="str">
        <x:v>桃園市龜山區萬壽路二段6巷111號</x:v>
      </x:c>
      <x:c r="V25" s="34" t="str">
        <x:v>https://www.google.com/maps/search/?api=1&amp;query=%E5%A3%BD%E5%B1%B1%E5%B7%96%E8%A7%80%E9%9F%B3%E5%AF%BA%20%E6%A1%83%E5%9C%92%E5%B8%82%20%E9%BE%9C%E5%B1%B1%E5%8D%80</x:v>
      </x:c>
      <x:c r="W25" s="34" t="str">
        <x:v>https://www.google.com/maps?q=25.018655,121.365358</x:v>
      </x:c>
      <x:c r="X25" s="34" t="str">
        <x:v>Google Maps POI 主定位＋政府宗教資料／官方廟方資料交叉整理</x:v>
      </x:c>
      <x:c r="Y25" s="34" t="str">
        <x:v>2026-07-13</x:v>
      </x:c>
      <x:c r="Z25" s="34" t="str">
        <x:v>V4-宮廟知名地點池</x:v>
      </x:c>
      <x:c r="AA25" s="34" t="str">
        <x:v>以正式廟名、所在縣市與 Google Maps POI 區分同名宮廟。</x:v>
      </x:c>
      <x:c r="AB25" s="34" t="str">
        <x:v>正式上線前點開 Google Maps 連結，確認主入口、廟埕與任務圓心沒有落在後殿、停車場或山區道路。</x:v>
      </x:c>
    </x:row>
    <x:row r="26">
      <x:c r="A26" s="34" t="n">
        <x:v>25</x:v>
      </x:c>
      <x:c r="B26" s="34" t="str">
        <x:v>DOR-TAO-M005</x:v>
      </x:c>
      <x:c r="C26" s="34" t="str">
        <x:v>桃園市</x:v>
      </x:c>
      <x:c r="D26" s="34" t="str">
        <x:v>蘆竹區</x:v>
      </x:c>
      <x:c r="E26" s="34" t="str">
        <x:v>玄天上帝廟／古蹟</x:v>
      </x:c>
      <x:c r="F26" s="34" t="str">
        <x:v>南崁五福宮</x:v>
      </x:c>
      <x:c r="G26" s="34" t="str">
        <x:v>主要入口／廟埕代表點</x:v>
      </x:c>
      <x:c r="H26" s="38" t="n">
        <x:v>25.056723</x:v>
      </x:c>
      <x:c r="I26" s="38" t="n">
        <x:v>121.29241</x:v>
      </x:c>
      <x:c r="J26" s="42" t="n">
        <x:v>4</x:v>
      </x:c>
      <x:c r="K26" s="34" t="str">
        <x:v>★★★★☆</x:v>
      </x:c>
      <x:c r="L26" s="34" t="str">
        <x:v>區域代表級</x:v>
      </x:c>
      <x:c r="M26" s="34" t="str">
        <x:v>玄天上帝</x:v>
      </x:c>
      <x:c r="N26" s="34" t="str">
        <x:v>南崁地區代表性古廟，生活圈可達性高。</x:v>
      </x:c>
      <x:c r="O26" s="34" t="str">
        <x:v>文化探索任務｜完成廟埕打卡，沿周邊老街、聚落或生活圈步行探索。</x:v>
      </x:c>
      <x:c r="P26" s="34" t="str">
        <x:v>宗教場所通常對外開放；祭典、法會、整修或人流管制請依廟方與 Google Maps 最新公告。</x:v>
      </x:c>
      <x:c r="Q26" s="42" t="n">
        <x:v>60</x:v>
      </x:c>
      <x:c r="R26" s="34" t="str">
        <x:v>A</x:v>
      </x:c>
      <x:c r="S26" s="34" t="str">
        <x:v>Google Maps POI 圖釘；以廟埕或主要入口作為任務代表點</x:v>
      </x:c>
      <x:c r="T26" s="34" t="str">
        <x:v>宮廟／宗教文化</x:v>
      </x:c>
      <x:c r="U26" s="34" t="str">
        <x:v>桃園市蘆竹區五福路1號</x:v>
      </x:c>
      <x:c r="V26" s="34" t="str">
        <x:v>https://www.google.com/maps/search/?api=1&amp;query=%E5%8D%97%E5%B4%81%E4%BA%94%E7%A6%8F%E5%AE%AE%20%E6%A1%83%E5%9C%92%E5%B8%82%20%E8%98%86%E7%AB%B9%E5%8D%80</x:v>
      </x:c>
      <x:c r="W26" s="34" t="str">
        <x:v>https://www.google.com/maps?q=25.056723,121.292410</x:v>
      </x:c>
      <x:c r="X26" s="34" t="str">
        <x:v>Google Maps POI 主定位＋政府宗教資料／官方廟方資料交叉整理</x:v>
      </x:c>
      <x:c r="Y26" s="34" t="str">
        <x:v>2026-07-13</x:v>
      </x:c>
      <x:c r="Z26" s="34" t="str">
        <x:v>V4-宮廟知名地點池</x:v>
      </x:c>
      <x:c r="AA26" s="34" t="str">
        <x:v>以正式廟名、所在縣市與 Google Maps POI 區分同名宮廟。</x:v>
      </x:c>
      <x:c r="AB26" s="34" t="str">
        <x:v>正式上線前點開 Google Maps 連結，確認主入口、廟埕與任務圓心沒有落在後殿、停車場或山區道路。</x:v>
      </x:c>
    </x:row>
    <x:row r="27">
      <x:c r="A27" s="34" t="n">
        <x:v>26</x:v>
      </x:c>
      <x:c r="B27" s="34" t="str">
        <x:v>DOR-TAO-M006</x:v>
      </x:c>
      <x:c r="C27" s="34" t="str">
        <x:v>桃園市</x:v>
      </x:c>
      <x:c r="D27" s="34" t="str">
        <x:v>大園區</x:v>
      </x:c>
      <x:c r="E27" s="34" t="str">
        <x:v>媽祖廟</x:v>
      </x:c>
      <x:c r="F27" s="34" t="str">
        <x:v>竹圍福海宮</x:v>
      </x:c>
      <x:c r="G27" s="34" t="str">
        <x:v>主要入口／廟埕代表點</x:v>
      </x:c>
      <x:c r="H27" s="38" t="n">
        <x:v>25.108241</x:v>
      </x:c>
      <x:c r="I27" s="38" t="n">
        <x:v>121.244979</x:v>
      </x:c>
      <x:c r="J27" s="42" t="n">
        <x:v>4</x:v>
      </x:c>
      <x:c r="K27" s="34" t="str">
        <x:v>★★★★☆</x:v>
      </x:c>
      <x:c r="L27" s="34" t="str">
        <x:v>區域代表級</x:v>
      </x:c>
      <x:c r="M27" s="34" t="str">
        <x:v>輔信王公／天上聖母</x:v>
      </x:c>
      <x:c r="N27" s="34" t="str">
        <x:v>桃園沿海重要信仰中心，可串聯漁港與海線探索。</x:v>
      </x:c>
      <x:c r="O27" s="34" t="str">
        <x:v>文化探索任務｜完成廟埕打卡，沿周邊老街、聚落或生活圈步行探索。</x:v>
      </x:c>
      <x:c r="P27" s="34" t="str">
        <x:v>宗教場所通常對外開放；祭典、法會、整修或人流管制請依廟方與 Google Maps 最新公告。</x:v>
      </x:c>
      <x:c r="Q27" s="42" t="n">
        <x:v>65</x:v>
      </x:c>
      <x:c r="R27" s="34" t="str">
        <x:v>A</x:v>
      </x:c>
      <x:c r="S27" s="34" t="str">
        <x:v>Google Maps POI 圖釘；以廟埕或主要入口作為任務代表點</x:v>
      </x:c>
      <x:c r="T27" s="34" t="str">
        <x:v>宮廟／宗教文化</x:v>
      </x:c>
      <x:c r="U27" s="34" t="str">
        <x:v>桃園市大園區竹圍里竹圍街6號</x:v>
      </x:c>
      <x:c r="V27" s="34" t="str">
        <x:v>https://www.google.com/maps/search/?api=1&amp;query=%E7%AB%B9%E5%9C%8D%E7%A6%8F%E6%B5%B7%E5%AE%AE%20%E6%A1%83%E5%9C%92%E5%B8%82%20%E5%A4%A7%E5%9C%92%E5%8D%80</x:v>
      </x:c>
      <x:c r="W27" s="34" t="str">
        <x:v>https://www.google.com/maps?q=25.108241,121.244979</x:v>
      </x:c>
      <x:c r="X27" s="34" t="str">
        <x:v>Google Maps POI 主定位＋政府宗教資料／官方廟方資料交叉整理</x:v>
      </x:c>
      <x:c r="Y27" s="34" t="str">
        <x:v>2026-07-13</x:v>
      </x:c>
      <x:c r="Z27" s="34" t="str">
        <x:v>V4-宮廟知名地點池</x:v>
      </x:c>
      <x:c r="AA27" s="34" t="str">
        <x:v>以正式廟名、所在縣市與 Google Maps POI 區分同名宮廟。</x:v>
      </x:c>
      <x:c r="AB27" s="34" t="str">
        <x:v>正式上線前點開 Google Maps 連結，確認主入口、廟埕與任務圓心沒有落在後殿、停車場或山區道路。</x:v>
      </x:c>
    </x:row>
    <x:row r="28">
      <x:c r="A28" s="34" t="n">
        <x:v>27</x:v>
      </x:c>
      <x:c r="B28" s="34" t="str">
        <x:v>DOR-HSZ-M001</x:v>
      </x:c>
      <x:c r="C28" s="34" t="str">
        <x:v>新竹市</x:v>
      </x:c>
      <x:c r="D28" s="34" t="str">
        <x:v>北區</x:v>
      </x:c>
      <x:c r="E28" s="34" t="str">
        <x:v>城隍廟／古蹟</x:v>
      </x:c>
      <x:c r="F28" s="34" t="str">
        <x:v>新竹都城隍廟</x:v>
      </x:c>
      <x:c r="G28" s="34" t="str">
        <x:v>主要入口／廟埕代表點</x:v>
      </x:c>
      <x:c r="H28" s="38" t="n">
        <x:v>24.804916</x:v>
      </x:c>
      <x:c r="I28" s="38" t="n">
        <x:v>120.965071</x:v>
      </x:c>
      <x:c r="J28" s="42" t="n">
        <x:v>5</x:v>
      </x:c>
      <x:c r="K28" s="34" t="str">
        <x:v>★★★★★</x:v>
      </x:c>
      <x:c r="L28" s="34" t="str">
        <x:v>全國級</x:v>
      </x:c>
      <x:c r="M28" s="34" t="str">
        <x:v>都城隍</x:v>
      </x:c>
      <x:c r="N28" s="34" t="str">
        <x:v>全臺具高度代表性的城隍廟，與城隍廟商圈緊密結合。</x:v>
      </x:c>
      <x:c r="O28" s="34" t="str">
        <x:v>文化主線任務｜完成正門打卡、代表建築拍照與周邊街區散步，解鎖宮廟文化徽章。</x:v>
      </x:c>
      <x:c r="P28" s="34" t="str">
        <x:v>宗教場所通常對外開放；祭典、法會、整修或人流管制請依廟方與 Google Maps 最新公告。</x:v>
      </x:c>
      <x:c r="Q28" s="42" t="n">
        <x:v>55</x:v>
      </x:c>
      <x:c r="R28" s="34" t="str">
        <x:v>A</x:v>
      </x:c>
      <x:c r="S28" s="34" t="str">
        <x:v>Google Maps POI 圖釘；以廟埕或主要入口作為任務代表點</x:v>
      </x:c>
      <x:c r="T28" s="34" t="str">
        <x:v>宮廟／宗教文化</x:v>
      </x:c>
      <x:c r="U28" s="34" t="str">
        <x:v>新竹市北區中山路75號</x:v>
      </x:c>
      <x:c r="V28" s="34" t="str">
        <x:v>https://www.google.com/maps/search/?api=1&amp;query=%E6%96%B0%E7%AB%B9%E9%83%BD%E5%9F%8E%E9%9A%8D%E5%BB%9F%20%E6%96%B0%E7%AB%B9%E5%B8%82%20%E5%8C%97%E5%8D%80</x:v>
      </x:c>
      <x:c r="W28" s="34" t="str">
        <x:v>https://www.google.com/maps?q=24.804916,120.965071</x:v>
      </x:c>
      <x:c r="X28" s="34" t="str">
        <x:v>Google Maps POI 主定位＋政府宗教資料／官方廟方資料交叉整理</x:v>
      </x:c>
      <x:c r="Y28" s="34" t="str">
        <x:v>2026-07-13</x:v>
      </x:c>
      <x:c r="Z28" s="34" t="str">
        <x:v>V4-宮廟知名地點池</x:v>
      </x:c>
      <x:c r="AA28" s="34" t="str">
        <x:v>以正式廟名、所在縣市與 Google Maps POI 區分同名宮廟。</x:v>
      </x:c>
      <x:c r="AB28" s="34" t="str">
        <x:v>正式上線前點開 Google Maps 連結，確認主入口、廟埕與任務圓心沒有落在後殿、停車場或山區道路。</x:v>
      </x:c>
    </x:row>
    <x:row r="29">
      <x:c r="A29" s="34" t="n">
        <x:v>28</x:v>
      </x:c>
      <x:c r="B29" s="34" t="str">
        <x:v>DOR-HSZ-M002</x:v>
      </x:c>
      <x:c r="C29" s="34" t="str">
        <x:v>新竹市</x:v>
      </x:c>
      <x:c r="D29" s="34" t="str">
        <x:v>北區</x:v>
      </x:c>
      <x:c r="E29" s="34" t="str">
        <x:v>媽祖廟／古蹟</x:v>
      </x:c>
      <x:c r="F29" s="34" t="str">
        <x:v>新竹長和宮</x:v>
      </x:c>
      <x:c r="G29" s="34" t="str">
        <x:v>主要入口／廟埕代表點</x:v>
      </x:c>
      <x:c r="H29" s="38" t="n">
        <x:v>24.808532</x:v>
      </x:c>
      <x:c r="I29" s="38" t="n">
        <x:v>120.964876</x:v>
      </x:c>
      <x:c r="J29" s="42" t="n">
        <x:v>4</x:v>
      </x:c>
      <x:c r="K29" s="34" t="str">
        <x:v>★★★★☆</x:v>
      </x:c>
      <x:c r="L29" s="34" t="str">
        <x:v>區域代表級</x:v>
      </x:c>
      <x:c r="M29" s="34" t="str">
        <x:v>天上聖母</x:v>
      </x:c>
      <x:c r="N29" s="34" t="str">
        <x:v>雙宮並列格局具特色，北門街文化散步價值高。</x:v>
      </x:c>
      <x:c r="O29" s="34" t="str">
        <x:v>文化探索任務｜完成廟埕打卡，沿周邊老街、聚落或生活圈步行探索。</x:v>
      </x:c>
      <x:c r="P29" s="34" t="str">
        <x:v>宗教場所通常對外開放；祭典、法會、整修或人流管制請依廟方與 Google Maps 最新公告。</x:v>
      </x:c>
      <x:c r="Q29" s="42" t="n">
        <x:v>50</x:v>
      </x:c>
      <x:c r="R29" s="34" t="str">
        <x:v>A</x:v>
      </x:c>
      <x:c r="S29" s="34" t="str">
        <x:v>Google Maps POI 圖釘；以廟埕或主要入口作為任務代表點</x:v>
      </x:c>
      <x:c r="T29" s="34" t="str">
        <x:v>宮廟／宗教文化</x:v>
      </x:c>
      <x:c r="U29" s="34" t="str">
        <x:v>新竹市北區北門街135號</x:v>
      </x:c>
      <x:c r="V29" s="34" t="str">
        <x:v>https://www.google.com/maps/search/?api=1&amp;query=%E6%96%B0%E7%AB%B9%E9%95%B7%E5%92%8C%E5%AE%AE%20%E6%96%B0%E7%AB%B9%E5%B8%82%20%E5%8C%97%E5%8D%80</x:v>
      </x:c>
      <x:c r="W29" s="34" t="str">
        <x:v>https://www.google.com/maps?q=24.808532,120.964876</x:v>
      </x:c>
      <x:c r="X29" s="34" t="str">
        <x:v>Google Maps POI 主定位＋政府宗教資料／官方廟方資料交叉整理</x:v>
      </x:c>
      <x:c r="Y29" s="34" t="str">
        <x:v>2026-07-13</x:v>
      </x:c>
      <x:c r="Z29" s="34" t="str">
        <x:v>V4-宮廟知名地點池</x:v>
      </x:c>
      <x:c r="AA29" s="34" t="str">
        <x:v>以正式廟名、所在縣市與 Google Maps POI 區分同名宮廟。</x:v>
      </x:c>
      <x:c r="AB29" s="34" t="str">
        <x:v>正式上線前點開 Google Maps 連結，確認主入口、廟埕與任務圓心沒有落在後殿、停車場或山區道路。</x:v>
      </x:c>
    </x:row>
    <x:row r="30">
      <x:c r="A30" s="34" t="n">
        <x:v>29</x:v>
      </x:c>
      <x:c r="B30" s="34" t="str">
        <x:v>DOR-HSZ-M003</x:v>
      </x:c>
      <x:c r="C30" s="34" t="str">
        <x:v>新竹市</x:v>
      </x:c>
      <x:c r="D30" s="34" t="str">
        <x:v>東區</x:v>
      </x:c>
      <x:c r="E30" s="34" t="str">
        <x:v>觀音寺／古蹟</x:v>
      </x:c>
      <x:c r="F30" s="34" t="str">
        <x:v>新竹竹蓮寺</x:v>
      </x:c>
      <x:c r="G30" s="34" t="str">
        <x:v>主要入口／廟埕代表點</x:v>
      </x:c>
      <x:c r="H30" s="38" t="n">
        <x:v>24.797725</x:v>
      </x:c>
      <x:c r="I30" s="38" t="n">
        <x:v>120.968985</x:v>
      </x:c>
      <x:c r="J30" s="42" t="n">
        <x:v>4</x:v>
      </x:c>
      <x:c r="K30" s="34" t="str">
        <x:v>★★★★☆</x:v>
      </x:c>
      <x:c r="L30" s="34" t="str">
        <x:v>區域代表級</x:v>
      </x:c>
      <x:c r="M30" s="34" t="str">
        <x:v>觀世音菩薩</x:v>
      </x:c>
      <x:c r="N30" s="34" t="str">
        <x:v>新竹重要觀音信仰中心，鄰近火車站生活圈。</x:v>
      </x:c>
      <x:c r="O30" s="34" t="str">
        <x:v>文化探索任務｜完成廟埕打卡，沿周邊老街、聚落或生活圈步行探索。</x:v>
      </x:c>
      <x:c r="P30" s="34" t="str">
        <x:v>宗教場所通常對外開放；祭典、法會、整修或人流管制請依廟方與 Google Maps 最新公告。</x:v>
      </x:c>
      <x:c r="Q30" s="42" t="n">
        <x:v>55</x:v>
      </x:c>
      <x:c r="R30" s="34" t="str">
        <x:v>A</x:v>
      </x:c>
      <x:c r="S30" s="34" t="str">
        <x:v>Google Maps POI 圖釘；以廟埕或主要入口作為任務代表點</x:v>
      </x:c>
      <x:c r="T30" s="34" t="str">
        <x:v>宮廟／宗教文化</x:v>
      </x:c>
      <x:c r="U30" s="34" t="str">
        <x:v>新竹市東區竹蓮街100號</x:v>
      </x:c>
      <x:c r="V30" s="34" t="str">
        <x:v>https://www.google.com/maps/search/?api=1&amp;query=%E6%96%B0%E7%AB%B9%E7%AB%B9%E8%93%AE%E5%AF%BA%20%E6%96%B0%E7%AB%B9%E5%B8%82%20%E6%9D%B1%E5%8D%80</x:v>
      </x:c>
      <x:c r="W30" s="34" t="str">
        <x:v>https://www.google.com/maps?q=24.797725,120.968985</x:v>
      </x:c>
      <x:c r="X30" s="34" t="str">
        <x:v>Google Maps POI 主定位＋政府宗教資料／官方廟方資料交叉整理</x:v>
      </x:c>
      <x:c r="Y30" s="34" t="str">
        <x:v>2026-07-13</x:v>
      </x:c>
      <x:c r="Z30" s="34" t="str">
        <x:v>V4-宮廟知名地點池</x:v>
      </x:c>
      <x:c r="AA30" s="34" t="str">
        <x:v>以正式廟名、所在縣市與 Google Maps POI 區分同名宮廟。</x:v>
      </x:c>
      <x:c r="AB30" s="34" t="str">
        <x:v>正式上線前點開 Google Maps 連結，確認主入口、廟埕與任務圓心沒有落在後殿、停車場或山區道路。</x:v>
      </x:c>
    </x:row>
    <x:row r="31">
      <x:c r="A31" s="34" t="n">
        <x:v>30</x:v>
      </x:c>
      <x:c r="B31" s="34" t="str">
        <x:v>DOR-HSZ-M004</x:v>
      </x:c>
      <x:c r="C31" s="34" t="str">
        <x:v>新竹市</x:v>
      </x:c>
      <x:c r="D31" s="34" t="str">
        <x:v>北區</x:v>
      </x:c>
      <x:c r="E31" s="34" t="str">
        <x:v>媽祖廟</x:v>
      </x:c>
      <x:c r="F31" s="34" t="str">
        <x:v>新竹內天后宮</x:v>
      </x:c>
      <x:c r="G31" s="34" t="str">
        <x:v>主要入口／廟埕代表點</x:v>
      </x:c>
      <x:c r="H31" s="38" t="n">
        <x:v>24.804001</x:v>
      </x:c>
      <x:c r="I31" s="38" t="n">
        <x:v>120.968145</x:v>
      </x:c>
      <x:c r="J31" s="42" t="n">
        <x:v>4</x:v>
      </x:c>
      <x:c r="K31" s="34" t="str">
        <x:v>★★★★☆</x:v>
      </x:c>
      <x:c r="L31" s="34" t="str">
        <x:v>區域代表級</x:v>
      </x:c>
      <x:c r="M31" s="34" t="str">
        <x:v>天上聖母</x:v>
      </x:c>
      <x:c r="N31" s="34" t="str">
        <x:v>新竹舊城媽祖信仰據點，適合與城隍廟街區串聯。</x:v>
      </x:c>
      <x:c r="O31" s="34" t="str">
        <x:v>文化探索任務｜完成廟埕打卡，沿周邊老街、聚落或生活圈步行探索。</x:v>
      </x:c>
      <x:c r="P31" s="34" t="str">
        <x:v>宗教場所通常對外開放；祭典、法會、整修或人流管制請依廟方與 Google Maps 最新公告。</x:v>
      </x:c>
      <x:c r="Q31" s="42" t="n">
        <x:v>45</x:v>
      </x:c>
      <x:c r="R31" s="34" t="str">
        <x:v>A</x:v>
      </x:c>
      <x:c r="S31" s="34" t="str">
        <x:v>Google Maps POI 圖釘；以廟埕或主要入口作為任務代表點</x:v>
      </x:c>
      <x:c r="T31" s="34" t="str">
        <x:v>宮廟／宗教文化</x:v>
      </x:c>
      <x:c r="U31" s="34" t="str">
        <x:v>新竹市北區西門街184號</x:v>
      </x:c>
      <x:c r="V31" s="34" t="str">
        <x:v>https://www.google.com/maps/search/?api=1&amp;query=%E6%96%B0%E7%AB%B9%E5%85%A7%E5%A4%A9%E5%90%8E%E5%AE%AE%20%E6%96%B0%E7%AB%B9%E5%B8%82%20%E5%8C%97%E5%8D%80</x:v>
      </x:c>
      <x:c r="W31" s="34" t="str">
        <x:v>https://www.google.com/maps?q=24.804001,120.968145</x:v>
      </x:c>
      <x:c r="X31" s="34" t="str">
        <x:v>Google Maps POI 主定位＋政府宗教資料／官方廟方資料交叉整理</x:v>
      </x:c>
      <x:c r="Y31" s="34" t="str">
        <x:v>2026-07-13</x:v>
      </x:c>
      <x:c r="Z31" s="34" t="str">
        <x:v>V4-宮廟知名地點池</x:v>
      </x:c>
      <x:c r="AA31" s="34" t="str">
        <x:v>以正式廟名、所在縣市與 Google Maps POI 區分同名宮廟。</x:v>
      </x:c>
      <x:c r="AB31" s="34" t="str">
        <x:v>正式上線前點開 Google Maps 連結，確認主入口、廟埕與任務圓心沒有落在後殿、停車場或山區道路。</x:v>
      </x:c>
    </x:row>
    <x:row r="32">
      <x:c r="A32" s="34" t="n">
        <x:v>31</x:v>
      </x:c>
      <x:c r="B32" s="34" t="str">
        <x:v>DOR-HSZ-M005</x:v>
      </x:c>
      <x:c r="C32" s="34" t="str">
        <x:v>新竹市</x:v>
      </x:c>
      <x:c r="D32" s="34" t="str">
        <x:v>香山區</x:v>
      </x:c>
      <x:c r="E32" s="34" t="str">
        <x:v>媽祖廟</x:v>
      </x:c>
      <x:c r="F32" s="34" t="str">
        <x:v>香山天后宮</x:v>
      </x:c>
      <x:c r="G32" s="34" t="str">
        <x:v>主要入口／廟埕代表點</x:v>
      </x:c>
      <x:c r="H32" s="38" t="n">
        <x:v>24.780878</x:v>
      </x:c>
      <x:c r="I32" s="38" t="n">
        <x:v>120.921608</x:v>
      </x:c>
      <x:c r="J32" s="42" t="n">
        <x:v>4</x:v>
      </x:c>
      <x:c r="K32" s="34" t="str">
        <x:v>★★★★☆</x:v>
      </x:c>
      <x:c r="L32" s="34" t="str">
        <x:v>區域代表級</x:v>
      </x:c>
      <x:c r="M32" s="34" t="str">
        <x:v>天上聖母</x:v>
      </x:c>
      <x:c r="N32" s="34" t="str">
        <x:v>香山沿海與聚落信仰代表點，適合海線散步探索。</x:v>
      </x:c>
      <x:c r="O32" s="34" t="str">
        <x:v>文化探索任務｜完成廟埕打卡，沿周邊老街、聚落或生活圈步行探索。</x:v>
      </x:c>
      <x:c r="P32" s="34" t="str">
        <x:v>宗教場所通常對外開放；祭典、法會、整修或人流管制請依廟方與 Google Maps 最新公告。</x:v>
      </x:c>
      <x:c r="Q32" s="42" t="n">
        <x:v>60</x:v>
      </x:c>
      <x:c r="R32" s="34" t="str">
        <x:v>A</x:v>
      </x:c>
      <x:c r="S32" s="34" t="str">
        <x:v>Google Maps POI 圖釘；以廟埕或主要入口作為任務代表點</x:v>
      </x:c>
      <x:c r="T32" s="34" t="str">
        <x:v>宮廟／宗教文化</x:v>
      </x:c>
      <x:c r="U32" s="34" t="str">
        <x:v>新竹市香山區中華路五段420巷191號</x:v>
      </x:c>
      <x:c r="V32" s="34" t="str">
        <x:v>https://www.google.com/maps/search/?api=1&amp;query=%E9%A6%99%E5%B1%B1%E5%A4%A9%E5%90%8E%E5%AE%AE%20%E6%96%B0%E7%AB%B9%E5%B8%82%20%E9%A6%99%E5%B1%B1%E5%8D%80</x:v>
      </x:c>
      <x:c r="W32" s="34" t="str">
        <x:v>https://www.google.com/maps?q=24.780878,120.921608</x:v>
      </x:c>
      <x:c r="X32" s="34" t="str">
        <x:v>Google Maps POI 主定位＋政府宗教資料／官方廟方資料交叉整理</x:v>
      </x:c>
      <x:c r="Y32" s="34" t="str">
        <x:v>2026-07-13</x:v>
      </x:c>
      <x:c r="Z32" s="34" t="str">
        <x:v>V4-宮廟知名地點池</x:v>
      </x:c>
      <x:c r="AA32" s="34" t="str">
        <x:v>以正式廟名、所在縣市與 Google Maps POI 區分同名宮廟。</x:v>
      </x:c>
      <x:c r="AB32" s="34" t="str">
        <x:v>正式上線前點開 Google Maps 連結，確認主入口、廟埕與任務圓心沒有落在後殿、停車場或山區道路。</x:v>
      </x:c>
    </x:row>
    <x:row r="33">
      <x:c r="A33" s="34" t="n">
        <x:v>32</x:v>
      </x:c>
      <x:c r="B33" s="34" t="str">
        <x:v>DOR-HSQ-M001</x:v>
      </x:c>
      <x:c r="C33" s="34" t="str">
        <x:v>新竹縣</x:v>
      </x:c>
      <x:c r="D33" s="34" t="str">
        <x:v>新埔鎮</x:v>
      </x:c>
      <x:c r="E33" s="34" t="str">
        <x:v>義民廟／古蹟</x:v>
      </x:c>
      <x:c r="F33" s="34" t="str">
        <x:v>褒忠亭義民廟</x:v>
      </x:c>
      <x:c r="G33" s="34" t="str">
        <x:v>主要入口／廟埕代表點</x:v>
      </x:c>
      <x:c r="H33" s="38" t="n">
        <x:v>24.841222</x:v>
      </x:c>
      <x:c r="I33" s="38" t="n">
        <x:v>121.071943</x:v>
      </x:c>
      <x:c r="J33" s="42" t="n">
        <x:v>5</x:v>
      </x:c>
      <x:c r="K33" s="34" t="str">
        <x:v>★★★★★</x:v>
      </x:c>
      <x:c r="L33" s="34" t="str">
        <x:v>全國級</x:v>
      </x:c>
      <x:c r="M33" s="34" t="str">
        <x:v>義民爺</x:v>
      </x:c>
      <x:c r="N33" s="34" t="str">
        <x:v>臺灣客家義民信仰核心，文化與祭典代表性高。</x:v>
      </x:c>
      <x:c r="O33" s="34" t="str">
        <x:v>文化主線任務｜完成正門打卡、代表建築拍照與周邊街區散步，解鎖宮廟文化徽章。</x:v>
      </x:c>
      <x:c r="P33" s="34" t="str">
        <x:v>宗教場所通常對外開放；祭典、法會、整修或人流管制請依廟方與 Google Maps 最新公告。</x:v>
      </x:c>
      <x:c r="Q33" s="42" t="n">
        <x:v>80</x:v>
      </x:c>
      <x:c r="R33" s="34" t="str">
        <x:v>B</x:v>
      </x:c>
      <x:c r="S33" s="34" t="str">
        <x:v>Google Maps POI 圖釘；以廟埕或主要入口作為任務代表點</x:v>
      </x:c>
      <x:c r="T33" s="34" t="str">
        <x:v>宮廟／宗教文化</x:v>
      </x:c>
      <x:c r="U33" s="34" t="str">
        <x:v>新竹縣新埔鎮義民路三段360號</x:v>
      </x:c>
      <x:c r="V33" s="34" t="str">
        <x:v>https://www.google.com/maps/search/?api=1&amp;query=%E8%A4%92%E5%BF%A0%E4%BA%AD%E7%BE%A9%E6%B0%91%E5%BB%9F%20%E6%96%B0%E7%AB%B9%E7%B8%A3%20%E6%96%B0%E5%9F%94%E9%8E%AE</x:v>
      </x:c>
      <x:c r="W33" s="34" t="str">
        <x:v>https://www.google.com/maps?q=24.841222,121.071943</x:v>
      </x:c>
      <x:c r="X33" s="34" t="str">
        <x:v>Google Maps POI 主定位＋政府宗教資料／官方廟方資料交叉整理</x:v>
      </x:c>
      <x:c r="Y33" s="34" t="str">
        <x:v>2026-07-13</x:v>
      </x:c>
      <x:c r="Z33" s="34" t="str">
        <x:v>V4-宮廟知名地點池</x:v>
      </x:c>
      <x:c r="AA33" s="34" t="str">
        <x:v>以正式廟名、所在縣市與 Google Maps POI 區分同名宮廟。</x:v>
      </x:c>
      <x:c r="AB33" s="34" t="str">
        <x:v>正式上線前點開 Google Maps 連結，確認主入口、廟埕與任務圓心沒有落在後殿、停車場或山區道路。</x:v>
      </x:c>
    </x:row>
    <x:row r="34">
      <x:c r="A34" s="34" t="n">
        <x:v>33</x:v>
      </x:c>
      <x:c r="B34" s="34" t="str">
        <x:v>DOR-HSQ-M002</x:v>
      </x:c>
      <x:c r="C34" s="34" t="str">
        <x:v>新竹縣</x:v>
      </x:c>
      <x:c r="D34" s="34" t="str">
        <x:v>北埔鄉</x:v>
      </x:c>
      <x:c r="E34" s="34" t="str">
        <x:v>媽祖廟／古蹟</x:v>
      </x:c>
      <x:c r="F34" s="34" t="str">
        <x:v>北埔慈天宮</x:v>
      </x:c>
      <x:c r="G34" s="34" t="str">
        <x:v>主要入口／廟埕代表點</x:v>
      </x:c>
      <x:c r="H34" s="38" t="n">
        <x:v>24.699307</x:v>
      </x:c>
      <x:c r="I34" s="38" t="n">
        <x:v>121.057171</x:v>
      </x:c>
      <x:c r="J34" s="42" t="n">
        <x:v>4</x:v>
      </x:c>
      <x:c r="K34" s="34" t="str">
        <x:v>★★★★☆</x:v>
      </x:c>
      <x:c r="L34" s="34" t="str">
        <x:v>區域代表級</x:v>
      </x:c>
      <x:c r="M34" s="34" t="str">
        <x:v>觀世音菩薩／天上聖母</x:v>
      </x:c>
      <x:c r="N34" s="34" t="str">
        <x:v>北埔老街核心信仰地標，適合客庄文化散步。</x:v>
      </x:c>
      <x:c r="O34" s="34" t="str">
        <x:v>文化探索任務｜完成廟埕打卡，沿周邊老街、聚落或生活圈步行探索。</x:v>
      </x:c>
      <x:c r="P34" s="34" t="str">
        <x:v>宗教場所通常對外開放；祭典、法會、整修或人流管制請依廟方與 Google Maps 最新公告。</x:v>
      </x:c>
      <x:c r="Q34" s="42" t="n">
        <x:v>50</x:v>
      </x:c>
      <x:c r="R34" s="34" t="str">
        <x:v>A</x:v>
      </x:c>
      <x:c r="S34" s="34" t="str">
        <x:v>Google Maps POI 圖釘；以廟埕或主要入口作為任務代表點</x:v>
      </x:c>
      <x:c r="T34" s="34" t="str">
        <x:v>宮廟／宗教文化</x:v>
      </x:c>
      <x:c r="U34" s="34" t="str">
        <x:v>新竹縣北埔鄉北埔街1號</x:v>
      </x:c>
      <x:c r="V34" s="34" t="str">
        <x:v>https://www.google.com/maps/search/?api=1&amp;query=%E5%8C%97%E5%9F%94%E6%85%88%E5%A4%A9%E5%AE%AE%20%E6%96%B0%E7%AB%B9%E7%B8%A3%20%E5%8C%97%E5%9F%94%E9%84%89</x:v>
      </x:c>
      <x:c r="W34" s="34" t="str">
        <x:v>https://www.google.com/maps?q=24.699307,121.057171</x:v>
      </x:c>
      <x:c r="X34" s="34" t="str">
        <x:v>Google Maps POI 主定位＋政府宗教資料／官方廟方資料交叉整理</x:v>
      </x:c>
      <x:c r="Y34" s="34" t="str">
        <x:v>2026-07-13</x:v>
      </x:c>
      <x:c r="Z34" s="34" t="str">
        <x:v>V4-宮廟知名地點池</x:v>
      </x:c>
      <x:c r="AA34" s="34" t="str">
        <x:v>以正式廟名、所在縣市與 Google Maps POI 區分同名宮廟。</x:v>
      </x:c>
      <x:c r="AB34" s="34" t="str">
        <x:v>正式上線前點開 Google Maps 連結，確認主入口、廟埕與任務圓心沒有落在後殿、停車場或山區道路。</x:v>
      </x:c>
    </x:row>
    <x:row r="35">
      <x:c r="A35" s="34" t="n">
        <x:v>34</x:v>
      </x:c>
      <x:c r="B35" s="34" t="str">
        <x:v>DOR-HSQ-M003</x:v>
      </x:c>
      <x:c r="C35" s="34" t="str">
        <x:v>新竹縣</x:v>
      </x:c>
      <x:c r="D35" s="34" t="str">
        <x:v>新豐鄉</x:v>
      </x:c>
      <x:c r="E35" s="34" t="str">
        <x:v>宮廟／古蹟</x:v>
      </x:c>
      <x:c r="F35" s="34" t="str">
        <x:v>新豐池和宮</x:v>
      </x:c>
      <x:c r="G35" s="34" t="str">
        <x:v>主要入口／廟埕代表點</x:v>
      </x:c>
      <x:c r="H35" s="38" t="n">
        <x:v>24.901774</x:v>
      </x:c>
      <x:c r="I35" s="38" t="n">
        <x:v>120.989056</x:v>
      </x:c>
      <x:c r="J35" s="42" t="n">
        <x:v>4</x:v>
      </x:c>
      <x:c r="K35" s="34" t="str">
        <x:v>★★★★☆</x:v>
      </x:c>
      <x:c r="L35" s="34" t="str">
        <x:v>區域代表級</x:v>
      </x:c>
      <x:c r="M35" s="34" t="str">
        <x:v>池府王爺</x:v>
      </x:c>
      <x:c r="N35" s="34" t="str">
        <x:v>新豐地方重要王爺信仰中心，廟埕空間明確。</x:v>
      </x:c>
      <x:c r="O35" s="34" t="str">
        <x:v>文化探索任務｜完成廟埕打卡，沿周邊老街、聚落或生活圈步行探索。</x:v>
      </x:c>
      <x:c r="P35" s="34" t="str">
        <x:v>宗教場所通常對外開放；祭典、法會、整修或人流管制請依廟方與 Google Maps 最新公告。</x:v>
      </x:c>
      <x:c r="Q35" s="42" t="n">
        <x:v>55</x:v>
      </x:c>
      <x:c r="R35" s="34" t="str">
        <x:v>A</x:v>
      </x:c>
      <x:c r="S35" s="34" t="str">
        <x:v>Google Maps POI 圖釘；以廟埕或主要入口作為任務代表點</x:v>
      </x:c>
      <x:c r="T35" s="34" t="str">
        <x:v>宮廟／宗教文化</x:v>
      </x:c>
      <x:c r="U35" s="34" t="str">
        <x:v>新竹縣新豐鄉新豐村池府路156號</x:v>
      </x:c>
      <x:c r="V35" s="34" t="str">
        <x:v>https://www.google.com/maps/search/?api=1&amp;query=%E6%96%B0%E8%B1%90%E6%B1%A0%E5%92%8C%E5%AE%AE%20%E6%96%B0%E7%AB%B9%E7%B8%A3%20%E6%96%B0%E8%B1%90%E9%84%89</x:v>
      </x:c>
      <x:c r="W35" s="34" t="str">
        <x:v>https://www.google.com/maps?q=24.901774,120.989056</x:v>
      </x:c>
      <x:c r="X35" s="34" t="str">
        <x:v>Google Maps POI 主定位＋政府宗教資料／官方廟方資料交叉整理</x:v>
      </x:c>
      <x:c r="Y35" s="34" t="str">
        <x:v>2026-07-13</x:v>
      </x:c>
      <x:c r="Z35" s="34" t="str">
        <x:v>V4-宮廟知名地點池</x:v>
      </x:c>
      <x:c r="AA35" s="34" t="str">
        <x:v>以正式廟名、所在縣市與 Google Maps POI 區分同名宮廟。</x:v>
      </x:c>
      <x:c r="AB35" s="34" t="str">
        <x:v>正式上線前點開 Google Maps 連結，確認主入口、廟埕與任務圓心沒有落在後殿、停車場或山區道路。</x:v>
      </x:c>
    </x:row>
    <x:row r="36">
      <x:c r="A36" s="34" t="n">
        <x:v>35</x:v>
      </x:c>
      <x:c r="B36" s="34" t="str">
        <x:v>DOR-HSQ-M004</x:v>
      </x:c>
      <x:c r="C36" s="34" t="str">
        <x:v>新竹縣</x:v>
      </x:c>
      <x:c r="D36" s="34" t="str">
        <x:v>關西鎮</x:v>
      </x:c>
      <x:c r="E36" s="34" t="str">
        <x:v>媽祖廟／古蹟</x:v>
      </x:c>
      <x:c r="F36" s="34" t="str">
        <x:v>關西太和宮</x:v>
      </x:c>
      <x:c r="G36" s="34" t="str">
        <x:v>主要入口／廟埕代表點</x:v>
      </x:c>
      <x:c r="H36" s="38" t="n">
        <x:v>24.791687</x:v>
      </x:c>
      <x:c r="I36" s="38" t="n">
        <x:v>121.177002</x:v>
      </x:c>
      <x:c r="J36" s="42" t="n">
        <x:v>4</x:v>
      </x:c>
      <x:c r="K36" s="34" t="str">
        <x:v>★★★★☆</x:v>
      </x:c>
      <x:c r="L36" s="34" t="str">
        <x:v>區域代表級</x:v>
      </x:c>
      <x:c r="M36" s="34" t="str">
        <x:v>天上聖母</x:v>
      </x:c>
      <x:c r="N36" s="34" t="str">
        <x:v>關西老街信仰中心，可串聯客庄街區。</x:v>
      </x:c>
      <x:c r="O36" s="34" t="str">
        <x:v>文化探索任務｜完成廟埕打卡，沿周邊老街、聚落或生活圈步行探索。</x:v>
      </x:c>
      <x:c r="P36" s="34" t="str">
        <x:v>宗教場所通常對外開放；祭典、法會、整修或人流管制請依廟方與 Google Maps 最新公告。</x:v>
      </x:c>
      <x:c r="Q36" s="42" t="n">
        <x:v>50</x:v>
      </x:c>
      <x:c r="R36" s="34" t="str">
        <x:v>A</x:v>
      </x:c>
      <x:c r="S36" s="34" t="str">
        <x:v>Google Maps POI 圖釘；以廟埕或主要入口作為任務代表點</x:v>
      </x:c>
      <x:c r="T36" s="34" t="str">
        <x:v>宮廟／宗教文化</x:v>
      </x:c>
      <x:c r="U36" s="34" t="str">
        <x:v>新竹縣關西鎮大同路30號</x:v>
      </x:c>
      <x:c r="V36" s="34" t="str">
        <x:v>https://www.google.com/maps/search/?api=1&amp;query=%E9%97%9C%E8%A5%BF%E5%A4%AA%E5%92%8C%E5%AE%AE%20%E6%96%B0%E7%AB%B9%E7%B8%A3%20%E9%97%9C%E8%A5%BF%E9%8E%AE</x:v>
      </x:c>
      <x:c r="W36" s="34" t="str">
        <x:v>https://www.google.com/maps?q=24.791687,121.177002</x:v>
      </x:c>
      <x:c r="X36" s="34" t="str">
        <x:v>Google Maps POI 主定位＋政府宗教資料／官方廟方資料交叉整理</x:v>
      </x:c>
      <x:c r="Y36" s="34" t="str">
        <x:v>2026-07-13</x:v>
      </x:c>
      <x:c r="Z36" s="34" t="str">
        <x:v>V4-宮廟知名地點池</x:v>
      </x:c>
      <x:c r="AA36" s="34" t="str">
        <x:v>以正式廟名、所在縣市與 Google Maps POI 區分同名宮廟。</x:v>
      </x:c>
      <x:c r="AB36" s="34" t="str">
        <x:v>正式上線前點開 Google Maps 連結，確認主入口、廟埕與任務圓心沒有落在後殿、停車場或山區道路。</x:v>
      </x:c>
    </x:row>
    <x:row r="37">
      <x:c r="A37" s="34" t="n">
        <x:v>36</x:v>
      </x:c>
      <x:c r="B37" s="34" t="str">
        <x:v>DOR-HSQ-M005</x:v>
      </x:c>
      <x:c r="C37" s="34" t="str">
        <x:v>新竹縣</x:v>
      </x:c>
      <x:c r="D37" s="34" t="str">
        <x:v>湖口鄉</x:v>
      </x:c>
      <x:c r="E37" s="34" t="str">
        <x:v>三官大帝廟／古蹟</x:v>
      </x:c>
      <x:c r="F37" s="34" t="str">
        <x:v>湖口三元宮</x:v>
      </x:c>
      <x:c r="G37" s="34" t="str">
        <x:v>主要入口／廟埕代表點</x:v>
      </x:c>
      <x:c r="H37" s="38" t="n">
        <x:v>24.877278</x:v>
      </x:c>
      <x:c r="I37" s="38" t="n">
        <x:v>121.054284</x:v>
      </x:c>
      <x:c r="J37" s="42" t="n">
        <x:v>4</x:v>
      </x:c>
      <x:c r="K37" s="34" t="str">
        <x:v>★★★★☆</x:v>
      </x:c>
      <x:c r="L37" s="34" t="str">
        <x:v>區域代表級</x:v>
      </x:c>
      <x:c r="M37" s="34" t="str">
        <x:v>三官大帝</x:v>
      </x:c>
      <x:c r="N37" s="34" t="str">
        <x:v>湖口老街核心廟宇，歷史街屋與散步體驗完整。</x:v>
      </x:c>
      <x:c r="O37" s="34" t="str">
        <x:v>文化探索任務｜完成廟埕打卡，沿周邊老街、聚落或生活圈步行探索。</x:v>
      </x:c>
      <x:c r="P37" s="34" t="str">
        <x:v>宗教場所通常對外開放；祭典、法會、整修或人流管制請依廟方與 Google Maps 最新公告。</x:v>
      </x:c>
      <x:c r="Q37" s="42" t="n">
        <x:v>50</x:v>
      </x:c>
      <x:c r="R37" s="34" t="str">
        <x:v>A</x:v>
      </x:c>
      <x:c r="S37" s="34" t="str">
        <x:v>Google Maps POI 圖釘；以廟埕或主要入口作為任務代表點</x:v>
      </x:c>
      <x:c r="T37" s="34" t="str">
        <x:v>宮廟／宗教文化</x:v>
      </x:c>
      <x:c r="U37" s="34" t="str">
        <x:v>新竹縣湖口鄉湖口老街278號</x:v>
      </x:c>
      <x:c r="V37" s="34" t="str">
        <x:v>https://www.google.com/maps/search/?api=1&amp;query=%E6%B9%96%E5%8F%A3%E4%B8%89%E5%85%83%E5%AE%AE%20%E6%96%B0%E7%AB%B9%E7%B8%A3%20%E6%B9%96%E5%8F%A3%E9%84%89</x:v>
      </x:c>
      <x:c r="W37" s="34" t="str">
        <x:v>https://www.google.com/maps?q=24.877278,121.054284</x:v>
      </x:c>
      <x:c r="X37" s="34" t="str">
        <x:v>Google Maps POI 主定位＋政府宗教資料／官方廟方資料交叉整理</x:v>
      </x:c>
      <x:c r="Y37" s="34" t="str">
        <x:v>2026-07-13</x:v>
      </x:c>
      <x:c r="Z37" s="34" t="str">
        <x:v>V4-宮廟知名地點池</x:v>
      </x:c>
      <x:c r="AA37" s="34" t="str">
        <x:v>以正式廟名、所在縣市與 Google Maps POI 區分同名宮廟。</x:v>
      </x:c>
      <x:c r="AB37" s="34" t="str">
        <x:v>正式上線前點開 Google Maps 連結，確認主入口、廟埕與任務圓心沒有落在後殿、停車場或山區道路。</x:v>
      </x:c>
    </x:row>
    <x:row r="38">
      <x:c r="A38" s="34" t="n">
        <x:v>37</x:v>
      </x:c>
      <x:c r="B38" s="34" t="str">
        <x:v>DOR-MIA-M001</x:v>
      </x:c>
      <x:c r="C38" s="34" t="str">
        <x:v>苗栗縣</x:v>
      </x:c>
      <x:c r="D38" s="34" t="str">
        <x:v>通霄鎮</x:v>
      </x:c>
      <x:c r="E38" s="34" t="str">
        <x:v>媽祖廟</x:v>
      </x:c>
      <x:c r="F38" s="34" t="str">
        <x:v>白沙屯拱天宮</x:v>
      </x:c>
      <x:c r="G38" s="34" t="str">
        <x:v>主要入口／廟埕代表點</x:v>
      </x:c>
      <x:c r="H38" s="38" t="n">
        <x:v>24.570401</x:v>
      </x:c>
      <x:c r="I38" s="38" t="n">
        <x:v>120.708921</x:v>
      </x:c>
      <x:c r="J38" s="42" t="n">
        <x:v>5</x:v>
      </x:c>
      <x:c r="K38" s="34" t="str">
        <x:v>★★★★★</x:v>
      </x:c>
      <x:c r="L38" s="34" t="str">
        <x:v>全國級</x:v>
      </x:c>
      <x:c r="M38" s="34" t="str">
        <x:v>天上聖母</x:v>
      </x:c>
      <x:c r="N38" s="34" t="str">
        <x:v>白沙屯媽祖進香全臺知名，聚落信仰與活動辨識度極高。</x:v>
      </x:c>
      <x:c r="O38" s="34" t="str">
        <x:v>文化主線任務｜完成正門打卡、代表建築拍照與周邊街區散步，解鎖宮廟文化徽章。</x:v>
      </x:c>
      <x:c r="P38" s="34" t="str">
        <x:v>宗教場所通常對外開放；祭典、法會、整修或人流管制請依廟方與 Google Maps 最新公告。</x:v>
      </x:c>
      <x:c r="Q38" s="42" t="n">
        <x:v>70</x:v>
      </x:c>
      <x:c r="R38" s="34" t="str">
        <x:v>A</x:v>
      </x:c>
      <x:c r="S38" s="34" t="str">
        <x:v>Google Maps POI 圖釘；以廟埕或主要入口作為任務代表點</x:v>
      </x:c>
      <x:c r="T38" s="34" t="str">
        <x:v>宮廟／宗教文化</x:v>
      </x:c>
      <x:c r="U38" s="34" t="str">
        <x:v>苗栗縣通霄鎮白東里8號</x:v>
      </x:c>
      <x:c r="V38" s="34" t="str">
        <x:v>https://www.google.com/maps/search/?api=1&amp;query=%E7%99%BD%E6%B2%99%E5%B1%AF%E6%8B%B1%E5%A4%A9%E5%AE%AE%20%E8%8B%97%E6%A0%97%E7%B8%A3%20%E9%80%9A%E9%9C%84%E9%8E%AE</x:v>
      </x:c>
      <x:c r="W38" s="34" t="str">
        <x:v>https://www.google.com/maps?q=24.570401,120.708921</x:v>
      </x:c>
      <x:c r="X38" s="34" t="str">
        <x:v>Google Maps POI 主定位＋政府宗教資料／官方廟方資料交叉整理</x:v>
      </x:c>
      <x:c r="Y38" s="34" t="str">
        <x:v>2026-07-13</x:v>
      </x:c>
      <x:c r="Z38" s="34" t="str">
        <x:v>V4-宮廟知名地點池</x:v>
      </x:c>
      <x:c r="AA38" s="34" t="str">
        <x:v>以正式廟名、所在縣市與 Google Maps POI 區分同名宮廟。</x:v>
      </x:c>
      <x:c r="AB38" s="34" t="str">
        <x:v>正式上線前點開 Google Maps 連結，確認主入口、廟埕與任務圓心沒有落在後殿、停車場或山區道路。</x:v>
      </x:c>
    </x:row>
    <x:row r="39">
      <x:c r="A39" s="34" t="n">
        <x:v>38</x:v>
      </x:c>
      <x:c r="B39" s="34" t="str">
        <x:v>DOR-MIA-M002</x:v>
      </x:c>
      <x:c r="C39" s="34" t="str">
        <x:v>苗栗縣</x:v>
      </x:c>
      <x:c r="D39" s="34" t="str">
        <x:v>苑裡鎮</x:v>
      </x:c>
      <x:c r="E39" s="34" t="str">
        <x:v>媽祖廟／古蹟</x:v>
      </x:c>
      <x:c r="F39" s="34" t="str">
        <x:v>苑裡慈和宮</x:v>
      </x:c>
      <x:c r="G39" s="34" t="str">
        <x:v>主要入口／廟埕代表點</x:v>
      </x:c>
      <x:c r="H39" s="38" t="n">
        <x:v>24.443635</x:v>
      </x:c>
      <x:c r="I39" s="38" t="n">
        <x:v>120.65215</x:v>
      </x:c>
      <x:c r="J39" s="42" t="n">
        <x:v>4</x:v>
      </x:c>
      <x:c r="K39" s="34" t="str">
        <x:v>★★★★☆</x:v>
      </x:c>
      <x:c r="L39" s="34" t="str">
        <x:v>區域代表級</x:v>
      </x:c>
      <x:c r="M39" s="34" t="str">
        <x:v>天上聖母</x:v>
      </x:c>
      <x:c r="N39" s="34" t="str">
        <x:v>苑裡老街與媽祖信仰核心，生活圈可達性高。</x:v>
      </x:c>
      <x:c r="O39" s="34" t="str">
        <x:v>文化探索任務｜完成廟埕打卡，沿周邊老街、聚落或生活圈步行探索。</x:v>
      </x:c>
      <x:c r="P39" s="34" t="str">
        <x:v>宗教場所通常對外開放；祭典、法會、整修或人流管制請依廟方與 Google Maps 最新公告。</x:v>
      </x:c>
      <x:c r="Q39" s="42" t="n">
        <x:v>55</x:v>
      </x:c>
      <x:c r="R39" s="34" t="str">
        <x:v>A</x:v>
      </x:c>
      <x:c r="S39" s="34" t="str">
        <x:v>Google Maps POI 圖釘；以廟埕或主要入口作為任務代表點</x:v>
      </x:c>
      <x:c r="T39" s="34" t="str">
        <x:v>宮廟／宗教文化</x:v>
      </x:c>
      <x:c r="U39" s="34" t="str">
        <x:v>苗栗縣苑裡鎮天下路176號</x:v>
      </x:c>
      <x:c r="V39" s="34" t="str">
        <x:v>https://www.google.com/maps/search/?api=1&amp;query=%E8%8B%91%E8%A3%A1%E6%85%88%E5%92%8C%E5%AE%AE%20%E8%8B%97%E6%A0%97%E7%B8%A3%20%E8%8B%91%E8%A3%A1%E9%8E%AE</x:v>
      </x:c>
      <x:c r="W39" s="34" t="str">
        <x:v>https://www.google.com/maps?q=24.443635,120.652150</x:v>
      </x:c>
      <x:c r="X39" s="34" t="str">
        <x:v>Google Maps POI 主定位＋政府宗教資料／官方廟方資料交叉整理</x:v>
      </x:c>
      <x:c r="Y39" s="34" t="str">
        <x:v>2026-07-13</x:v>
      </x:c>
      <x:c r="Z39" s="34" t="str">
        <x:v>V4-宮廟知名地點池</x:v>
      </x:c>
      <x:c r="AA39" s="34" t="str">
        <x:v>以正式廟名、所在縣市與 Google Maps POI 區分同名宮廟。</x:v>
      </x:c>
      <x:c r="AB39" s="34" t="str">
        <x:v>正式上線前點開 Google Maps 連結，確認主入口、廟埕與任務圓心沒有落在後殿、停車場或山區道路。</x:v>
      </x:c>
    </x:row>
    <x:row r="40">
      <x:c r="A40" s="34" t="n">
        <x:v>39</x:v>
      </x:c>
      <x:c r="B40" s="34" t="str">
        <x:v>DOR-MIA-M003</x:v>
      </x:c>
      <x:c r="C40" s="34" t="str">
        <x:v>苗栗縣</x:v>
      </x:c>
      <x:c r="D40" s="34" t="str">
        <x:v>後龍鎮</x:v>
      </x:c>
      <x:c r="E40" s="34" t="str">
        <x:v>媽祖廟</x:v>
      </x:c>
      <x:c r="F40" s="34" t="str">
        <x:v>後龍慈雲宮</x:v>
      </x:c>
      <x:c r="G40" s="34" t="str">
        <x:v>主要入口／廟埕代表點</x:v>
      </x:c>
      <x:c r="H40" s="38" t="n">
        <x:v>24.613639</x:v>
      </x:c>
      <x:c r="I40" s="38" t="n">
        <x:v>120.786837</x:v>
      </x:c>
      <x:c r="J40" s="42" t="n">
        <x:v>4</x:v>
      </x:c>
      <x:c r="K40" s="34" t="str">
        <x:v>★★★★☆</x:v>
      </x:c>
      <x:c r="L40" s="34" t="str">
        <x:v>區域代表級</x:v>
      </x:c>
      <x:c r="M40" s="34" t="str">
        <x:v>天上聖母</x:v>
      </x:c>
      <x:c r="N40" s="34" t="str">
        <x:v>後龍市區代表性媽祖廟，適合日常散步任務。</x:v>
      </x:c>
      <x:c r="O40" s="34" t="str">
        <x:v>文化探索任務｜完成廟埕打卡，沿周邊老街、聚落或生活圈步行探索。</x:v>
      </x:c>
      <x:c r="P40" s="34" t="str">
        <x:v>宗教場所通常對外開放；祭典、法會、整修或人流管制請依廟方與 Google Maps 最新公告。</x:v>
      </x:c>
      <x:c r="Q40" s="42" t="n">
        <x:v>55</x:v>
      </x:c>
      <x:c r="R40" s="34" t="str">
        <x:v>A</x:v>
      </x:c>
      <x:c r="S40" s="34" t="str">
        <x:v>Google Maps POI 圖釘；以廟埕或主要入口作為任務代表點</x:v>
      </x:c>
      <x:c r="T40" s="34" t="str">
        <x:v>宮廟／宗教文化</x:v>
      </x:c>
      <x:c r="U40" s="34" t="str">
        <x:v>苗栗縣後龍鎮中龍里三民路120號</x:v>
      </x:c>
      <x:c r="V40" s="34" t="str">
        <x:v>https://www.google.com/maps/search/?api=1&amp;query=%E5%BE%8C%E9%BE%8D%E6%85%88%E9%9B%B2%E5%AE%AE%20%E8%8B%97%E6%A0%97%E7%B8%A3%20%E5%BE%8C%E9%BE%8D%E9%8E%AE</x:v>
      </x:c>
      <x:c r="W40" s="34" t="str">
        <x:v>https://www.google.com/maps?q=24.613639,120.786837</x:v>
      </x:c>
      <x:c r="X40" s="34" t="str">
        <x:v>Google Maps POI 主定位＋政府宗教資料／官方廟方資料交叉整理</x:v>
      </x:c>
      <x:c r="Y40" s="34" t="str">
        <x:v>2026-07-13</x:v>
      </x:c>
      <x:c r="Z40" s="34" t="str">
        <x:v>V4-宮廟知名地點池</x:v>
      </x:c>
      <x:c r="AA40" s="34" t="str">
        <x:v>以正式廟名、所在縣市與 Google Maps POI 區分同名宮廟。</x:v>
      </x:c>
      <x:c r="AB40" s="34" t="str">
        <x:v>正式上線前點開 Google Maps 連結，確認主入口、廟埕與任務圓心沒有落在後殿、停車場或山區道路。</x:v>
      </x:c>
    </x:row>
    <x:row r="41">
      <x:c r="A41" s="34" t="n">
        <x:v>40</x:v>
      </x:c>
      <x:c r="B41" s="34" t="str">
        <x:v>DOR-MIA-M004</x:v>
      </x:c>
      <x:c r="C41" s="34" t="str">
        <x:v>苗栗縣</x:v>
      </x:c>
      <x:c r="D41" s="34" t="str">
        <x:v>獅潭鄉</x:v>
      </x:c>
      <x:c r="E41" s="34" t="str">
        <x:v>山岳寺廟</x:v>
      </x:c>
      <x:c r="F41" s="34" t="str">
        <x:v>仙山靈洞宮</x:v>
      </x:c>
      <x:c r="G41" s="34" t="str">
        <x:v>主要入口／廟埕代表點</x:v>
      </x:c>
      <x:c r="H41" s="38" t="n">
        <x:v>24.546787</x:v>
      </x:c>
      <x:c r="I41" s="38" t="n">
        <x:v>120.944363</x:v>
      </x:c>
      <x:c r="J41" s="42" t="n">
        <x:v>4</x:v>
      </x:c>
      <x:c r="K41" s="34" t="str">
        <x:v>★★★★☆</x:v>
      </x:c>
      <x:c r="L41" s="34" t="str">
        <x:v>區域代表級</x:v>
      </x:c>
      <x:c r="M41" s="34" t="str">
        <x:v>關聖帝君</x:v>
      </x:c>
      <x:c r="N41" s="34" t="str">
        <x:v>仙山登山與宗教地景結合，適合坡道探索。</x:v>
      </x:c>
      <x:c r="O41" s="34" t="str">
        <x:v>文化探索任務｜完成廟埕打卡，沿周邊老街、聚落或生活圈步行探索。</x:v>
      </x:c>
      <x:c r="P41" s="34" t="str">
        <x:v>宗教場所通常對外開放；祭典、法會、整修或人流管制請依廟方與 Google Maps 最新公告。</x:v>
      </x:c>
      <x:c r="Q41" s="42" t="n">
        <x:v>90</x:v>
      </x:c>
      <x:c r="R41" s="34" t="str">
        <x:v>B</x:v>
      </x:c>
      <x:c r="S41" s="34" t="str">
        <x:v>Google Maps 靈洞宮主地標；山區廟區以主入口或停車場步行入口為任務代表點</x:v>
      </x:c>
      <x:c r="T41" s="34" t="str">
        <x:v>宮廟／宗教文化</x:v>
      </x:c>
      <x:c r="U41" s="34" t="str">
        <x:v>苗栗縣獅潭鄉新店村小東勢24號</x:v>
      </x:c>
      <x:c r="V41" s="34" t="str">
        <x:v>https://www.google.com/maps/search/?api=1&amp;query=%E4%BB%99%E5%B1%B1%E9%9D%88%E6%B4%9E%E5%AE%AE%20%E8%8B%97%E6%A0%97%E7%B8%A3%20%E7%8D%85%E6%BD%AD%E9%84%89</x:v>
      </x:c>
      <x:c r="W41" s="34" t="str">
        <x:v>https://www.google.com/maps?q=24.546787,120.944363</x:v>
      </x:c>
      <x:c r="X41" s="34" t="str">
        <x:v>Google Maps POI 主定位＋政府宗教資料／官方廟方資料交叉整理</x:v>
      </x:c>
      <x:c r="Y41" s="34" t="str">
        <x:v>2026-07-13</x:v>
      </x:c>
      <x:c r="Z41" s="34" t="str">
        <x:v>V4-宮廟知名地點池</x:v>
      </x:c>
      <x:c r="AA41" s="34" t="str">
        <x:v>以正式廟名、所在縣市與 Google Maps POI 區分同名宮廟。</x:v>
      </x:c>
      <x:c r="AB41" s="34" t="str">
        <x:v>正式上線前點開 Google Maps 連結，確認主入口、廟埕與任務圓心沒有落在後殿、停車場或山區道路。</x:v>
      </x:c>
    </x:row>
    <x:row r="42">
      <x:c r="A42" s="34" t="n">
        <x:v>41</x:v>
      </x:c>
      <x:c r="B42" s="34" t="str">
        <x:v>DOR-MIA-M005</x:v>
      </x:c>
      <x:c r="C42" s="34" t="str">
        <x:v>苗栗縣</x:v>
      </x:c>
      <x:c r="D42" s="34" t="str">
        <x:v>竹南鎮</x:v>
      </x:c>
      <x:c r="E42" s="34" t="str">
        <x:v>媽祖廟</x:v>
      </x:c>
      <x:c r="F42" s="34" t="str">
        <x:v>竹南慈裕宮</x:v>
      </x:c>
      <x:c r="G42" s="34" t="str">
        <x:v>主要入口／廟埕代表點</x:v>
      </x:c>
      <x:c r="H42" s="38" t="n">
        <x:v>24.687025</x:v>
      </x:c>
      <x:c r="I42" s="38" t="n">
        <x:v>120.880311</x:v>
      </x:c>
      <x:c r="J42" s="42" t="n">
        <x:v>4</x:v>
      </x:c>
      <x:c r="K42" s="34" t="str">
        <x:v>★★★★☆</x:v>
      </x:c>
      <x:c r="L42" s="34" t="str">
        <x:v>區域代表級</x:v>
      </x:c>
      <x:c r="M42" s="34" t="str">
        <x:v>天上聖母</x:v>
      </x:c>
      <x:c r="N42" s="34" t="str">
        <x:v>竹南重要信仰中心，鄰近市區與車站生活圈。</x:v>
      </x:c>
      <x:c r="O42" s="34" t="str">
        <x:v>文化探索任務｜完成廟埕打卡，沿周邊老街、聚落或生活圈步行探索。</x:v>
      </x:c>
      <x:c r="P42" s="34" t="str">
        <x:v>宗教場所通常對外開放；祭典、法會、整修或人流管制請依廟方與 Google Maps 最新公告。</x:v>
      </x:c>
      <x:c r="Q42" s="42" t="n">
        <x:v>55</x:v>
      </x:c>
      <x:c r="R42" s="34" t="str">
        <x:v>A</x:v>
      </x:c>
      <x:c r="S42" s="34" t="str">
        <x:v>Google Maps POI 圖釘；以廟埕或主要入口作為任務代表點</x:v>
      </x:c>
      <x:c r="T42" s="34" t="str">
        <x:v>宮廟／宗教文化</x:v>
      </x:c>
      <x:c r="U42" s="34" t="str">
        <x:v>苗栗縣竹南鎮民生路7號</x:v>
      </x:c>
      <x:c r="V42" s="34" t="str">
        <x:v>https://www.google.com/maps/search/?api=1&amp;query=%E7%AB%B9%E5%8D%97%E6%85%88%E8%A3%95%E5%AE%AE%20%E8%8B%97%E6%A0%97%E7%B8%A3%20%E7%AB%B9%E5%8D%97%E9%8E%AE</x:v>
      </x:c>
      <x:c r="W42" s="34" t="str">
        <x:v>https://www.google.com/maps?q=24.687025,120.880311</x:v>
      </x:c>
      <x:c r="X42" s="34" t="str">
        <x:v>Google Maps POI 主定位＋政府宗教資料／官方廟方資料交叉整理</x:v>
      </x:c>
      <x:c r="Y42" s="34" t="str">
        <x:v>2026-07-13</x:v>
      </x:c>
      <x:c r="Z42" s="34" t="str">
        <x:v>V4-宮廟知名地點池</x:v>
      </x:c>
      <x:c r="AA42" s="34" t="str">
        <x:v>以正式廟名、所在縣市與 Google Maps POI 區分同名宮廟。</x:v>
      </x:c>
      <x:c r="AB42" s="34" t="str">
        <x:v>正式上線前點開 Google Maps 連結，確認主入口、廟埕與任務圓心沒有落在後殿、停車場或山區道路。</x:v>
      </x:c>
    </x:row>
    <x:row r="43">
      <x:c r="A43" s="34" t="n">
        <x:v>42</x:v>
      </x:c>
      <x:c r="B43" s="34" t="str">
        <x:v>DOR-MIA-M006</x:v>
      </x:c>
      <x:c r="C43" s="34" t="str">
        <x:v>苗栗縣</x:v>
      </x:c>
      <x:c r="D43" s="34" t="str">
        <x:v>苗栗市</x:v>
      </x:c>
      <x:c r="E43" s="34" t="str">
        <x:v>道教宮廟</x:v>
      </x:c>
      <x:c r="F43" s="34" t="str">
        <x:v>苗栗玉清宮</x:v>
      </x:c>
      <x:c r="G43" s="34" t="str">
        <x:v>主要入口／廟埕代表點</x:v>
      </x:c>
      <x:c r="H43" s="38" t="n">
        <x:v>24.559476</x:v>
      </x:c>
      <x:c r="I43" s="38" t="n">
        <x:v>120.818176</x:v>
      </x:c>
      <x:c r="J43" s="42" t="n">
        <x:v>4</x:v>
      </x:c>
      <x:c r="K43" s="34" t="str">
        <x:v>★★★★☆</x:v>
      </x:c>
      <x:c r="L43" s="34" t="str">
        <x:v>區域代表級</x:v>
      </x:c>
      <x:c r="M43" s="34" t="str">
        <x:v>關聖帝君</x:v>
      </x:c>
      <x:c r="N43" s="34" t="str">
        <x:v>苗栗市代表性廟宇，廟埕與周邊道路適合步行。</x:v>
      </x:c>
      <x:c r="O43" s="34" t="str">
        <x:v>文化探索任務｜完成廟埕打卡，沿周邊老街、聚落或生活圈步行探索。</x:v>
      </x:c>
      <x:c r="P43" s="34" t="str">
        <x:v>宗教場所通常對外開放；祭典、法會、整修或人流管制請依廟方與 Google Maps 最新公告。</x:v>
      </x:c>
      <x:c r="Q43" s="42" t="n">
        <x:v>55</x:v>
      </x:c>
      <x:c r="R43" s="34" t="str">
        <x:v>A</x:v>
      </x:c>
      <x:c r="S43" s="34" t="str">
        <x:v>Google Maps POI 圖釘；以廟埕或主要入口作為任務代表點</x:v>
      </x:c>
      <x:c r="T43" s="34" t="str">
        <x:v>宮廟／宗教文化</x:v>
      </x:c>
      <x:c r="U43" s="34" t="str">
        <x:v>苗栗縣苗栗市玉清路55號</x:v>
      </x:c>
      <x:c r="V43" s="34" t="str">
        <x:v>https://www.google.com/maps/search/?api=1&amp;query=%E8%8B%97%E6%A0%97%E7%8E%89%E6%B8%85%E5%AE%AE%20%E8%8B%97%E6%A0%97%E7%B8%A3%20%E8%8B%97%E6%A0%97%E5%B8%82</x:v>
      </x:c>
      <x:c r="W43" s="34" t="str">
        <x:v>https://www.google.com/maps?q=24.559476,120.818176</x:v>
      </x:c>
      <x:c r="X43" s="34" t="str">
        <x:v>Google Maps POI 主定位＋政府宗教資料／官方廟方資料交叉整理</x:v>
      </x:c>
      <x:c r="Y43" s="34" t="str">
        <x:v>2026-07-13</x:v>
      </x:c>
      <x:c r="Z43" s="34" t="str">
        <x:v>V4-宮廟知名地點池</x:v>
      </x:c>
      <x:c r="AA43" s="34" t="str">
        <x:v>以正式廟名、所在縣市與 Google Maps POI 區分同名宮廟。</x:v>
      </x:c>
      <x:c r="AB43" s="34" t="str">
        <x:v>正式上線前點開 Google Maps 連結，確認主入口、廟埕與任務圓心沒有落在後殿、停車場或山區道路。</x:v>
      </x:c>
    </x:row>
    <x:row r="44">
      <x:c r="A44" s="34" t="n">
        <x:v>43</x:v>
      </x:c>
      <x:c r="B44" s="34" t="str">
        <x:v>DOR-TXG-M001</x:v>
      </x:c>
      <x:c r="C44" s="34" t="str">
        <x:v>臺中市</x:v>
      </x:c>
      <x:c r="D44" s="34" t="str">
        <x:v>大甲區</x:v>
      </x:c>
      <x:c r="E44" s="34" t="str">
        <x:v>媽祖廟</x:v>
      </x:c>
      <x:c r="F44" s="34" t="str">
        <x:v>大甲鎮瀾宮</x:v>
      </x:c>
      <x:c r="G44" s="34" t="str">
        <x:v>主要入口／廟埕代表點</x:v>
      </x:c>
      <x:c r="H44" s="38" t="n">
        <x:v>24.345198</x:v>
      </x:c>
      <x:c r="I44" s="38" t="n">
        <x:v>120.623371</x:v>
      </x:c>
      <x:c r="J44" s="42" t="n">
        <x:v>5</x:v>
      </x:c>
      <x:c r="K44" s="34" t="str">
        <x:v>★★★★★</x:v>
      </x:c>
      <x:c r="L44" s="34" t="str">
        <x:v>全國級</x:v>
      </x:c>
      <x:c r="M44" s="34" t="str">
        <x:v>天上聖母</x:v>
      </x:c>
      <x:c r="N44" s="34" t="str">
        <x:v>大甲媽祖遶境核心，全臺宗教活動與城市辨識度極高。</x:v>
      </x:c>
      <x:c r="O44" s="34" t="str">
        <x:v>文化主線任務｜完成正門打卡、代表建築拍照與周邊街區散步，解鎖宮廟文化徽章。</x:v>
      </x:c>
      <x:c r="P44" s="34" t="str">
        <x:v>宗教場所通常對外開放；祭典、法會、整修或人流管制請依廟方與 Google Maps 最新公告。</x:v>
      </x:c>
      <x:c r="Q44" s="42" t="n">
        <x:v>70</x:v>
      </x:c>
      <x:c r="R44" s="34" t="str">
        <x:v>A</x:v>
      </x:c>
      <x:c r="S44" s="34" t="str">
        <x:v>Google Maps POI 圖釘；以廟埕或主要入口作為任務代表點</x:v>
      </x:c>
      <x:c r="T44" s="34" t="str">
        <x:v>宮廟／宗教文化</x:v>
      </x:c>
      <x:c r="U44" s="34" t="str">
        <x:v>臺中市大甲區順天路158號</x:v>
      </x:c>
      <x:c r="V44" s="34" t="str">
        <x:v>https://www.google.com/maps/search/?api=1&amp;query=%E5%A4%A7%E7%94%B2%E9%8E%AE%E7%80%BE%E5%AE%AE%20%E8%87%BA%E4%B8%AD%E5%B8%82%20%E5%A4%A7%E7%94%B2%E5%8D%80</x:v>
      </x:c>
      <x:c r="W44" s="34" t="str">
        <x:v>https://www.google.com/maps?q=24.345198,120.623371</x:v>
      </x:c>
      <x:c r="X44" s="34" t="str">
        <x:v>Google Maps POI 主定位＋政府宗教資料／官方廟方資料交叉整理</x:v>
      </x:c>
      <x:c r="Y44" s="34" t="str">
        <x:v>2026-07-13</x:v>
      </x:c>
      <x:c r="Z44" s="34" t="str">
        <x:v>V4-宮廟知名地點池</x:v>
      </x:c>
      <x:c r="AA44" s="34" t="str">
        <x:v>以正式廟名、所在縣市與 Google Maps POI 區分同名宮廟。</x:v>
      </x:c>
      <x:c r="AB44" s="34" t="str">
        <x:v>正式上線前點開 Google Maps 連結，確認主入口、廟埕與任務圓心沒有落在後殿、停車場或山區道路。</x:v>
      </x:c>
    </x:row>
    <x:row r="45">
      <x:c r="A45" s="34" t="n">
        <x:v>44</x:v>
      </x:c>
      <x:c r="B45" s="34" t="str">
        <x:v>DOR-TXG-M002</x:v>
      </x:c>
      <x:c r="C45" s="34" t="str">
        <x:v>臺中市</x:v>
      </x:c>
      <x:c r="D45" s="34" t="str">
        <x:v>東區</x:v>
      </x:c>
      <x:c r="E45" s="34" t="str">
        <x:v>媽祖廟／古蹟</x:v>
      </x:c>
      <x:c r="F45" s="34" t="str">
        <x:v>臺中樂成宮</x:v>
      </x:c>
      <x:c r="G45" s="34" t="str">
        <x:v>主要入口／廟埕代表點</x:v>
      </x:c>
      <x:c r="H45" s="38" t="n">
        <x:v>24.139878</x:v>
      </x:c>
      <x:c r="I45" s="38" t="n">
        <x:v>120.695323</x:v>
      </x:c>
      <x:c r="J45" s="42" t="n">
        <x:v>5</x:v>
      </x:c>
      <x:c r="K45" s="34" t="str">
        <x:v>★★★★★</x:v>
      </x:c>
      <x:c r="L45" s="34" t="str">
        <x:v>全國級</x:v>
      </x:c>
      <x:c r="M45" s="34" t="str">
        <x:v>天上聖母</x:v>
      </x:c>
      <x:c r="N45" s="34" t="str">
        <x:v>旱溪媽祖信仰中心，與市區生活圈及遶境文化緊密結合。</x:v>
      </x:c>
      <x:c r="O45" s="34" t="str">
        <x:v>文化主線任務｜完成正門打卡、代表建築拍照與周邊街區散步，解鎖宮廟文化徽章。</x:v>
      </x:c>
      <x:c r="P45" s="34" t="str">
        <x:v>宗教場所通常對外開放；祭典、法會、整修或人流管制請依廟方與 Google Maps 最新公告。</x:v>
      </x:c>
      <x:c r="Q45" s="42" t="n">
        <x:v>60</x:v>
      </x:c>
      <x:c r="R45" s="34" t="str">
        <x:v>A</x:v>
      </x:c>
      <x:c r="S45" s="34" t="str">
        <x:v>Google Maps POI 圖釘；以廟埕或主要入口作為任務代表點</x:v>
      </x:c>
      <x:c r="T45" s="34" t="str">
        <x:v>宮廟／宗教文化</x:v>
      </x:c>
      <x:c r="U45" s="34" t="str">
        <x:v>臺中市東區旱溪街48號</x:v>
      </x:c>
      <x:c r="V45" s="34" t="str">
        <x:v>https://www.google.com/maps/search/?api=1&amp;query=%E8%87%BA%E4%B8%AD%E6%A8%82%E6%88%90%E5%AE%AE%20%E8%87%BA%E4%B8%AD%E5%B8%82%20%E6%9D%B1%E5%8D%80</x:v>
      </x:c>
      <x:c r="W45" s="34" t="str">
        <x:v>https://www.google.com/maps?q=24.139878,120.695323</x:v>
      </x:c>
      <x:c r="X45" s="34" t="str">
        <x:v>Google Maps POI 主定位＋政府宗教資料／官方廟方資料交叉整理</x:v>
      </x:c>
      <x:c r="Y45" s="34" t="str">
        <x:v>2026-07-13</x:v>
      </x:c>
      <x:c r="Z45" s="34" t="str">
        <x:v>V4-宮廟知名地點池</x:v>
      </x:c>
      <x:c r="AA45" s="34" t="str">
        <x:v>以正式廟名、所在縣市與 Google Maps POI 區分同名宮廟。</x:v>
      </x:c>
      <x:c r="AB45" s="34" t="str">
        <x:v>正式上線前點開 Google Maps 連結，確認主入口、廟埕與任務圓心沒有落在後殿、停車場或山區道路。</x:v>
      </x:c>
    </x:row>
    <x:row r="46">
      <x:c r="A46" s="34" t="n">
        <x:v>45</x:v>
      </x:c>
      <x:c r="B46" s="34" t="str">
        <x:v>DOR-TXG-M003</x:v>
      </x:c>
      <x:c r="C46" s="34" t="str">
        <x:v>臺中市</x:v>
      </x:c>
      <x:c r="D46" s="34" t="str">
        <x:v>南屯區</x:v>
      </x:c>
      <x:c r="E46" s="34" t="str">
        <x:v>媽祖廟／古蹟</x:v>
      </x:c>
      <x:c r="F46" s="34" t="str">
        <x:v>萬和宮</x:v>
      </x:c>
      <x:c r="G46" s="34" t="str">
        <x:v>主要入口／廟埕代表點</x:v>
      </x:c>
      <x:c r="H46" s="38" t="n">
        <x:v>24.135763</x:v>
      </x:c>
      <x:c r="I46" s="38" t="n">
        <x:v>120.638802</x:v>
      </x:c>
      <x:c r="J46" s="42" t="n">
        <x:v>4</x:v>
      </x:c>
      <x:c r="K46" s="34" t="str">
        <x:v>★★★★☆</x:v>
      </x:c>
      <x:c r="L46" s="34" t="str">
        <x:v>區域代表級</x:v>
      </x:c>
      <x:c r="M46" s="34" t="str">
        <x:v>天上聖母</x:v>
      </x:c>
      <x:c r="N46" s="34" t="str">
        <x:v>南屯老街核心廟宇，老街與宗教文化路線完整。</x:v>
      </x:c>
      <x:c r="O46" s="34" t="str">
        <x:v>文化探索任務｜完成廟埕打卡，沿周邊老街、聚落或生活圈步行探索。</x:v>
      </x:c>
      <x:c r="P46" s="34" t="str">
        <x:v>宗教場所通常對外開放；祭典、法會、整修或人流管制請依廟方與 Google Maps 最新公告。</x:v>
      </x:c>
      <x:c r="Q46" s="42" t="n">
        <x:v>60</x:v>
      </x:c>
      <x:c r="R46" s="34" t="str">
        <x:v>A</x:v>
      </x:c>
      <x:c r="S46" s="34" t="str">
        <x:v>Google Maps POI 圖釘；以廟埕或主要入口作為任務代表點</x:v>
      </x:c>
      <x:c r="T46" s="34" t="str">
        <x:v>宮廟／宗教文化</x:v>
      </x:c>
      <x:c r="U46" s="34" t="str">
        <x:v>臺中市南屯區萬和路一段51號</x:v>
      </x:c>
      <x:c r="V46" s="34" t="str">
        <x:v>https://www.google.com/maps/search/?api=1&amp;query=%E8%90%AC%E5%92%8C%E5%AE%AE%20%E8%87%BA%E4%B8%AD%E5%B8%82%20%E5%8D%97%E5%B1%AF%E5%8D%80</x:v>
      </x:c>
      <x:c r="W46" s="34" t="str">
        <x:v>https://www.google.com/maps?q=24.135763,120.638802</x:v>
      </x:c>
      <x:c r="X46" s="34" t="str">
        <x:v>Google Maps POI 主定位＋政府宗教資料／官方廟方資料交叉整理</x:v>
      </x:c>
      <x:c r="Y46" s="34" t="str">
        <x:v>2026-07-13</x:v>
      </x:c>
      <x:c r="Z46" s="34" t="str">
        <x:v>V4-宮廟知名地點池</x:v>
      </x:c>
      <x:c r="AA46" s="34" t="str">
        <x:v>以正式廟名、所在縣市與 Google Maps POI 區分同名宮廟。</x:v>
      </x:c>
      <x:c r="AB46" s="34" t="str">
        <x:v>正式上線前點開 Google Maps 連結，確認主入口、廟埕與任務圓心沒有落在後殿、停車場或山區道路。</x:v>
      </x:c>
    </x:row>
    <x:row r="47">
      <x:c r="A47" s="34" t="n">
        <x:v>46</x:v>
      </x:c>
      <x:c r="B47" s="34" t="str">
        <x:v>DOR-TXG-M004</x:v>
      </x:c>
      <x:c r="C47" s="34" t="str">
        <x:v>臺中市</x:v>
      </x:c>
      <x:c r="D47" s="34" t="str">
        <x:v>豐原區</x:v>
      </x:c>
      <x:c r="E47" s="34" t="str">
        <x:v>媽祖廟</x:v>
      </x:c>
      <x:c r="F47" s="34" t="str">
        <x:v>豐原慈濟宮</x:v>
      </x:c>
      <x:c r="G47" s="34" t="str">
        <x:v>主要入口／廟埕代表點</x:v>
      </x:c>
      <x:c r="H47" s="38" t="n">
        <x:v>24.252707</x:v>
      </x:c>
      <x:c r="I47" s="38" t="n">
        <x:v>120.721359</x:v>
      </x:c>
      <x:c r="J47" s="42" t="n">
        <x:v>4</x:v>
      </x:c>
      <x:c r="K47" s="34" t="str">
        <x:v>★★★★☆</x:v>
      </x:c>
      <x:c r="L47" s="34" t="str">
        <x:v>區域代表級</x:v>
      </x:c>
      <x:c r="M47" s="34" t="str">
        <x:v>天上聖母</x:v>
      </x:c>
      <x:c r="N47" s="34" t="str">
        <x:v>豐原市中心重要信仰與商圈地標。</x:v>
      </x:c>
      <x:c r="O47" s="34" t="str">
        <x:v>文化探索任務｜完成廟埕打卡，沿周邊老街、聚落或生活圈步行探索。</x:v>
      </x:c>
      <x:c r="P47" s="34" t="str">
        <x:v>宗教場所通常對外開放；祭典、法會、整修或人流管制請依廟方與 Google Maps 最新公告。</x:v>
      </x:c>
      <x:c r="Q47" s="42" t="n">
        <x:v>55</x:v>
      </x:c>
      <x:c r="R47" s="34" t="str">
        <x:v>A</x:v>
      </x:c>
      <x:c r="S47" s="34" t="str">
        <x:v>Google Maps POI 圖釘；以廟埕或主要入口作為任務代表點</x:v>
      </x:c>
      <x:c r="T47" s="34" t="str">
        <x:v>宮廟／宗教文化</x:v>
      </x:c>
      <x:c r="U47" s="34" t="str">
        <x:v>臺中市豐原區中正路179號</x:v>
      </x:c>
      <x:c r="V47" s="34" t="str">
        <x:v>https://www.google.com/maps/search/?api=1&amp;query=%E8%B1%90%E5%8E%9F%E6%85%88%E6%BF%9F%E5%AE%AE%20%E8%87%BA%E4%B8%AD%E5%B8%82%20%E8%B1%90%E5%8E%9F%E5%8D%80</x:v>
      </x:c>
      <x:c r="W47" s="34" t="str">
        <x:v>https://www.google.com/maps?q=24.252707,120.721359</x:v>
      </x:c>
      <x:c r="X47" s="34" t="str">
        <x:v>Google Maps POI 主定位＋政府宗教資料／官方廟方資料交叉整理</x:v>
      </x:c>
      <x:c r="Y47" s="34" t="str">
        <x:v>2026-07-13</x:v>
      </x:c>
      <x:c r="Z47" s="34" t="str">
        <x:v>V4-宮廟知名地點池</x:v>
      </x:c>
      <x:c r="AA47" s="34" t="str">
        <x:v>以正式廟名、所在縣市與 Google Maps POI 區分同名宮廟。</x:v>
      </x:c>
      <x:c r="AB47" s="34" t="str">
        <x:v>正式上線前點開 Google Maps 連結，確認主入口、廟埕與任務圓心沒有落在後殿、停車場或山區道路。</x:v>
      </x:c>
    </x:row>
    <x:row r="48">
      <x:c r="A48" s="34" t="n">
        <x:v>47</x:v>
      </x:c>
      <x:c r="B48" s="34" t="str">
        <x:v>DOR-TXG-M005</x:v>
      </x:c>
      <x:c r="C48" s="34" t="str">
        <x:v>臺中市</x:v>
      </x:c>
      <x:c r="D48" s="34" t="str">
        <x:v>清水區</x:v>
      </x:c>
      <x:c r="E48" s="34" t="str">
        <x:v>觀音寺／古蹟</x:v>
      </x:c>
      <x:c r="F48" s="34" t="str">
        <x:v>清水紫雲巖</x:v>
      </x:c>
      <x:c r="G48" s="34" t="str">
        <x:v>主要入口／廟埕代表點</x:v>
      </x:c>
      <x:c r="H48" s="38" t="n">
        <x:v>24.269353</x:v>
      </x:c>
      <x:c r="I48" s="38" t="n">
        <x:v>120.576984</x:v>
      </x:c>
      <x:c r="J48" s="42" t="n">
        <x:v>4</x:v>
      </x:c>
      <x:c r="K48" s="34" t="str">
        <x:v>★★★★☆</x:v>
      </x:c>
      <x:c r="L48" s="34" t="str">
        <x:v>區域代表級</x:v>
      </x:c>
      <x:c r="M48" s="34" t="str">
        <x:v>觀世音菩薩</x:v>
      </x:c>
      <x:c r="N48" s="34" t="str">
        <x:v>清水地區代表性觀音信仰中心，廟埕與老街可串聯。</x:v>
      </x:c>
      <x:c r="O48" s="34" t="str">
        <x:v>文化探索任務｜完成廟埕打卡，沿周邊老街、聚落或生活圈步行探索。</x:v>
      </x:c>
      <x:c r="P48" s="34" t="str">
        <x:v>宗教場所通常對外開放；祭典、法會、整修或人流管制請依廟方與 Google Maps 最新公告。</x:v>
      </x:c>
      <x:c r="Q48" s="42" t="n">
        <x:v>60</x:v>
      </x:c>
      <x:c r="R48" s="34" t="str">
        <x:v>A</x:v>
      </x:c>
      <x:c r="S48" s="34" t="str">
        <x:v>Google Maps POI 圖釘；以廟埕或主要入口作為任務代表點</x:v>
      </x:c>
      <x:c r="T48" s="34" t="str">
        <x:v>宮廟／宗教文化</x:v>
      </x:c>
      <x:c r="U48" s="34" t="str">
        <x:v>臺中市清水區大街路206號</x:v>
      </x:c>
      <x:c r="V48" s="34" t="str">
        <x:v>https://www.google.com/maps/search/?api=1&amp;query=%E6%B8%85%E6%B0%B4%E7%B4%AB%E9%9B%B2%E5%B7%96%20%E8%87%BA%E4%B8%AD%E5%B8%82%20%E6%B8%85%E6%B0%B4%E5%8D%80</x:v>
      </x:c>
      <x:c r="W48" s="34" t="str">
        <x:v>https://www.google.com/maps?q=24.269353,120.576984</x:v>
      </x:c>
      <x:c r="X48" s="34" t="str">
        <x:v>Google Maps POI 主定位＋政府宗教資料／官方廟方資料交叉整理</x:v>
      </x:c>
      <x:c r="Y48" s="34" t="str">
        <x:v>2026-07-13</x:v>
      </x:c>
      <x:c r="Z48" s="34" t="str">
        <x:v>V4-宮廟知名地點池</x:v>
      </x:c>
      <x:c r="AA48" s="34" t="str">
        <x:v>以正式廟名、所在縣市與 Google Maps POI 區分同名宮廟。</x:v>
      </x:c>
      <x:c r="AB48" s="34" t="str">
        <x:v>正式上線前點開 Google Maps 連結，確認主入口、廟埕與任務圓心沒有落在後殿、停車場或山區道路。</x:v>
      </x:c>
    </x:row>
    <x:row r="49">
      <x:c r="A49" s="34" t="n">
        <x:v>48</x:v>
      </x:c>
      <x:c r="B49" s="34" t="str">
        <x:v>DOR-TXG-M006</x:v>
      </x:c>
      <x:c r="C49" s="34" t="str">
        <x:v>臺中市</x:v>
      </x:c>
      <x:c r="D49" s="34" t="str">
        <x:v>梧棲區</x:v>
      </x:c>
      <x:c r="E49" s="34" t="str">
        <x:v>媽祖廟</x:v>
      </x:c>
      <x:c r="F49" s="34" t="str">
        <x:v>梧棲朝元宮</x:v>
      </x:c>
      <x:c r="G49" s="34" t="str">
        <x:v>主要入口／廟埕代表點</x:v>
      </x:c>
      <x:c r="H49" s="38" t="n">
        <x:v>24.254171</x:v>
      </x:c>
      <x:c r="I49" s="38" t="n">
        <x:v>120.532962</x:v>
      </x:c>
      <x:c r="J49" s="42" t="n">
        <x:v>4</x:v>
      </x:c>
      <x:c r="K49" s="34" t="str">
        <x:v>★★★★☆</x:v>
      </x:c>
      <x:c r="L49" s="34" t="str">
        <x:v>區域代表級</x:v>
      </x:c>
      <x:c r="M49" s="34" t="str">
        <x:v>天上聖母</x:v>
      </x:c>
      <x:c r="N49" s="34" t="str">
        <x:v>梧棲老街與海線媽祖信仰重要節點。</x:v>
      </x:c>
      <x:c r="O49" s="34" t="str">
        <x:v>文化探索任務｜完成廟埕打卡，沿周邊老街、聚落或生活圈步行探索。</x:v>
      </x:c>
      <x:c r="P49" s="34" t="str">
        <x:v>宗教場所通常對外開放；祭典、法會、整修或人流管制請依廟方與 Google Maps 最新公告。</x:v>
      </x:c>
      <x:c r="Q49" s="42" t="n">
        <x:v>55</x:v>
      </x:c>
      <x:c r="R49" s="34" t="str">
        <x:v>A</x:v>
      </x:c>
      <x:c r="S49" s="34" t="str">
        <x:v>Google Maps POI 圖釘；以廟埕或主要入口作為任務代表點</x:v>
      </x:c>
      <x:c r="T49" s="34" t="str">
        <x:v>宮廟／宗教文化</x:v>
      </x:c>
      <x:c r="U49" s="34" t="str">
        <x:v>臺中市梧棲區梧棲路140號</x:v>
      </x:c>
      <x:c r="V49" s="34" t="str">
        <x:v>https://www.google.com/maps/search/?api=1&amp;query=%E6%A2%A7%E6%A3%B2%E6%9C%9D%E5%85%83%E5%AE%AE%20%E8%87%BA%E4%B8%AD%E5%B8%82%20%E6%A2%A7%E6%A3%B2%E5%8D%80</x:v>
      </x:c>
      <x:c r="W49" s="34" t="str">
        <x:v>https://www.google.com/maps?q=24.254171,120.532962</x:v>
      </x:c>
      <x:c r="X49" s="34" t="str">
        <x:v>Google Maps POI 主定位＋政府宗教資料／官方廟方資料交叉整理</x:v>
      </x:c>
      <x:c r="Y49" s="34" t="str">
        <x:v>2026-07-13</x:v>
      </x:c>
      <x:c r="Z49" s="34" t="str">
        <x:v>V4-宮廟知名地點池</x:v>
      </x:c>
      <x:c r="AA49" s="34" t="str">
        <x:v>以正式廟名、所在縣市與 Google Maps POI 區分同名宮廟。</x:v>
      </x:c>
      <x:c r="AB49" s="34" t="str">
        <x:v>正式上線前點開 Google Maps 連結，確認主入口、廟埕與任務圓心沒有落在後殿、停車場或山區道路。</x:v>
      </x:c>
    </x:row>
    <x:row r="50">
      <x:c r="A50" s="34" t="n">
        <x:v>49</x:v>
      </x:c>
      <x:c r="B50" s="34" t="str">
        <x:v>DOR-TXG-M007</x:v>
      </x:c>
      <x:c r="C50" s="34" t="str">
        <x:v>臺中市</x:v>
      </x:c>
      <x:c r="D50" s="34" t="str">
        <x:v>東勢區</x:v>
      </x:c>
      <x:c r="E50" s="34" t="str">
        <x:v>祖師廟／古蹟</x:v>
      </x:c>
      <x:c r="F50" s="34" t="str">
        <x:v>東勢巧聖仙師祖廟</x:v>
      </x:c>
      <x:c r="G50" s="34" t="str">
        <x:v>主要入口／廟埕代表點</x:v>
      </x:c>
      <x:c r="H50" s="38" t="n">
        <x:v>24.25811</x:v>
      </x:c>
      <x:c r="I50" s="38" t="n">
        <x:v>120.82846</x:v>
      </x:c>
      <x:c r="J50" s="42" t="n">
        <x:v>4</x:v>
      </x:c>
      <x:c r="K50" s="34" t="str">
        <x:v>★★★★☆</x:v>
      </x:c>
      <x:c r="L50" s="34" t="str">
        <x:v>區域代表級</x:v>
      </x:c>
      <x:c r="M50" s="34" t="str">
        <x:v>巧聖仙師</x:v>
      </x:c>
      <x:c r="N50" s="34" t="str">
        <x:v>臺灣少見以魯班為核心的信仰地標，客庄與工藝文化鮮明。</x:v>
      </x:c>
      <x:c r="O50" s="34" t="str">
        <x:v>文化探索任務｜完成廟埕打卡，沿周邊老街、聚落或生活圈步行探索。</x:v>
      </x:c>
      <x:c r="P50" s="34" t="str">
        <x:v>宗教場所通常對外開放；祭典、法會、整修或人流管制請依廟方與 Google Maps 最新公告。</x:v>
      </x:c>
      <x:c r="Q50" s="42" t="n">
        <x:v>55</x:v>
      </x:c>
      <x:c r="R50" s="34" t="str">
        <x:v>A</x:v>
      </x:c>
      <x:c r="S50" s="34" t="str">
        <x:v>Google Maps POI 圖釘；以廟埕或主要入口作為任務代表點</x:v>
      </x:c>
      <x:c r="T50" s="34" t="str">
        <x:v>宮廟／宗教文化</x:v>
      </x:c>
      <x:c r="U50" s="34" t="str">
        <x:v>臺中市東勢區匠寮巷52號</x:v>
      </x:c>
      <x:c r="V50" s="34" t="str">
        <x:v>https://www.google.com/maps/search/?api=1&amp;query=%E6%9D%B1%E5%8B%A2%E5%B7%A7%E8%81%96%E4%BB%99%E5%B8%AB%E7%A5%96%E5%BB%9F%20%E8%87%BA%E4%B8%AD%E5%B8%82%20%E6%9D%B1%E5%8B%A2%E5%8D%80</x:v>
      </x:c>
      <x:c r="W50" s="34" t="str">
        <x:v>https://www.google.com/maps?q=24.258110,120.828460</x:v>
      </x:c>
      <x:c r="X50" s="34" t="str">
        <x:v>Google Maps POI 主定位＋政府宗教資料／官方廟方資料交叉整理</x:v>
      </x:c>
      <x:c r="Y50" s="34" t="str">
        <x:v>2026-07-13</x:v>
      </x:c>
      <x:c r="Z50" s="34" t="str">
        <x:v>V4-宮廟知名地點池</x:v>
      </x:c>
      <x:c r="AA50" s="34" t="str">
        <x:v>以正式廟名、所在縣市與 Google Maps POI 區分同名宮廟。</x:v>
      </x:c>
      <x:c r="AB50" s="34" t="str">
        <x:v>正式上線前點開 Google Maps 連結，確認主入口、廟埕與任務圓心沒有落在後殿、停車場或山區道路。</x:v>
      </x:c>
    </x:row>
    <x:row r="51">
      <x:c r="A51" s="34" t="n">
        <x:v>50</x:v>
      </x:c>
      <x:c r="B51" s="34" t="str">
        <x:v>DOR-TXG-M008</x:v>
      </x:c>
      <x:c r="C51" s="34" t="str">
        <x:v>臺中市</x:v>
      </x:c>
      <x:c r="D51" s="34" t="str">
        <x:v>北區</x:v>
      </x:c>
      <x:c r="E51" s="34" t="str">
        <x:v>佛寺</x:v>
      </x:c>
      <x:c r="F51" s="34" t="str">
        <x:v>寶覺禪寺</x:v>
      </x:c>
      <x:c r="G51" s="34" t="str">
        <x:v>主要入口／廟埕代表點</x:v>
      </x:c>
      <x:c r="H51" s="38" t="n">
        <x:v>24.155109</x:v>
      </x:c>
      <x:c r="I51" s="38" t="n">
        <x:v>120.686063</x:v>
      </x:c>
      <x:c r="J51" s="42" t="n">
        <x:v>4</x:v>
      </x:c>
      <x:c r="K51" s="34" t="str">
        <x:v>★★★★☆</x:v>
      </x:c>
      <x:c r="L51" s="34" t="str">
        <x:v>區域代表級</x:v>
      </x:c>
      <x:c r="M51" s="34" t="str">
        <x:v>釋迦牟尼佛</x:v>
      </x:c>
      <x:c r="N51" s="34" t="str">
        <x:v>大型彌勒佛像具高辨識度，城市散步與觀光打卡成熟。</x:v>
      </x:c>
      <x:c r="O51" s="34" t="str">
        <x:v>文化探索任務｜完成廟埕打卡，沿周邊老街、聚落或生活圈步行探索。</x:v>
      </x:c>
      <x:c r="P51" s="34" t="str">
        <x:v>宗教場所通常對外開放；祭典、法會、整修或人流管制請依廟方與 Google Maps 最新公告。</x:v>
      </x:c>
      <x:c r="Q51" s="42" t="n">
        <x:v>70</x:v>
      </x:c>
      <x:c r="R51" s="34" t="str">
        <x:v>A</x:v>
      </x:c>
      <x:c r="S51" s="34" t="str">
        <x:v>Google Maps POI 圖釘；以廟埕或主要入口作為任務代表點</x:v>
      </x:c>
      <x:c r="T51" s="34" t="str">
        <x:v>宮廟／宗教文化</x:v>
      </x:c>
      <x:c r="U51" s="34" t="str">
        <x:v>臺中市北區健行路140號</x:v>
      </x:c>
      <x:c r="V51" s="34" t="str">
        <x:v>https://www.google.com/maps/search/?api=1&amp;query=%E5%AF%B6%E8%A6%BA%E7%A6%AA%E5%AF%BA%20%E8%87%BA%E4%B8%AD%E5%B8%82%20%E5%8C%97%E5%8D%80</x:v>
      </x:c>
      <x:c r="W51" s="34" t="str">
        <x:v>https://www.google.com/maps?q=24.155109,120.686063</x:v>
      </x:c>
      <x:c r="X51" s="34" t="str">
        <x:v>Google Maps POI 主定位＋政府宗教資料／官方廟方資料交叉整理</x:v>
      </x:c>
      <x:c r="Y51" s="34" t="str">
        <x:v>2026-07-13</x:v>
      </x:c>
      <x:c r="Z51" s="34" t="str">
        <x:v>V4-宮廟知名地點池</x:v>
      </x:c>
      <x:c r="AA51" s="34" t="str">
        <x:v>以正式廟名、所在縣市與 Google Maps POI 區分同名宮廟。</x:v>
      </x:c>
      <x:c r="AB51" s="34" t="str">
        <x:v>正式上線前點開 Google Maps 連結，確認主入口、廟埕與任務圓心沒有落在後殿、停車場或山區道路。</x:v>
      </x:c>
    </x:row>
    <x:row r="52">
      <x:c r="A52" s="34" t="n">
        <x:v>51</x:v>
      </x:c>
      <x:c r="B52" s="34" t="str">
        <x:v>DOR-CHA-M001</x:v>
      </x:c>
      <x:c r="C52" s="34" t="str">
        <x:v>彰化縣</x:v>
      </x:c>
      <x:c r="D52" s="34" t="str">
        <x:v>鹿港鎮</x:v>
      </x:c>
      <x:c r="E52" s="34" t="str">
        <x:v>媽祖廟／古蹟</x:v>
      </x:c>
      <x:c r="F52" s="34" t="str">
        <x:v>鹿港天后宮</x:v>
      </x:c>
      <x:c r="G52" s="34" t="str">
        <x:v>主要入口／廟埕代表點</x:v>
      </x:c>
      <x:c r="H52" s="38" t="n">
        <x:v>24.059323</x:v>
      </x:c>
      <x:c r="I52" s="38" t="n">
        <x:v>120.431402</x:v>
      </x:c>
      <x:c r="J52" s="42" t="n">
        <x:v>5</x:v>
      </x:c>
      <x:c r="K52" s="34" t="str">
        <x:v>★★★★★</x:v>
      </x:c>
      <x:c r="L52" s="34" t="str">
        <x:v>全國級</x:v>
      </x:c>
      <x:c r="M52" s="34" t="str">
        <x:v>天上聖母</x:v>
      </x:c>
      <x:c r="N52" s="34" t="str">
        <x:v>鹿港最具代表性的媽祖廟之一，老街與宗教文化完整。</x:v>
      </x:c>
      <x:c r="O52" s="34" t="str">
        <x:v>文化主線任務｜完成正門打卡、代表建築拍照與周邊街區散步，解鎖宮廟文化徽章。</x:v>
      </x:c>
      <x:c r="P52" s="34" t="str">
        <x:v>宗教場所通常對外開放；祭典、法會、整修或人流管制請依廟方與 Google Maps 最新公告。</x:v>
      </x:c>
      <x:c r="Q52" s="42" t="n">
        <x:v>65</x:v>
      </x:c>
      <x:c r="R52" s="34" t="str">
        <x:v>A</x:v>
      </x:c>
      <x:c r="S52" s="34" t="str">
        <x:v>Google Maps POI 圖釘；以廟埕或主要入口作為任務代表點</x:v>
      </x:c>
      <x:c r="T52" s="34" t="str">
        <x:v>宮廟／宗教文化</x:v>
      </x:c>
      <x:c r="U52" s="34" t="str">
        <x:v>彰化縣鹿港鎮中山路430號</x:v>
      </x:c>
      <x:c r="V52" s="34" t="str">
        <x:v>https://www.google.com/maps/search/?api=1&amp;query=%E9%B9%BF%E6%B8%AF%E5%A4%A9%E5%90%8E%E5%AE%AE%20%E5%BD%B0%E5%8C%96%E7%B8%A3%20%E9%B9%BF%E6%B8%AF%E9%8E%AE</x:v>
      </x:c>
      <x:c r="W52" s="34" t="str">
        <x:v>https://www.google.com/maps?q=24.059323,120.431402</x:v>
      </x:c>
      <x:c r="X52" s="34" t="str">
        <x:v>Google Maps POI 主定位＋政府宗教資料／官方廟方資料交叉整理</x:v>
      </x:c>
      <x:c r="Y52" s="34" t="str">
        <x:v>2026-07-13</x:v>
      </x:c>
      <x:c r="Z52" s="34" t="str">
        <x:v>V4-宮廟知名地點池</x:v>
      </x:c>
      <x:c r="AA52" s="34" t="str">
        <x:v>以正式廟名、所在縣市與 Google Maps POI 區分同名宮廟。</x:v>
      </x:c>
      <x:c r="AB52" s="34" t="str">
        <x:v>正式上線前點開 Google Maps 連結，確認主入口、廟埕與任務圓心沒有落在後殿、停車場或山區道路。</x:v>
      </x:c>
    </x:row>
    <x:row r="53">
      <x:c r="A53" s="34" t="n">
        <x:v>52</x:v>
      </x:c>
      <x:c r="B53" s="34" t="str">
        <x:v>DOR-CHA-M002</x:v>
      </x:c>
      <x:c r="C53" s="34" t="str">
        <x:v>彰化縣</x:v>
      </x:c>
      <x:c r="D53" s="34" t="str">
        <x:v>鹿港鎮</x:v>
      </x:c>
      <x:c r="E53" s="34" t="str">
        <x:v>龍山寺／國定古蹟</x:v>
      </x:c>
      <x:c r="F53" s="34" t="str">
        <x:v>鹿港龍山寺</x:v>
      </x:c>
      <x:c r="G53" s="34" t="str">
        <x:v>主要入口／廟埕代表點</x:v>
      </x:c>
      <x:c r="H53" s="38" t="n">
        <x:v>24.052786</x:v>
      </x:c>
      <x:c r="I53" s="38" t="n">
        <x:v>120.434527</x:v>
      </x:c>
      <x:c r="J53" s="42" t="n">
        <x:v>5</x:v>
      </x:c>
      <x:c r="K53" s="34" t="str">
        <x:v>★★★★★</x:v>
      </x:c>
      <x:c r="L53" s="34" t="str">
        <x:v>全國級</x:v>
      </x:c>
      <x:c r="M53" s="34" t="str">
        <x:v>觀世音菩薩</x:v>
      </x:c>
      <x:c r="N53" s="34" t="str">
        <x:v>臺灣重要龍山寺古蹟，建築與空間保存價值高。</x:v>
      </x:c>
      <x:c r="O53" s="34" t="str">
        <x:v>文化主線任務｜完成正門打卡、代表建築拍照與周邊街區散步，解鎖宮廟文化徽章。</x:v>
      </x:c>
      <x:c r="P53" s="34" t="str">
        <x:v>宗教場所通常對外開放；祭典、法會、整修或人流管制請依廟方與 Google Maps 最新公告。</x:v>
      </x:c>
      <x:c r="Q53" s="42" t="n">
        <x:v>60</x:v>
      </x:c>
      <x:c r="R53" s="34" t="str">
        <x:v>A</x:v>
      </x:c>
      <x:c r="S53" s="34" t="str">
        <x:v>Google Maps POI 圖釘；以廟埕或主要入口作為任務代表點</x:v>
      </x:c>
      <x:c r="T53" s="34" t="str">
        <x:v>宮廟／宗教文化</x:v>
      </x:c>
      <x:c r="U53" s="34" t="str">
        <x:v>彰化縣鹿港鎮龍山街100號</x:v>
      </x:c>
      <x:c r="V53" s="34" t="str">
        <x:v>https://www.google.com/maps/search/?api=1&amp;query=%E9%B9%BF%E6%B8%AF%E9%BE%8D%E5%B1%B1%E5%AF%BA%20%E5%BD%B0%E5%8C%96%E7%B8%A3%20%E9%B9%BF%E6%B8%AF%E9%8E%AE</x:v>
      </x:c>
      <x:c r="W53" s="34" t="str">
        <x:v>https://www.google.com/maps?q=24.052786,120.434527</x:v>
      </x:c>
      <x:c r="X53" s="34" t="str">
        <x:v>Google Maps POI 主定位＋政府宗教資料／官方廟方資料交叉整理</x:v>
      </x:c>
      <x:c r="Y53" s="34" t="str">
        <x:v>2026-07-13</x:v>
      </x:c>
      <x:c r="Z53" s="34" t="str">
        <x:v>V4-宮廟知名地點池</x:v>
      </x:c>
      <x:c r="AA53" s="34" t="str">
        <x:v>以正式廟名、所在縣市與 Google Maps POI 區分同名宮廟。</x:v>
      </x:c>
      <x:c r="AB53" s="34" t="str">
        <x:v>正式上線前點開 Google Maps 連結，確認主入口、廟埕與任務圓心沒有落在後殿、停車場或山區道路。</x:v>
      </x:c>
    </x:row>
    <x:row r="54">
      <x:c r="A54" s="34" t="n">
        <x:v>53</x:v>
      </x:c>
      <x:c r="B54" s="34" t="str">
        <x:v>DOR-CHA-M003</x:v>
      </x:c>
      <x:c r="C54" s="34" t="str">
        <x:v>彰化縣</x:v>
      </x:c>
      <x:c r="D54" s="34" t="str">
        <x:v>彰化市</x:v>
      </x:c>
      <x:c r="E54" s="34" t="str">
        <x:v>媽祖廟</x:v>
      </x:c>
      <x:c r="F54" s="34" t="str">
        <x:v>彰化南瑤宮</x:v>
      </x:c>
      <x:c r="G54" s="34" t="str">
        <x:v>主要入口／廟埕代表點</x:v>
      </x:c>
      <x:c r="H54" s="38" t="n">
        <x:v>24.073895</x:v>
      </x:c>
      <x:c r="I54" s="38" t="n">
        <x:v>120.539191</x:v>
      </x:c>
      <x:c r="J54" s="42" t="n">
        <x:v>5</x:v>
      </x:c>
      <x:c r="K54" s="34" t="str">
        <x:v>★★★★★</x:v>
      </x:c>
      <x:c r="L54" s="34" t="str">
        <x:v>全國級</x:v>
      </x:c>
      <x:c r="M54" s="34" t="str">
        <x:v>天上聖母</x:v>
      </x:c>
      <x:c r="N54" s="34" t="str">
        <x:v>笨港進香文化重要節點，彰化市代表性宗教地標。</x:v>
      </x:c>
      <x:c r="O54" s="34" t="str">
        <x:v>文化主線任務｜完成正門打卡、代表建築拍照與周邊街區散步，解鎖宮廟文化徽章。</x:v>
      </x:c>
      <x:c r="P54" s="34" t="str">
        <x:v>宗教場所通常對外開放；祭典、法會、整修或人流管制請依廟方與 Google Maps 最新公告。</x:v>
      </x:c>
      <x:c r="Q54" s="42" t="n">
        <x:v>65</x:v>
      </x:c>
      <x:c r="R54" s="34" t="str">
        <x:v>A</x:v>
      </x:c>
      <x:c r="S54" s="34" t="str">
        <x:v>Google Maps POI 圖釘；以廟埕或主要入口作為任務代表點</x:v>
      </x:c>
      <x:c r="T54" s="34" t="str">
        <x:v>宮廟／宗教文化</x:v>
      </x:c>
      <x:c r="U54" s="34" t="str">
        <x:v>彰化縣彰化市南瑤路43號</x:v>
      </x:c>
      <x:c r="V54" s="34" t="str">
        <x:v>https://www.google.com/maps/search/?api=1&amp;query=%E5%BD%B0%E5%8C%96%E5%8D%97%E7%91%A4%E5%AE%AE%20%E5%BD%B0%E5%8C%96%E7%B8%A3%20%E5%BD%B0%E5%8C%96%E5%B8%82</x:v>
      </x:c>
      <x:c r="W54" s="34" t="str">
        <x:v>https://www.google.com/maps?q=24.073895,120.539191</x:v>
      </x:c>
      <x:c r="X54" s="34" t="str">
        <x:v>Google Maps POI 主定位＋政府宗教資料／官方廟方資料交叉整理</x:v>
      </x:c>
      <x:c r="Y54" s="34" t="str">
        <x:v>2026-07-13</x:v>
      </x:c>
      <x:c r="Z54" s="34" t="str">
        <x:v>V4-宮廟知名地點池</x:v>
      </x:c>
      <x:c r="AA54" s="34" t="str">
        <x:v>以正式廟名、所在縣市與 Google Maps POI 區分同名宮廟。</x:v>
      </x:c>
      <x:c r="AB54" s="34" t="str">
        <x:v>正式上線前點開 Google Maps 連結，確認主入口、廟埕與任務圓心沒有落在後殿、停車場或山區道路。</x:v>
      </x:c>
    </x:row>
    <x:row r="55">
      <x:c r="A55" s="34" t="n">
        <x:v>54</x:v>
      </x:c>
      <x:c r="B55" s="34" t="str">
        <x:v>DOR-CHA-M004</x:v>
      </x:c>
      <x:c r="C55" s="34" t="str">
        <x:v>彰化縣</x:v>
      </x:c>
      <x:c r="D55" s="34" t="str">
        <x:v>彰化市</x:v>
      </x:c>
      <x:c r="E55" s="34" t="str">
        <x:v>道觀／古蹟</x:v>
      </x:c>
      <x:c r="F55" s="34" t="str">
        <x:v>元清觀</x:v>
      </x:c>
      <x:c r="G55" s="34" t="str">
        <x:v>主要入口／廟埕代表點</x:v>
      </x:c>
      <x:c r="H55" s="38" t="n">
        <x:v>24.07755</x:v>
      </x:c>
      <x:c r="I55" s="38" t="n">
        <x:v>120.538651</x:v>
      </x:c>
      <x:c r="J55" s="42" t="n">
        <x:v>4</x:v>
      </x:c>
      <x:c r="K55" s="34" t="str">
        <x:v>★★★★☆</x:v>
      </x:c>
      <x:c r="L55" s="34" t="str">
        <x:v>區域代表級</x:v>
      </x:c>
      <x:c r="M55" s="34" t="str">
        <x:v>玉皇上帝</x:v>
      </x:c>
      <x:c r="N55" s="34" t="str">
        <x:v>臺灣重要道教古蹟，位於彰化舊城生活圈。</x:v>
      </x:c>
      <x:c r="O55" s="34" t="str">
        <x:v>文化探索任務｜完成廟埕打卡，沿周邊老街、聚落或生活圈步行探索。</x:v>
      </x:c>
      <x:c r="P55" s="34" t="str">
        <x:v>宗教場所通常對外開放；祭典、法會、整修或人流管制請依廟方與 Google Maps 最新公告。</x:v>
      </x:c>
      <x:c r="Q55" s="42" t="n">
        <x:v>45</x:v>
      </x:c>
      <x:c r="R55" s="34" t="str">
        <x:v>A</x:v>
      </x:c>
      <x:c r="S55" s="34" t="str">
        <x:v>Google Maps POI 圖釘；以廟埕或主要入口作為任務代表點</x:v>
      </x:c>
      <x:c r="T55" s="34" t="str">
        <x:v>宮廟／宗教文化</x:v>
      </x:c>
      <x:c r="U55" s="34" t="str">
        <x:v>彰化縣彰化市民生路207號</x:v>
      </x:c>
      <x:c r="V55" s="34" t="str">
        <x:v>https://www.google.com/maps/search/?api=1&amp;query=%E5%85%83%E6%B8%85%E8%A7%80%20%E5%BD%B0%E5%8C%96%E7%B8%A3%20%E5%BD%B0%E5%8C%96%E5%B8%82</x:v>
      </x:c>
      <x:c r="W55" s="34" t="str">
        <x:v>https://www.google.com/maps?q=24.077550,120.538651</x:v>
      </x:c>
      <x:c r="X55" s="34" t="str">
        <x:v>Google Maps POI 主定位＋政府宗教資料／官方廟方資料交叉整理</x:v>
      </x:c>
      <x:c r="Y55" s="34" t="str">
        <x:v>2026-07-13</x:v>
      </x:c>
      <x:c r="Z55" s="34" t="str">
        <x:v>V4-宮廟知名地點池</x:v>
      </x:c>
      <x:c r="AA55" s="34" t="str">
        <x:v>以正式廟名、所在縣市與 Google Maps POI 區分同名宮廟。</x:v>
      </x:c>
      <x:c r="AB55" s="34" t="str">
        <x:v>正式上線前點開 Google Maps 連結，確認主入口、廟埕與任務圓心沒有落在後殿、停車場或山區道路。</x:v>
      </x:c>
    </x:row>
    <x:row r="56">
      <x:c r="A56" s="34" t="n">
        <x:v>55</x:v>
      </x:c>
      <x:c r="B56" s="34" t="str">
        <x:v>DOR-CHA-M005</x:v>
      </x:c>
      <x:c r="C56" s="34" t="str">
        <x:v>彰化縣</x:v>
      </x:c>
      <x:c r="D56" s="34" t="str">
        <x:v>彰化市</x:v>
      </x:c>
      <x:c r="E56" s="34" t="str">
        <x:v>觀音寺／古蹟</x:v>
      </x:c>
      <x:c r="F56" s="34" t="str">
        <x:v>開化寺</x:v>
      </x:c>
      <x:c r="G56" s="34" t="str">
        <x:v>主要入口／廟埕代表點</x:v>
      </x:c>
      <x:c r="H56" s="38" t="n">
        <x:v>24.076388</x:v>
      </x:c>
      <x:c r="I56" s="38" t="n">
        <x:v>120.544067</x:v>
      </x:c>
      <x:c r="J56" s="42" t="n">
        <x:v>4</x:v>
      </x:c>
      <x:c r="K56" s="34" t="str">
        <x:v>★★★★☆</x:v>
      </x:c>
      <x:c r="L56" s="34" t="str">
        <x:v>區域代表級</x:v>
      </x:c>
      <x:c r="M56" s="34" t="str">
        <x:v>觀世音菩薩</x:v>
      </x:c>
      <x:c r="N56" s="34" t="str">
        <x:v>彰化市歷史悠久的觀音寺，可串聯舊城步行。</x:v>
      </x:c>
      <x:c r="O56" s="34" t="str">
        <x:v>文化探索任務｜完成廟埕打卡，沿周邊老街、聚落或生活圈步行探索。</x:v>
      </x:c>
      <x:c r="P56" s="34" t="str">
        <x:v>宗教場所通常對外開放；祭典、法會、整修或人流管制請依廟方與 Google Maps 最新公告。</x:v>
      </x:c>
      <x:c r="Q56" s="42" t="n">
        <x:v>45</x:v>
      </x:c>
      <x:c r="R56" s="34" t="str">
        <x:v>A</x:v>
      </x:c>
      <x:c r="S56" s="34" t="str">
        <x:v>Google Maps POI 圖釘；以廟埕或主要入口作為任務代表點</x:v>
      </x:c>
      <x:c r="T56" s="34" t="str">
        <x:v>宮廟／宗教文化</x:v>
      </x:c>
      <x:c r="U56" s="34" t="str">
        <x:v>彰化縣彰化市中華路134號</x:v>
      </x:c>
      <x:c r="V56" s="34" t="str">
        <x:v>https://www.google.com/maps/search/?api=1&amp;query=%E9%96%8B%E5%8C%96%E5%AF%BA%20%E5%BD%B0%E5%8C%96%E7%B8%A3%20%E5%BD%B0%E5%8C%96%E5%B8%82</x:v>
      </x:c>
      <x:c r="W56" s="34" t="str">
        <x:v>https://www.google.com/maps?q=24.076388,120.544067</x:v>
      </x:c>
      <x:c r="X56" s="34" t="str">
        <x:v>Google Maps POI 主定位＋政府宗教資料／官方廟方資料交叉整理</x:v>
      </x:c>
      <x:c r="Y56" s="34" t="str">
        <x:v>2026-07-13</x:v>
      </x:c>
      <x:c r="Z56" s="34" t="str">
        <x:v>V4-宮廟知名地點池</x:v>
      </x:c>
      <x:c r="AA56" s="34" t="str">
        <x:v>以正式廟名、所在縣市與 Google Maps POI 區分同名宮廟。</x:v>
      </x:c>
      <x:c r="AB56" s="34" t="str">
        <x:v>正式上線前點開 Google Maps 連結，確認主入口、廟埕與任務圓心沒有落在後殿、停車場或山區道路。</x:v>
      </x:c>
    </x:row>
    <x:row r="57">
      <x:c r="A57" s="34" t="n">
        <x:v>56</x:v>
      </x:c>
      <x:c r="B57" s="34" t="str">
        <x:v>DOR-CHA-M006</x:v>
      </x:c>
      <x:c r="C57" s="34" t="str">
        <x:v>彰化縣</x:v>
      </x:c>
      <x:c r="D57" s="34" t="str">
        <x:v>芬園鄉</x:v>
      </x:c>
      <x:c r="E57" s="34" t="str">
        <x:v>寺廟／古蹟</x:v>
      </x:c>
      <x:c r="F57" s="34" t="str">
        <x:v>芬園寶藏寺</x:v>
      </x:c>
      <x:c r="G57" s="34" t="str">
        <x:v>主要入口／廟埕代表點</x:v>
      </x:c>
      <x:c r="H57" s="38" t="n">
        <x:v>24.013903</x:v>
      </x:c>
      <x:c r="I57" s="38" t="n">
        <x:v>120.628151</x:v>
      </x:c>
      <x:c r="J57" s="42" t="n">
        <x:v>4</x:v>
      </x:c>
      <x:c r="K57" s="34" t="str">
        <x:v>★★★★☆</x:v>
      </x:c>
      <x:c r="L57" s="34" t="str">
        <x:v>區域代表級</x:v>
      </x:c>
      <x:c r="M57" s="34" t="str">
        <x:v>觀世音菩薩</x:v>
      </x:c>
      <x:c r="N57" s="34" t="str">
        <x:v>地方重要古寺與山麓景觀，適合短程散步探索。</x:v>
      </x:c>
      <x:c r="O57" s="34" t="str">
        <x:v>文化探索任務｜完成廟埕打卡，沿周邊老街、聚落或生活圈步行探索。</x:v>
      </x:c>
      <x:c r="P57" s="34" t="str">
        <x:v>宗教場所通常對外開放；祭典、法會、整修或人流管制請依廟方與 Google Maps 最新公告。</x:v>
      </x:c>
      <x:c r="Q57" s="42" t="n">
        <x:v>65</x:v>
      </x:c>
      <x:c r="R57" s="34" t="str">
        <x:v>A</x:v>
      </x:c>
      <x:c r="S57" s="34" t="str">
        <x:v>Google Maps POI 圖釘；以廟埕或主要入口作為任務代表點</x:v>
      </x:c>
      <x:c r="T57" s="34" t="str">
        <x:v>宮廟／宗教文化</x:v>
      </x:c>
      <x:c r="U57" s="34" t="str">
        <x:v>彰化縣芬園鄉彰南路三段135巷100號</x:v>
      </x:c>
      <x:c r="V57" s="34" t="str">
        <x:v>https://www.google.com/maps/search/?api=1&amp;query=%E8%8A%AC%E5%9C%92%E5%AF%B6%E8%97%8F%E5%AF%BA%20%E5%BD%B0%E5%8C%96%E7%B8%A3%20%E8%8A%AC%E5%9C%92%E9%84%89</x:v>
      </x:c>
      <x:c r="W57" s="34" t="str">
        <x:v>https://www.google.com/maps?q=24.013903,120.628151</x:v>
      </x:c>
      <x:c r="X57" s="34" t="str">
        <x:v>Google Maps POI 主定位＋政府宗教資料／官方廟方資料交叉整理</x:v>
      </x:c>
      <x:c r="Y57" s="34" t="str">
        <x:v>2026-07-13</x:v>
      </x:c>
      <x:c r="Z57" s="34" t="str">
        <x:v>V4-宮廟知名地點池</x:v>
      </x:c>
      <x:c r="AA57" s="34" t="str">
        <x:v>以正式廟名、所在縣市與 Google Maps POI 區分同名宮廟。</x:v>
      </x:c>
      <x:c r="AB57" s="34" t="str">
        <x:v>正式上線前點開 Google Maps 連結，確認主入口、廟埕與任務圓心沒有落在後殿、停車場或山區道路。</x:v>
      </x:c>
    </x:row>
    <x:row r="58">
      <x:c r="A58" s="34" t="n">
        <x:v>57</x:v>
      </x:c>
      <x:c r="B58" s="34" t="str">
        <x:v>DOR-CHA-M007</x:v>
      </x:c>
      <x:c r="C58" s="34" t="str">
        <x:v>彰化縣</x:v>
      </x:c>
      <x:c r="D58" s="34" t="str">
        <x:v>北斗鎮</x:v>
      </x:c>
      <x:c r="E58" s="34" t="str">
        <x:v>媽祖廟／古蹟</x:v>
      </x:c>
      <x:c r="F58" s="34" t="str">
        <x:v>北斗奠安宮</x:v>
      </x:c>
      <x:c r="G58" s="34" t="str">
        <x:v>主要入口／廟埕代表點</x:v>
      </x:c>
      <x:c r="H58" s="38" t="n">
        <x:v>23.870971</x:v>
      </x:c>
      <x:c r="I58" s="38" t="n">
        <x:v>120.525459</x:v>
      </x:c>
      <x:c r="J58" s="42" t="n">
        <x:v>4</x:v>
      </x:c>
      <x:c r="K58" s="34" t="str">
        <x:v>★★★★☆</x:v>
      </x:c>
      <x:c r="L58" s="34" t="str">
        <x:v>區域代表級</x:v>
      </x:c>
      <x:c r="M58" s="34" t="str">
        <x:v>天上聖母</x:v>
      </x:c>
      <x:c r="N58" s="34" t="str">
        <x:v>北斗老街信仰中心，街區散步與夜間打卡便利。</x:v>
      </x:c>
      <x:c r="O58" s="34" t="str">
        <x:v>文化探索任務｜完成廟埕打卡，沿周邊老街、聚落或生活圈步行探索。</x:v>
      </x:c>
      <x:c r="P58" s="34" t="str">
        <x:v>宗教場所通常對外開放；祭典、法會、整修或人流管制請依廟方與 Google Maps 最新公告。</x:v>
      </x:c>
      <x:c r="Q58" s="42" t="n">
        <x:v>55</x:v>
      </x:c>
      <x:c r="R58" s="34" t="str">
        <x:v>A</x:v>
      </x:c>
      <x:c r="S58" s="34" t="str">
        <x:v>Google Maps POI 圖釘；以廟埕或主要入口作為任務代表點</x:v>
      </x:c>
      <x:c r="T58" s="34" t="str">
        <x:v>宮廟／宗教文化</x:v>
      </x:c>
      <x:c r="U58" s="34" t="str">
        <x:v>彰化縣北斗鎮斗苑路一段120號</x:v>
      </x:c>
      <x:c r="V58" s="34" t="str">
        <x:v>https://www.google.com/maps/search/?api=1&amp;query=%E5%8C%97%E6%96%97%E5%A5%A0%E5%AE%89%E5%AE%AE%20%E5%BD%B0%E5%8C%96%E7%B8%A3%20%E5%8C%97%E6%96%97%E9%8E%AE</x:v>
      </x:c>
      <x:c r="W58" s="34" t="str">
        <x:v>https://www.google.com/maps?q=23.870971,120.525459</x:v>
      </x:c>
      <x:c r="X58" s="34" t="str">
        <x:v>Google Maps POI 主定位＋政府宗教資料／官方廟方資料交叉整理</x:v>
      </x:c>
      <x:c r="Y58" s="34" t="str">
        <x:v>2026-07-13</x:v>
      </x:c>
      <x:c r="Z58" s="34" t="str">
        <x:v>V4-宮廟知名地點池</x:v>
      </x:c>
      <x:c r="AA58" s="34" t="str">
        <x:v>以正式廟名、所在縣市與 Google Maps POI 區分同名宮廟。</x:v>
      </x:c>
      <x:c r="AB58" s="34" t="str">
        <x:v>正式上線前點開 Google Maps 連結，確認主入口、廟埕與任務圓心沒有落在後殿、停車場或山區道路。</x:v>
      </x:c>
    </x:row>
    <x:row r="59">
      <x:c r="A59" s="34" t="n">
        <x:v>58</x:v>
      </x:c>
      <x:c r="B59" s="34" t="str">
        <x:v>DOR-CHA-M008</x:v>
      </x:c>
      <x:c r="C59" s="34" t="str">
        <x:v>彰化縣</x:v>
      </x:c>
      <x:c r="D59" s="34" t="str">
        <x:v>社頭鄉</x:v>
      </x:c>
      <x:c r="E59" s="34" t="str">
        <x:v>佛寺／古蹟</x:v>
      </x:c>
      <x:c r="F59" s="34" t="str">
        <x:v>社頭清水巖寺</x:v>
      </x:c>
      <x:c r="G59" s="34" t="str">
        <x:v>主要入口／廟埕代表點</x:v>
      </x:c>
      <x:c r="H59" s="38" t="n">
        <x:v>23.886343</x:v>
      </x:c>
      <x:c r="I59" s="38" t="n">
        <x:v>120.608317</x:v>
      </x:c>
      <x:c r="J59" s="42" t="n">
        <x:v>4</x:v>
      </x:c>
      <x:c r="K59" s="34" t="str">
        <x:v>★★★★☆</x:v>
      </x:c>
      <x:c r="L59" s="34" t="str">
        <x:v>區域代表級</x:v>
      </x:c>
      <x:c r="M59" s="34" t="str">
        <x:v>觀世音菩薩</x:v>
      </x:c>
      <x:c r="N59" s="34" t="str">
        <x:v>清水岩遊憩區與古寺結合，適合自然散步任務。</x:v>
      </x:c>
      <x:c r="O59" s="34" t="str">
        <x:v>文化探索任務｜完成廟埕打卡，沿周邊老街、聚落或生活圈步行探索。</x:v>
      </x:c>
      <x:c r="P59" s="34" t="str">
        <x:v>宗教場所通常對外開放；祭典、法會、整修或人流管制請依廟方與 Google Maps 最新公告。</x:v>
      </x:c>
      <x:c r="Q59" s="42" t="n">
        <x:v>80</x:v>
      </x:c>
      <x:c r="R59" s="34" t="str">
        <x:v>B</x:v>
      </x:c>
      <x:c r="S59" s="34" t="str">
        <x:v>Google Maps POI 圖釘；以廟埕或主要入口作為任務代表點</x:v>
      </x:c>
      <x:c r="T59" s="34" t="str">
        <x:v>宮廟／宗教文化</x:v>
      </x:c>
      <x:c r="U59" s="34" t="str">
        <x:v>彰化縣社頭鄉清水岩路1號</x:v>
      </x:c>
      <x:c r="V59" s="34" t="str">
        <x:v>https://www.google.com/maps/search/?api=1&amp;query=%E7%A4%BE%E9%A0%AD%E6%B8%85%E6%B0%B4%E5%B7%96%E5%AF%BA%20%E5%BD%B0%E5%8C%96%E7%B8%A3%20%E7%A4%BE%E9%A0%AD%E9%84%89</x:v>
      </x:c>
      <x:c r="W59" s="34" t="str">
        <x:v>https://www.google.com/maps?q=23.886343,120.608317</x:v>
      </x:c>
      <x:c r="X59" s="34" t="str">
        <x:v>Google Maps POI 主定位＋政府宗教資料／官方廟方資料交叉整理</x:v>
      </x:c>
      <x:c r="Y59" s="34" t="str">
        <x:v>2026-07-13</x:v>
      </x:c>
      <x:c r="Z59" s="34" t="str">
        <x:v>V4-宮廟知名地點池</x:v>
      </x:c>
      <x:c r="AA59" s="34" t="str">
        <x:v>以正式廟名、所在縣市與 Google Maps POI 區分同名宮廟。</x:v>
      </x:c>
      <x:c r="AB59" s="34" t="str">
        <x:v>正式上線前點開 Google Maps 連結，確認主入口、廟埕與任務圓心沒有落在後殿、停車場或山區道路。</x:v>
      </x:c>
    </x:row>
    <x:row r="60">
      <x:c r="A60" s="34" t="n">
        <x:v>59</x:v>
      </x:c>
      <x:c r="B60" s="34" t="str">
        <x:v>DOR-NAN-M001</x:v>
      </x:c>
      <x:c r="C60" s="34" t="str">
        <x:v>南投縣</x:v>
      </x:c>
      <x:c r="D60" s="34" t="str">
        <x:v>竹山鎮</x:v>
      </x:c>
      <x:c r="E60" s="34" t="str">
        <x:v>土地公廟</x:v>
      </x:c>
      <x:c r="F60" s="34" t="str">
        <x:v>竹山紫南宮</x:v>
      </x:c>
      <x:c r="G60" s="34" t="str">
        <x:v>主要入口／廟埕代表點</x:v>
      </x:c>
      <x:c r="H60" s="38" t="n">
        <x:v>23.817386</x:v>
      </x:c>
      <x:c r="I60" s="38" t="n">
        <x:v>120.722059</x:v>
      </x:c>
      <x:c r="J60" s="42" t="n">
        <x:v>5</x:v>
      </x:c>
      <x:c r="K60" s="34" t="str">
        <x:v>★★★★★</x:v>
      </x:c>
      <x:c r="L60" s="34" t="str">
        <x:v>全國級</x:v>
      </x:c>
      <x:c r="M60" s="34" t="str">
        <x:v>福德正神</x:v>
      </x:c>
      <x:c r="N60" s="34" t="str">
        <x:v>全臺知名求發財金土地公廟，香客量與觀光辨識度極高。</x:v>
      </x:c>
      <x:c r="O60" s="34" t="str">
        <x:v>日常祈福散步｜步行抵達廟埕完成打卡，繞行周邊街區或步道 500 公尺。</x:v>
      </x:c>
      <x:c r="P60" s="34" t="str">
        <x:v>宗教場所通常對外開放；祭典、法會、整修或人流管制請依廟方與 Google Maps 最新公告。</x:v>
      </x:c>
      <x:c r="Q60" s="42" t="n">
        <x:v>70</x:v>
      </x:c>
      <x:c r="R60" s="34" t="str">
        <x:v>A</x:v>
      </x:c>
      <x:c r="S60" s="34" t="str">
        <x:v>Google Maps POI 圖釘；以廟埕或主要入口作為任務代表點</x:v>
      </x:c>
      <x:c r="T60" s="34" t="str">
        <x:v>宮廟／宗教文化</x:v>
      </x:c>
      <x:c r="U60" s="34" t="str">
        <x:v>南投縣竹山鎮大公街40號</x:v>
      </x:c>
      <x:c r="V60" s="34" t="str">
        <x:v>https://www.google.com/maps/search/?api=1&amp;query=%E7%AB%B9%E5%B1%B1%E7%B4%AB%E5%8D%97%E5%AE%AE%20%E5%8D%97%E6%8A%95%E7%B8%A3%20%E7%AB%B9%E5%B1%B1%E9%8E%AE</x:v>
      </x:c>
      <x:c r="W60" s="34" t="str">
        <x:v>https://www.google.com/maps?q=23.817386,120.722059</x:v>
      </x:c>
      <x:c r="X60" s="34" t="str">
        <x:v>Google Maps POI 主定位＋政府宗教資料／官方廟方資料交叉整理</x:v>
      </x:c>
      <x:c r="Y60" s="34" t="str">
        <x:v>2026-07-13</x:v>
      </x:c>
      <x:c r="Z60" s="34" t="str">
        <x:v>V4-宮廟知名地點池</x:v>
      </x:c>
      <x:c r="AA60" s="34" t="str">
        <x:v>以正式廟名、所在縣市與 Google Maps POI 區分同名宮廟。</x:v>
      </x:c>
      <x:c r="AB60" s="34" t="str">
        <x:v>正式上線前點開 Google Maps 連結，確認主入口、廟埕與任務圓心沒有落在後殿、停車場或山區道路。</x:v>
      </x:c>
    </x:row>
    <x:row r="61">
      <x:c r="A61" s="34" t="n">
        <x:v>60</x:v>
      </x:c>
      <x:c r="B61" s="34" t="str">
        <x:v>DOR-NAN-M002</x:v>
      </x:c>
      <x:c r="C61" s="34" t="str">
        <x:v>南投縣</x:v>
      </x:c>
      <x:c r="D61" s="34" t="str">
        <x:v>魚池鄉</x:v>
      </x:c>
      <x:c r="E61" s="34" t="str">
        <x:v>大型宮廟</x:v>
      </x:c>
      <x:c r="F61" s="34" t="str">
        <x:v>日月潭文武廟</x:v>
      </x:c>
      <x:c r="G61" s="34" t="str">
        <x:v>主要入口／廟埕代表點</x:v>
      </x:c>
      <x:c r="H61" s="38" t="n">
        <x:v>23.869178</x:v>
      </x:c>
      <x:c r="I61" s="38" t="n">
        <x:v>120.927269</x:v>
      </x:c>
      <x:c r="J61" s="42" t="n">
        <x:v>5</x:v>
      </x:c>
      <x:c r="K61" s="34" t="str">
        <x:v>★★★★★</x:v>
      </x:c>
      <x:c r="L61" s="34" t="str">
        <x:v>全國級</x:v>
      </x:c>
      <x:c r="M61" s="34" t="str">
        <x:v>文聖關公／武聖關公</x:v>
      </x:c>
      <x:c r="N61" s="34" t="str">
        <x:v>日月潭代表性宗教地標，景觀平台與湖岸遊程成熟。</x:v>
      </x:c>
      <x:c r="O61" s="34" t="str">
        <x:v>文化主線任務｜完成正門打卡、代表建築拍照與周邊街區散步，解鎖宮廟文化徽章。</x:v>
      </x:c>
      <x:c r="P61" s="34" t="str">
        <x:v>宗教場所通常對外開放；祭典、法會、整修或人流管制請依廟方與 Google Maps 最新公告。</x:v>
      </x:c>
      <x:c r="Q61" s="42" t="n">
        <x:v>90</x:v>
      </x:c>
      <x:c r="R61" s="34" t="str">
        <x:v>B</x:v>
      </x:c>
      <x:c r="S61" s="34" t="str">
        <x:v>Google Maps 文武廟主地標；大型廟區以主入口廣場作任務代表點</x:v>
      </x:c>
      <x:c r="T61" s="34" t="str">
        <x:v>宮廟／宗教文化</x:v>
      </x:c>
      <x:c r="U61" s="34" t="str">
        <x:v>南投縣魚池鄉中正路63號</x:v>
      </x:c>
      <x:c r="V61" s="34" t="str">
        <x:v>https://www.google.com/maps/search/?api=1&amp;query=%E6%97%A5%E6%9C%88%E6%BD%AD%E6%96%87%E6%AD%A6%E5%BB%9F%20%E5%8D%97%E6%8A%95%E7%B8%A3%20%E9%AD%9A%E6%B1%A0%E9%84%89</x:v>
      </x:c>
      <x:c r="W61" s="34" t="str">
        <x:v>https://www.google.com/maps?q=23.869178,120.927269</x:v>
      </x:c>
      <x:c r="X61" s="34" t="str">
        <x:v>Google Maps POI 主定位＋政府宗教資料／官方廟方資料交叉整理</x:v>
      </x:c>
      <x:c r="Y61" s="34" t="str">
        <x:v>2026-07-13</x:v>
      </x:c>
      <x:c r="Z61" s="34" t="str">
        <x:v>V4-宮廟知名地點池</x:v>
      </x:c>
      <x:c r="AA61" s="34" t="str">
        <x:v>以正式廟名、所在縣市與 Google Maps POI 區分同名宮廟。</x:v>
      </x:c>
      <x:c r="AB61" s="34" t="str">
        <x:v>正式上線前點開 Google Maps 連結，確認主入口、廟埕與任務圓心沒有落在後殿、停車場或山區道路。</x:v>
      </x:c>
    </x:row>
    <x:row r="62">
      <x:c r="A62" s="34" t="n">
        <x:v>61</x:v>
      </x:c>
      <x:c r="B62" s="34" t="str">
        <x:v>DOR-NAN-M003</x:v>
      </x:c>
      <x:c r="C62" s="34" t="str">
        <x:v>南投縣</x:v>
      </x:c>
      <x:c r="D62" s="34" t="str">
        <x:v>埔里鎮</x:v>
      </x:c>
      <x:c r="E62" s="34" t="str">
        <x:v>佛寺</x:v>
      </x:c>
      <x:c r="F62" s="34" t="str">
        <x:v>中台禪寺</x:v>
      </x:c>
      <x:c r="G62" s="34" t="str">
        <x:v>主要入口／廟埕代表點</x:v>
      </x:c>
      <x:c r="H62" s="38" t="n">
        <x:v>24.009296</x:v>
      </x:c>
      <x:c r="I62" s="38" t="n">
        <x:v>120.944473</x:v>
      </x:c>
      <x:c r="J62" s="42" t="n">
        <x:v>5</x:v>
      </x:c>
      <x:c r="K62" s="34" t="str">
        <x:v>★★★★★</x:v>
      </x:c>
      <x:c r="L62" s="34" t="str">
        <x:v>全國級</x:v>
      </x:c>
      <x:c r="M62" s="34" t="str">
        <x:v>釋迦牟尼佛</x:v>
      </x:c>
      <x:c r="N62" s="34" t="str">
        <x:v>現代佛教建築地標，園區規模與觀光辨識度高。</x:v>
      </x:c>
      <x:c r="O62" s="34" t="str">
        <x:v>文化主線任務｜完成正門打卡、代表建築拍照與周邊街區散步，解鎖宮廟文化徽章。</x:v>
      </x:c>
      <x:c r="P62" s="34" t="str">
        <x:v>宗教場所通常對外開放；祭典、法會、整修或人流管制請依廟方與 Google Maps 最新公告。</x:v>
      </x:c>
      <x:c r="Q62" s="42" t="n">
        <x:v>100</x:v>
      </x:c>
      <x:c r="R62" s="34" t="str">
        <x:v>B</x:v>
      </x:c>
      <x:c r="S62" s="34" t="str">
        <x:v>Google Maps 中台禪寺主地標；大型園區以遊客入口或大門為圓心</x:v>
      </x:c>
      <x:c r="T62" s="34" t="str">
        <x:v>宮廟／宗教文化</x:v>
      </x:c>
      <x:c r="U62" s="34" t="str">
        <x:v>南投縣埔里鎮中台路2號</x:v>
      </x:c>
      <x:c r="V62" s="34" t="str">
        <x:v>https://www.google.com/maps/search/?api=1&amp;query=%E4%B8%AD%E5%8F%B0%E7%A6%AA%E5%AF%BA%20%E5%8D%97%E6%8A%95%E7%B8%A3%20%E5%9F%94%E9%87%8C%E9%8E%AE</x:v>
      </x:c>
      <x:c r="W62" s="34" t="str">
        <x:v>https://www.google.com/maps?q=24.009296,120.944473</x:v>
      </x:c>
      <x:c r="X62" s="34" t="str">
        <x:v>Google Maps POI 主定位＋政府宗教資料／官方廟方資料交叉整理</x:v>
      </x:c>
      <x:c r="Y62" s="34" t="str">
        <x:v>2026-07-13</x:v>
      </x:c>
      <x:c r="Z62" s="34" t="str">
        <x:v>V4-宮廟知名地點池</x:v>
      </x:c>
      <x:c r="AA62" s="34" t="str">
        <x:v>以正式廟名、所在縣市與 Google Maps POI 區分同名宮廟。</x:v>
      </x:c>
      <x:c r="AB62" s="34" t="str">
        <x:v>正式上線前點開 Google Maps 連結，確認主入口、廟埕與任務圓心沒有落在後殿、停車場或山區道路。</x:v>
      </x:c>
    </x:row>
    <x:row r="63">
      <x:c r="A63" s="34" t="n">
        <x:v>62</x:v>
      </x:c>
      <x:c r="B63" s="34" t="str">
        <x:v>DOR-NAN-M004</x:v>
      </x:c>
      <x:c r="C63" s="34" t="str">
        <x:v>南投縣</x:v>
      </x:c>
      <x:c r="D63" s="34" t="str">
        <x:v>名間鄉</x:v>
      </x:c>
      <x:c r="E63" s="34" t="str">
        <x:v>玄天上帝廟</x:v>
      </x:c>
      <x:c r="F63" s="34" t="str">
        <x:v>松柏嶺受天宮</x:v>
      </x:c>
      <x:c r="G63" s="34" t="str">
        <x:v>主要入口／廟埕代表點</x:v>
      </x:c>
      <x:c r="H63" s="38" t="n">
        <x:v>23.833014</x:v>
      </x:c>
      <x:c r="I63" s="38" t="n">
        <x:v>120.633439</x:v>
      </x:c>
      <x:c r="J63" s="42" t="n">
        <x:v>5</x:v>
      </x:c>
      <x:c r="K63" s="34" t="str">
        <x:v>★★★★★</x:v>
      </x:c>
      <x:c r="L63" s="34" t="str">
        <x:v>全國級</x:v>
      </x:c>
      <x:c r="M63" s="34" t="str">
        <x:v>玄天上帝</x:v>
      </x:c>
      <x:c r="N63" s="34" t="str">
        <x:v>臺灣玄天上帝重要信仰中心，茶鄉與山稜景觀鮮明。</x:v>
      </x:c>
      <x:c r="O63" s="34" t="str">
        <x:v>文化主線任務｜完成正門打卡、代表建築拍照與周邊街區散步，解鎖宮廟文化徽章。</x:v>
      </x:c>
      <x:c r="P63" s="34" t="str">
        <x:v>宗教場所通常對外開放；祭典、法會、整修或人流管制請依廟方與 Google Maps 最新公告。</x:v>
      </x:c>
      <x:c r="Q63" s="42" t="n">
        <x:v>75</x:v>
      </x:c>
      <x:c r="R63" s="34" t="str">
        <x:v>A</x:v>
      </x:c>
      <x:c r="S63" s="34" t="str">
        <x:v>Google Maps POI 圖釘；以廟埕或主要入口作為任務代表點</x:v>
      </x:c>
      <x:c r="T63" s="34" t="str">
        <x:v>宮廟／宗教文化</x:v>
      </x:c>
      <x:c r="U63" s="34" t="str">
        <x:v>南投縣名間鄉松山街118號</x:v>
      </x:c>
      <x:c r="V63" s="34" t="str">
        <x:v>https://www.google.com/maps/search/?api=1&amp;query=%E6%9D%BE%E6%9F%8F%E5%B6%BA%E5%8F%97%E5%A4%A9%E5%AE%AE%20%E5%8D%97%E6%8A%95%E7%B8%A3%20%E5%90%8D%E9%96%93%E9%84%89</x:v>
      </x:c>
      <x:c r="W63" s="34" t="str">
        <x:v>https://www.google.com/maps?q=23.833014,120.633439</x:v>
      </x:c>
      <x:c r="X63" s="34" t="str">
        <x:v>Google Maps POI 主定位＋政府宗教資料／官方廟方資料交叉整理</x:v>
      </x:c>
      <x:c r="Y63" s="34" t="str">
        <x:v>2026-07-13</x:v>
      </x:c>
      <x:c r="Z63" s="34" t="str">
        <x:v>V4-宮廟知名地點池</x:v>
      </x:c>
      <x:c r="AA63" s="34" t="str">
        <x:v>以正式廟名、所在縣市與 Google Maps POI 區分同名宮廟。</x:v>
      </x:c>
      <x:c r="AB63" s="34" t="str">
        <x:v>正式上線前點開 Google Maps 連結，確認主入口、廟埕與任務圓心沒有落在後殿、停車場或山區道路。</x:v>
      </x:c>
    </x:row>
    <x:row r="64">
      <x:c r="A64" s="34" t="n">
        <x:v>63</x:v>
      </x:c>
      <x:c r="B64" s="34" t="str">
        <x:v>DOR-NAN-M005</x:v>
      </x:c>
      <x:c r="C64" s="34" t="str">
        <x:v>南投縣</x:v>
      </x:c>
      <x:c r="D64" s="34" t="str">
        <x:v>草屯鎮</x:v>
      </x:c>
      <x:c r="E64" s="34" t="str">
        <x:v>土地公廟</x:v>
      </x:c>
      <x:c r="F64" s="34" t="str">
        <x:v>草屯敦和宮</x:v>
      </x:c>
      <x:c r="G64" s="34" t="str">
        <x:v>主要入口／廟埕代表點</x:v>
      </x:c>
      <x:c r="H64" s="38" t="n">
        <x:v>23.980588</x:v>
      </x:c>
      <x:c r="I64" s="38" t="n">
        <x:v>120.682358</x:v>
      </x:c>
      <x:c r="J64" s="42" t="n">
        <x:v>4</x:v>
      </x:c>
      <x:c r="K64" s="34" t="str">
        <x:v>★★★★☆</x:v>
      </x:c>
      <x:c r="L64" s="34" t="str">
        <x:v>區域代表級</x:v>
      </x:c>
      <x:c r="M64" s="34" t="str">
        <x:v>福德正神</x:v>
      </x:c>
      <x:c r="N64" s="34" t="str">
        <x:v>大型土地公神像具高辨識度，適合日常祈福散步。</x:v>
      </x:c>
      <x:c r="O64" s="34" t="str">
        <x:v>日常祈福散步｜步行抵達廟埕完成打卡，繞行周邊街區或步道 500 公尺。</x:v>
      </x:c>
      <x:c r="P64" s="34" t="str">
        <x:v>宗教場所通常對外開放；祭典、法會、整修或人流管制請依廟方與 Google Maps 最新公告。</x:v>
      </x:c>
      <x:c r="Q64" s="42" t="n">
        <x:v>65</x:v>
      </x:c>
      <x:c r="R64" s="34" t="str">
        <x:v>A</x:v>
      </x:c>
      <x:c r="S64" s="34" t="str">
        <x:v>Google Maps POI 圖釘；以廟埕或主要入口作為任務代表點</x:v>
      </x:c>
      <x:c r="T64" s="34" t="str">
        <x:v>宮廟／宗教文化</x:v>
      </x:c>
      <x:c r="U64" s="34" t="str">
        <x:v>南投縣草屯鎮敦和路74號</x:v>
      </x:c>
      <x:c r="V64" s="34" t="str">
        <x:v>https://www.google.com/maps/search/?api=1&amp;query=%E8%8D%89%E5%B1%AF%E6%95%A6%E5%92%8C%E5%AE%AE%20%E5%8D%97%E6%8A%95%E7%B8%A3%20%E8%8D%89%E5%B1%AF%E9%8E%AE</x:v>
      </x:c>
      <x:c r="W64" s="34" t="str">
        <x:v>https://www.google.com/maps?q=23.980588,120.682358</x:v>
      </x:c>
      <x:c r="X64" s="34" t="str">
        <x:v>Google Maps POI 主定位＋政府宗教資料／官方廟方資料交叉整理</x:v>
      </x:c>
      <x:c r="Y64" s="34" t="str">
        <x:v>2026-07-13</x:v>
      </x:c>
      <x:c r="Z64" s="34" t="str">
        <x:v>V4-宮廟知名地點池</x:v>
      </x:c>
      <x:c r="AA64" s="34" t="str">
        <x:v>以正式廟名、所在縣市與 Google Maps POI 區分同名宮廟。</x:v>
      </x:c>
      <x:c r="AB64" s="34" t="str">
        <x:v>正式上線前點開 Google Maps 連結，確認主入口、廟埕與任務圓心沒有落在後殿、停車場或山區道路。</x:v>
      </x:c>
    </x:row>
    <x:row r="65">
      <x:c r="A65" s="34" t="n">
        <x:v>64</x:v>
      </x:c>
      <x:c r="B65" s="34" t="str">
        <x:v>DOR-NAN-M006</x:v>
      </x:c>
      <x:c r="C65" s="34" t="str">
        <x:v>南投縣</x:v>
      </x:c>
      <x:c r="D65" s="34" t="str">
        <x:v>埔里鎮</x:v>
      </x:c>
      <x:c r="E65" s="34" t="str">
        <x:v>地母廟</x:v>
      </x:c>
      <x:c r="F65" s="34" t="str">
        <x:v>寶湖宮天地堂地母廟</x:v>
      </x:c>
      <x:c r="G65" s="34" t="str">
        <x:v>主要入口／廟埕代表點</x:v>
      </x:c>
      <x:c r="H65" s="38" t="n">
        <x:v>23.990867</x:v>
      </x:c>
      <x:c r="I65" s="38" t="n">
        <x:v>120.964092</x:v>
      </x:c>
      <x:c r="J65" s="42" t="n">
        <x:v>5</x:v>
      </x:c>
      <x:c r="K65" s="34" t="str">
        <x:v>★★★★★</x:v>
      </x:c>
      <x:c r="L65" s="34" t="str">
        <x:v>全國級</x:v>
      </x:c>
      <x:c r="M65" s="34" t="str">
        <x:v>地母至尊</x:v>
      </x:c>
      <x:c r="N65" s="34" t="str">
        <x:v>青瓦建築與地母信仰全臺知名，山城景觀辨識度高。</x:v>
      </x:c>
      <x:c r="O65" s="34" t="str">
        <x:v>文化主線任務｜完成正門打卡、代表建築拍照與周邊街區散步，解鎖宮廟文化徽章。</x:v>
      </x:c>
      <x:c r="P65" s="34" t="str">
        <x:v>宗教場所通常對外開放；祭典、法會、整修或人流管制請依廟方與 Google Maps 最新公告。</x:v>
      </x:c>
      <x:c r="Q65" s="42" t="n">
        <x:v>80</x:v>
      </x:c>
      <x:c r="R65" s="34" t="str">
        <x:v>B</x:v>
      </x:c>
      <x:c r="S65" s="34" t="str">
        <x:v>Google Maps POI 圖釘；以廟埕或主要入口作為任務代表點</x:v>
      </x:c>
      <x:c r="T65" s="34" t="str">
        <x:v>宮廟／宗教文化</x:v>
      </x:c>
      <x:c r="U65" s="34" t="str">
        <x:v>南投縣埔里鎮枇杷路94號</x:v>
      </x:c>
      <x:c r="V65" s="34" t="str">
        <x:v>https://www.google.com/maps/search/?api=1&amp;query=%E5%AF%B6%E6%B9%96%E5%AE%AE%E5%A4%A9%E5%9C%B0%E5%A0%82%E5%9C%B0%E6%AF%8D%E5%BB%9F%20%E5%8D%97%E6%8A%95%E7%B8%A3%20%E5%9F%94%E9%87%8C%E9%8E%AE</x:v>
      </x:c>
      <x:c r="W65" s="34" t="str">
        <x:v>https://www.google.com/maps?q=23.990867,120.964092</x:v>
      </x:c>
      <x:c r="X65" s="34" t="str">
        <x:v>Google Maps POI 主定位＋政府宗教資料／官方廟方資料交叉整理</x:v>
      </x:c>
      <x:c r="Y65" s="34" t="str">
        <x:v>2026-07-13</x:v>
      </x:c>
      <x:c r="Z65" s="34" t="str">
        <x:v>V4-宮廟知名地點池</x:v>
      </x:c>
      <x:c r="AA65" s="34" t="str">
        <x:v>以正式廟名、所在縣市與 Google Maps POI 區分同名宮廟。</x:v>
      </x:c>
      <x:c r="AB65" s="34" t="str">
        <x:v>正式上線前點開 Google Maps 連結，確認主入口、廟埕與任務圓心沒有落在後殿、停車場或山區道路。</x:v>
      </x:c>
    </x:row>
    <x:row r="66">
      <x:c r="A66" s="34" t="n">
        <x:v>65</x:v>
      </x:c>
      <x:c r="B66" s="34" t="str">
        <x:v>DOR-YUN-M001</x:v>
      </x:c>
      <x:c r="C66" s="34" t="str">
        <x:v>雲林縣</x:v>
      </x:c>
      <x:c r="D66" s="34" t="str">
        <x:v>北港鎮</x:v>
      </x:c>
      <x:c r="E66" s="34" t="str">
        <x:v>媽祖廟／國定古蹟</x:v>
      </x:c>
      <x:c r="F66" s="34" t="str">
        <x:v>北港朝天宮</x:v>
      </x:c>
      <x:c r="G66" s="34" t="str">
        <x:v>主要入口／廟埕代表點</x:v>
      </x:c>
      <x:c r="H66" s="38" t="n">
        <x:v>23.568229</x:v>
      </x:c>
      <x:c r="I66" s="38" t="n">
        <x:v>120.304772</x:v>
      </x:c>
      <x:c r="J66" s="42" t="n">
        <x:v>5</x:v>
      </x:c>
      <x:c r="K66" s="34" t="str">
        <x:v>★★★★★</x:v>
      </x:c>
      <x:c r="L66" s="34" t="str">
        <x:v>全國級</x:v>
      </x:c>
      <x:c r="M66" s="34" t="str">
        <x:v>天上聖母</x:v>
      </x:c>
      <x:c r="N66" s="34" t="str">
        <x:v>臺灣媽祖信仰核心之一，北港老街與進香文化完整。</x:v>
      </x:c>
      <x:c r="O66" s="34" t="str">
        <x:v>文化主線任務｜完成正門打卡、代表建築拍照與周邊街區散步，解鎖宮廟文化徽章。</x:v>
      </x:c>
      <x:c r="P66" s="34" t="str">
        <x:v>宗教場所通常對外開放；祭典、法會、整修或人流管制請依廟方與 Google Maps 最新公告。</x:v>
      </x:c>
      <x:c r="Q66" s="42" t="n">
        <x:v>70</x:v>
      </x:c>
      <x:c r="R66" s="34" t="str">
        <x:v>A</x:v>
      </x:c>
      <x:c r="S66" s="34" t="str">
        <x:v>Google Maps POI 圖釘；以廟埕或主要入口作為任務代表點</x:v>
      </x:c>
      <x:c r="T66" s="34" t="str">
        <x:v>宮廟／宗教文化</x:v>
      </x:c>
      <x:c r="U66" s="34" t="str">
        <x:v>雲林縣北港鎮中山路178號</x:v>
      </x:c>
      <x:c r="V66" s="34" t="str">
        <x:v>https://www.google.com/maps/search/?api=1&amp;query=%E5%8C%97%E6%B8%AF%E6%9C%9D%E5%A4%A9%E5%AE%AE%20%E9%9B%B2%E6%9E%97%E7%B8%A3%20%E5%8C%97%E6%B8%AF%E9%8E%AE</x:v>
      </x:c>
      <x:c r="W66" s="34" t="str">
        <x:v>https://www.google.com/maps?q=23.568229,120.304772</x:v>
      </x:c>
      <x:c r="X66" s="34" t="str">
        <x:v>Google Maps POI 主定位＋政府宗教資料／官方廟方資料交叉整理</x:v>
      </x:c>
      <x:c r="Y66" s="34" t="str">
        <x:v>2026-07-13</x:v>
      </x:c>
      <x:c r="Z66" s="34" t="str">
        <x:v>V4-宮廟知名地點池</x:v>
      </x:c>
      <x:c r="AA66" s="34" t="str">
        <x:v>以正式廟名、所在縣市與 Google Maps POI 區分同名宮廟。</x:v>
      </x:c>
      <x:c r="AB66" s="34" t="str">
        <x:v>正式上線前點開 Google Maps 連結，確認主入口、廟埕與任務圓心沒有落在後殿、停車場或山區道路。</x:v>
      </x:c>
    </x:row>
    <x:row r="67">
      <x:c r="A67" s="34" t="n">
        <x:v>66</x:v>
      </x:c>
      <x:c r="B67" s="34" t="str">
        <x:v>DOR-YUN-M002</x:v>
      </x:c>
      <x:c r="C67" s="34" t="str">
        <x:v>雲林縣</x:v>
      </x:c>
      <x:c r="D67" s="34" t="str">
        <x:v>西螺鎮</x:v>
      </x:c>
      <x:c r="E67" s="34" t="str">
        <x:v>媽祖廟</x:v>
      </x:c>
      <x:c r="F67" s="34" t="str">
        <x:v>西螺福興宮</x:v>
      </x:c>
      <x:c r="G67" s="34" t="str">
        <x:v>主要入口／廟埕代表點</x:v>
      </x:c>
      <x:c r="H67" s="38" t="n">
        <x:v>23.799388</x:v>
      </x:c>
      <x:c r="I67" s="38" t="n">
        <x:v>120.461261</x:v>
      </x:c>
      <x:c r="J67" s="42" t="n">
        <x:v>5</x:v>
      </x:c>
      <x:c r="K67" s="34" t="str">
        <x:v>★★★★★</x:v>
      </x:c>
      <x:c r="L67" s="34" t="str">
        <x:v>全國級</x:v>
      </x:c>
      <x:c r="M67" s="34" t="str">
        <x:v>天上聖母</x:v>
      </x:c>
      <x:c r="N67" s="34" t="str">
        <x:v>太平媽信仰與西螺老街核心地標。</x:v>
      </x:c>
      <x:c r="O67" s="34" t="str">
        <x:v>文化主線任務｜完成正門打卡、代表建築拍照與周邊街區散步，解鎖宮廟文化徽章。</x:v>
      </x:c>
      <x:c r="P67" s="34" t="str">
        <x:v>宗教場所通常對外開放；祭典、法會、整修或人流管制請依廟方與 Google Maps 最新公告。</x:v>
      </x:c>
      <x:c r="Q67" s="42" t="n">
        <x:v>60</x:v>
      </x:c>
      <x:c r="R67" s="34" t="str">
        <x:v>A</x:v>
      </x:c>
      <x:c r="S67" s="34" t="str">
        <x:v>Google Maps POI 圖釘；以廟埕或主要入口作為任務代表點</x:v>
      </x:c>
      <x:c r="T67" s="34" t="str">
        <x:v>宮廟／宗教文化</x:v>
      </x:c>
      <x:c r="U67" s="34" t="str">
        <x:v>雲林縣西螺鎮延平路180號</x:v>
      </x:c>
      <x:c r="V67" s="34" t="str">
        <x:v>https://www.google.com/maps/search/?api=1&amp;query=%E8%A5%BF%E8%9E%BA%E7%A6%8F%E8%88%88%E5%AE%AE%20%E9%9B%B2%E6%9E%97%E7%B8%A3%20%E8%A5%BF%E8%9E%BA%E9%8E%AE</x:v>
      </x:c>
      <x:c r="W67" s="34" t="str">
        <x:v>https://www.google.com/maps?q=23.799388,120.461261</x:v>
      </x:c>
      <x:c r="X67" s="34" t="str">
        <x:v>Google Maps POI 主定位＋政府宗教資料／官方廟方資料交叉整理</x:v>
      </x:c>
      <x:c r="Y67" s="34" t="str">
        <x:v>2026-07-13</x:v>
      </x:c>
      <x:c r="Z67" s="34" t="str">
        <x:v>V4-宮廟知名地點池</x:v>
      </x:c>
      <x:c r="AA67" s="34" t="str">
        <x:v>以正式廟名、所在縣市與 Google Maps POI 區分同名宮廟。</x:v>
      </x:c>
      <x:c r="AB67" s="34" t="str">
        <x:v>正式上線前點開 Google Maps 連結，確認主入口、廟埕與任務圓心沒有落在後殿、停車場或山區道路。</x:v>
      </x:c>
    </x:row>
    <x:row r="68">
      <x:c r="A68" s="34" t="n">
        <x:v>67</x:v>
      </x:c>
      <x:c r="B68" s="34" t="str">
        <x:v>DOR-YUN-M003</x:v>
      </x:c>
      <x:c r="C68" s="34" t="str">
        <x:v>雲林縣</x:v>
      </x:c>
      <x:c r="D68" s="34" t="str">
        <x:v>西螺鎮</x:v>
      </x:c>
      <x:c r="E68" s="34" t="str">
        <x:v>媽祖廟／古蹟</x:v>
      </x:c>
      <x:c r="F68" s="34" t="str">
        <x:v>西螺廣福宮</x:v>
      </x:c>
      <x:c r="G68" s="34" t="str">
        <x:v>主要入口／廟埕代表點</x:v>
      </x:c>
      <x:c r="H68" s="38" t="n">
        <x:v>23.800606</x:v>
      </x:c>
      <x:c r="I68" s="38" t="n">
        <x:v>120.461912</x:v>
      </x:c>
      <x:c r="J68" s="42" t="n">
        <x:v>4</x:v>
      </x:c>
      <x:c r="K68" s="34" t="str">
        <x:v>★★★★☆</x:v>
      </x:c>
      <x:c r="L68" s="34" t="str">
        <x:v>區域代表級</x:v>
      </x:c>
      <x:c r="M68" s="34" t="str">
        <x:v>天上聖母</x:v>
      </x:c>
      <x:c r="N68" s="34" t="str">
        <x:v>西螺另一重要媽祖古廟，可與老街形成雙廟步行路線。</x:v>
      </x:c>
      <x:c r="O68" s="34" t="str">
        <x:v>文化探索任務｜完成廟埕打卡，沿周邊老街、聚落或生活圈步行探索。</x:v>
      </x:c>
      <x:c r="P68" s="34" t="str">
        <x:v>宗教場所通常對外開放；祭典、法會、整修或人流管制請依廟方與 Google Maps 最新公告。</x:v>
      </x:c>
      <x:c r="Q68" s="42" t="n">
        <x:v>50</x:v>
      </x:c>
      <x:c r="R68" s="34" t="str">
        <x:v>A</x:v>
      </x:c>
      <x:c r="S68" s="34" t="str">
        <x:v>Google Maps POI 圖釘；以廟埕或主要入口作為任務代表點</x:v>
      </x:c>
      <x:c r="T68" s="34" t="str">
        <x:v>宮廟／宗教文化</x:v>
      </x:c>
      <x:c r="U68" s="34" t="str">
        <x:v>雲林縣西螺鎮新街路32號</x:v>
      </x:c>
      <x:c r="V68" s="34" t="str">
        <x:v>https://www.google.com/maps/search/?api=1&amp;query=%E8%A5%BF%E8%9E%BA%E5%BB%A3%E7%A6%8F%E5%AE%AE%20%E9%9B%B2%E6%9E%97%E7%B8%A3%20%E8%A5%BF%E8%9E%BA%E9%8E%AE</x:v>
      </x:c>
      <x:c r="W68" s="34" t="str">
        <x:v>https://www.google.com/maps?q=23.800606,120.461912</x:v>
      </x:c>
      <x:c r="X68" s="34" t="str">
        <x:v>Google Maps POI 主定位＋政府宗教資料／官方廟方資料交叉整理</x:v>
      </x:c>
      <x:c r="Y68" s="34" t="str">
        <x:v>2026-07-13</x:v>
      </x:c>
      <x:c r="Z68" s="34" t="str">
        <x:v>V4-宮廟知名地點池</x:v>
      </x:c>
      <x:c r="AA68" s="34" t="str">
        <x:v>以正式廟名、所在縣市與 Google Maps POI 區分同名宮廟。</x:v>
      </x:c>
      <x:c r="AB68" s="34" t="str">
        <x:v>正式上線前點開 Google Maps 連結，確認主入口、廟埕與任務圓心沒有落在後殿、停車場或山區道路。</x:v>
      </x:c>
    </x:row>
    <x:row r="69">
      <x:c r="A69" s="34" t="n">
        <x:v>68</x:v>
      </x:c>
      <x:c r="B69" s="34" t="str">
        <x:v>DOR-YUN-M004</x:v>
      </x:c>
      <x:c r="C69" s="34" t="str">
        <x:v>雲林縣</x:v>
      </x:c>
      <x:c r="D69" s="34" t="str">
        <x:v>麥寮鄉</x:v>
      </x:c>
      <x:c r="E69" s="34" t="str">
        <x:v>媽祖廟／古蹟</x:v>
      </x:c>
      <x:c r="F69" s="34" t="str">
        <x:v>麥寮拱範宮</x:v>
      </x:c>
      <x:c r="G69" s="34" t="str">
        <x:v>主要入口／廟埕代表點</x:v>
      </x:c>
      <x:c r="H69" s="38" t="n">
        <x:v>23.748071</x:v>
      </x:c>
      <x:c r="I69" s="38" t="n">
        <x:v>120.251771</x:v>
      </x:c>
      <x:c r="J69" s="42" t="n">
        <x:v>5</x:v>
      </x:c>
      <x:c r="K69" s="34" t="str">
        <x:v>★★★★★</x:v>
      </x:c>
      <x:c r="L69" s="34" t="str">
        <x:v>全國級</x:v>
      </x:c>
      <x:c r="M69" s="34" t="str">
        <x:v>天上聖母</x:v>
      </x:c>
      <x:c r="N69" s="34" t="str">
        <x:v>海線重要媽祖信仰中心，建築與遶境文化具代表性。</x:v>
      </x:c>
      <x:c r="O69" s="34" t="str">
        <x:v>文化主線任務｜完成正門打卡、代表建築拍照與周邊街區散步，解鎖宮廟文化徽章。</x:v>
      </x:c>
      <x:c r="P69" s="34" t="str">
        <x:v>宗教場所通常對外開放；祭典、法會、整修或人流管制請依廟方與 Google Maps 最新公告。</x:v>
      </x:c>
      <x:c r="Q69" s="42" t="n">
        <x:v>60</x:v>
      </x:c>
      <x:c r="R69" s="34" t="str">
        <x:v>A</x:v>
      </x:c>
      <x:c r="S69" s="34" t="str">
        <x:v>Google Maps POI 圖釘；以廟埕或主要入口作為任務代表點</x:v>
      </x:c>
      <x:c r="T69" s="34" t="str">
        <x:v>宮廟／宗教文化</x:v>
      </x:c>
      <x:c r="U69" s="34" t="str">
        <x:v>雲林縣麥寮鄉中正路3號</x:v>
      </x:c>
      <x:c r="V69" s="34" t="str">
        <x:v>https://www.google.com/maps/search/?api=1&amp;query=%E9%BA%A5%E5%AF%AE%E6%8B%B1%E7%AF%84%E5%AE%AE%20%E9%9B%B2%E6%9E%97%E7%B8%A3%20%E9%BA%A5%E5%AF%AE%E9%84%89</x:v>
      </x:c>
      <x:c r="W69" s="34" t="str">
        <x:v>https://www.google.com/maps?q=23.748071,120.251771</x:v>
      </x:c>
      <x:c r="X69" s="34" t="str">
        <x:v>Google Maps POI 主定位＋政府宗教資料／官方廟方資料交叉整理</x:v>
      </x:c>
      <x:c r="Y69" s="34" t="str">
        <x:v>2026-07-13</x:v>
      </x:c>
      <x:c r="Z69" s="34" t="str">
        <x:v>V4-宮廟知名地點池</x:v>
      </x:c>
      <x:c r="AA69" s="34" t="str">
        <x:v>以正式廟名、所在縣市與 Google Maps POI 區分同名宮廟。</x:v>
      </x:c>
      <x:c r="AB69" s="34" t="str">
        <x:v>正式上線前點開 Google Maps 連結，確認主入口、廟埕與任務圓心沒有落在後殿、停車場或山區道路。</x:v>
      </x:c>
    </x:row>
    <x:row r="70">
      <x:c r="A70" s="34" t="n">
        <x:v>69</x:v>
      </x:c>
      <x:c r="B70" s="34" t="str">
        <x:v>DOR-YUN-M005</x:v>
      </x:c>
      <x:c r="C70" s="34" t="str">
        <x:v>雲林縣</x:v>
      </x:c>
      <x:c r="D70" s="34" t="str">
        <x:v>土庫鎮</x:v>
      </x:c>
      <x:c r="E70" s="34" t="str">
        <x:v>媽祖廟</x:v>
      </x:c>
      <x:c r="F70" s="34" t="str">
        <x:v>土庫順天宮</x:v>
      </x:c>
      <x:c r="G70" s="34" t="str">
        <x:v>主要入口／廟埕代表點</x:v>
      </x:c>
      <x:c r="H70" s="38" t="n">
        <x:v>23.67535</x:v>
      </x:c>
      <x:c r="I70" s="38" t="n">
        <x:v>120.392611</x:v>
      </x:c>
      <x:c r="J70" s="42" t="n">
        <x:v>4</x:v>
      </x:c>
      <x:c r="K70" s="34" t="str">
        <x:v>★★★★☆</x:v>
      </x:c>
      <x:c r="L70" s="34" t="str">
        <x:v>區域代表級</x:v>
      </x:c>
      <x:c r="M70" s="34" t="str">
        <x:v>天上聖母</x:v>
      </x:c>
      <x:c r="N70" s="34" t="str">
        <x:v>土庫老街核心廟宇，適合小鎮散步與飲食串聯。</x:v>
      </x:c>
      <x:c r="O70" s="34" t="str">
        <x:v>文化探索任務｜完成廟埕打卡，沿周邊老街、聚落或生活圈步行探索。</x:v>
      </x:c>
      <x:c r="P70" s="34" t="str">
        <x:v>宗教場所通常對外開放；祭典、法會、整修或人流管制請依廟方與 Google Maps 最新公告。</x:v>
      </x:c>
      <x:c r="Q70" s="42" t="n">
        <x:v>55</x:v>
      </x:c>
      <x:c r="R70" s="34" t="str">
        <x:v>A</x:v>
      </x:c>
      <x:c r="S70" s="34" t="str">
        <x:v>Google Maps POI 圖釘；以廟埕或主要入口作為任務代表點</x:v>
      </x:c>
      <x:c r="T70" s="34" t="str">
        <x:v>宮廟／宗教文化</x:v>
      </x:c>
      <x:c r="U70" s="34" t="str">
        <x:v>雲林縣土庫鎮中正路109號</x:v>
      </x:c>
      <x:c r="V70" s="34" t="str">
        <x:v>https://www.google.com/maps/search/?api=1&amp;query=%E5%9C%9F%E5%BA%AB%E9%A0%86%E5%A4%A9%E5%AE%AE%20%E9%9B%B2%E6%9E%97%E7%B8%A3%20%E5%9C%9F%E5%BA%AB%E9%8E%AE</x:v>
      </x:c>
      <x:c r="W70" s="34" t="str">
        <x:v>https://www.google.com/maps?q=23.675350,120.392611</x:v>
      </x:c>
      <x:c r="X70" s="34" t="str">
        <x:v>Google Maps POI 主定位＋政府宗教資料／官方廟方資料交叉整理</x:v>
      </x:c>
      <x:c r="Y70" s="34" t="str">
        <x:v>2026-07-13</x:v>
      </x:c>
      <x:c r="Z70" s="34" t="str">
        <x:v>V4-宮廟知名地點池</x:v>
      </x:c>
      <x:c r="AA70" s="34" t="str">
        <x:v>以正式廟名、所在縣市與 Google Maps POI 區分同名宮廟。</x:v>
      </x:c>
      <x:c r="AB70" s="34" t="str">
        <x:v>正式上線前點開 Google Maps 連結，確認主入口、廟埕與任務圓心沒有落在後殿、停車場或山區道路。</x:v>
      </x:c>
    </x:row>
    <x:row r="71">
      <x:c r="A71" s="34" t="n">
        <x:v>70</x:v>
      </x:c>
      <x:c r="B71" s="34" t="str">
        <x:v>DOR-YUN-M006</x:v>
      </x:c>
      <x:c r="C71" s="34" t="str">
        <x:v>雲林縣</x:v>
      </x:c>
      <x:c r="D71" s="34" t="str">
        <x:v>褒忠鄉</x:v>
      </x:c>
      <x:c r="E71" s="34" t="str">
        <x:v>王爺廟</x:v>
      </x:c>
      <x:c r="F71" s="34" t="str">
        <x:v>馬鳴山鎮安宮</x:v>
      </x:c>
      <x:c r="G71" s="34" t="str">
        <x:v>主要入口／廟埕代表點</x:v>
      </x:c>
      <x:c r="H71" s="38" t="n">
        <x:v>23.699665</x:v>
      </x:c>
      <x:c r="I71" s="38" t="n">
        <x:v>120.300414</x:v>
      </x:c>
      <x:c r="J71" s="42" t="n">
        <x:v>5</x:v>
      </x:c>
      <x:c r="K71" s="34" t="str">
        <x:v>★★★★★</x:v>
      </x:c>
      <x:c r="L71" s="34" t="str">
        <x:v>全國級</x:v>
      </x:c>
      <x:c r="M71" s="34" t="str">
        <x:v>五年千歲</x:v>
      </x:c>
      <x:c r="N71" s="34" t="str">
        <x:v>五年千歲信仰總廟，宗教文化辨識度高。</x:v>
      </x:c>
      <x:c r="O71" s="34" t="str">
        <x:v>文化主線任務｜完成正門打卡、代表建築拍照與周邊街區散步，解鎖宮廟文化徽章。</x:v>
      </x:c>
      <x:c r="P71" s="34" t="str">
        <x:v>宗教場所通常對外開放；祭典、法會、整修或人流管制請依廟方與 Google Maps 最新公告。</x:v>
      </x:c>
      <x:c r="Q71" s="42" t="n">
        <x:v>70</x:v>
      </x:c>
      <x:c r="R71" s="34" t="str">
        <x:v>A</x:v>
      </x:c>
      <x:c r="S71" s="34" t="str">
        <x:v>Google Maps POI 圖釘；以廟埕或主要入口作為任務代表點</x:v>
      </x:c>
      <x:c r="T71" s="34" t="str">
        <x:v>宮廟／宗教文化</x:v>
      </x:c>
      <x:c r="U71" s="34" t="str">
        <x:v>雲林縣褒忠鄉馬鳴村鎮安路31號</x:v>
      </x:c>
      <x:c r="V71" s="34" t="str">
        <x:v>https://www.google.com/maps/search/?api=1&amp;query=%E9%A6%AC%E9%B3%B4%E5%B1%B1%E9%8E%AE%E5%AE%89%E5%AE%AE%20%E9%9B%B2%E6%9E%97%E7%B8%A3%20%E8%A4%92%E5%BF%A0%E9%84%89</x:v>
      </x:c>
      <x:c r="W71" s="34" t="str">
        <x:v>https://www.google.com/maps?q=23.699665,120.300414</x:v>
      </x:c>
      <x:c r="X71" s="34" t="str">
        <x:v>Google Maps POI 主定位＋政府宗教資料／官方廟方資料交叉整理</x:v>
      </x:c>
      <x:c r="Y71" s="34" t="str">
        <x:v>2026-07-13</x:v>
      </x:c>
      <x:c r="Z71" s="34" t="str">
        <x:v>V4-宮廟知名地點池</x:v>
      </x:c>
      <x:c r="AA71" s="34" t="str">
        <x:v>以正式廟名、所在縣市與 Google Maps POI 區分同名宮廟。</x:v>
      </x:c>
      <x:c r="AB71" s="34" t="str">
        <x:v>正式上線前點開 Google Maps 連結，確認主入口、廟埕與任務圓心沒有落在後殿、停車場或山區道路。</x:v>
      </x:c>
    </x:row>
    <x:row r="72">
      <x:c r="A72" s="34" t="n">
        <x:v>71</x:v>
      </x:c>
      <x:c r="B72" s="34" t="str">
        <x:v>DOR-YUN-M007</x:v>
      </x:c>
      <x:c r="C72" s="34" t="str">
        <x:v>雲林縣</x:v>
      </x:c>
      <x:c r="D72" s="34" t="str">
        <x:v>臺西鄉</x:v>
      </x:c>
      <x:c r="E72" s="34" t="str">
        <x:v>王爺廟</x:v>
      </x:c>
      <x:c r="F72" s="34" t="str">
        <x:v>臺西安西府</x:v>
      </x:c>
      <x:c r="G72" s="34" t="str">
        <x:v>主要入口／廟埕代表點</x:v>
      </x:c>
      <x:c r="H72" s="38" t="n">
        <x:v>23.701846</x:v>
      </x:c>
      <x:c r="I72" s="38" t="n">
        <x:v>120.198707</x:v>
      </x:c>
      <x:c r="J72" s="42" t="n">
        <x:v>4</x:v>
      </x:c>
      <x:c r="K72" s="34" t="str">
        <x:v>★★★★☆</x:v>
      </x:c>
      <x:c r="L72" s="34" t="str">
        <x:v>區域代表級</x:v>
      </x:c>
      <x:c r="M72" s="34" t="str">
        <x:v>張李莫千歲</x:v>
      </x:c>
      <x:c r="N72" s="34" t="str">
        <x:v>雲林海線重要王爺信仰中心，可結合海岸聚落探索。</x:v>
      </x:c>
      <x:c r="O72" s="34" t="str">
        <x:v>文化探索任務｜完成廟埕打卡，沿周邊老街、聚落或生活圈步行探索。</x:v>
      </x:c>
      <x:c r="P72" s="34" t="str">
        <x:v>宗教場所通常對外開放；祭典、法會、整修或人流管制請依廟方與 Google Maps 最新公告。</x:v>
      </x:c>
      <x:c r="Q72" s="42" t="n">
        <x:v>60</x:v>
      </x:c>
      <x:c r="R72" s="34" t="str">
        <x:v>A</x:v>
      </x:c>
      <x:c r="S72" s="34" t="str">
        <x:v>Google Maps POI 圖釘；以廟埕或主要入口作為任務代表點</x:v>
      </x:c>
      <x:c r="T72" s="34" t="str">
        <x:v>宮廟／宗教文化</x:v>
      </x:c>
      <x:c r="U72" s="34" t="str">
        <x:v>雲林縣臺西鄉民生路28號</x:v>
      </x:c>
      <x:c r="V72" s="34" t="str">
        <x:v>https://www.google.com/maps/search/?api=1&amp;query=%E8%87%BA%E8%A5%BF%E5%AE%89%E8%A5%BF%E5%BA%9C%20%E9%9B%B2%E6%9E%97%E7%B8%A3%20%E8%87%BA%E8%A5%BF%E9%84%89</x:v>
      </x:c>
      <x:c r="W72" s="34" t="str">
        <x:v>https://www.google.com/maps?q=23.701846,120.198707</x:v>
      </x:c>
      <x:c r="X72" s="34" t="str">
        <x:v>Google Maps POI 主定位＋政府宗教資料／官方廟方資料交叉整理</x:v>
      </x:c>
      <x:c r="Y72" s="34" t="str">
        <x:v>2026-07-13</x:v>
      </x:c>
      <x:c r="Z72" s="34" t="str">
        <x:v>V4-宮廟知名地點池</x:v>
      </x:c>
      <x:c r="AA72" s="34" t="str">
        <x:v>以正式廟名、所在縣市與 Google Maps POI 區分同名宮廟。</x:v>
      </x:c>
      <x:c r="AB72" s="34" t="str">
        <x:v>正式上線前點開 Google Maps 連結，確認主入口、廟埕與任務圓心沒有落在後殿、停車場或山區道路。</x:v>
      </x:c>
    </x:row>
    <x:row r="73">
      <x:c r="A73" s="34" t="n">
        <x:v>72</x:v>
      </x:c>
      <x:c r="B73" s="34" t="str">
        <x:v>DOR-CYI-M001</x:v>
      </x:c>
      <x:c r="C73" s="34" t="str">
        <x:v>嘉義市</x:v>
      </x:c>
      <x:c r="D73" s="34" t="str">
        <x:v>東區</x:v>
      </x:c>
      <x:c r="E73" s="34" t="str">
        <x:v>城隍廟／古蹟</x:v>
      </x:c>
      <x:c r="F73" s="34" t="str">
        <x:v>嘉義城隍廟</x:v>
      </x:c>
      <x:c r="G73" s="34" t="str">
        <x:v>主要入口／廟埕代表點</x:v>
      </x:c>
      <x:c r="H73" s="38" t="n">
        <x:v>23.478982</x:v>
      </x:c>
      <x:c r="I73" s="38" t="n">
        <x:v>120.452101</x:v>
      </x:c>
      <x:c r="J73" s="42" t="n">
        <x:v>5</x:v>
      </x:c>
      <x:c r="K73" s="34" t="str">
        <x:v>★★★★★</x:v>
      </x:c>
      <x:c r="L73" s="34" t="str">
        <x:v>全國級</x:v>
      </x:c>
      <x:c r="M73" s="34" t="str">
        <x:v>城隍尊神</x:v>
      </x:c>
      <x:c r="N73" s="34" t="str">
        <x:v>嘉義舊城重要信仰中心，祭典與街區文化辨識度高。</x:v>
      </x:c>
      <x:c r="O73" s="34" t="str">
        <x:v>文化主線任務｜完成正門打卡、代表建築拍照與周邊街區散步，解鎖宮廟文化徽章。</x:v>
      </x:c>
      <x:c r="P73" s="34" t="str">
        <x:v>宗教場所通常對外開放；祭典、法會、整修或人流管制請依廟方與 Google Maps 最新公告。</x:v>
      </x:c>
      <x:c r="Q73" s="42" t="n">
        <x:v>55</x:v>
      </x:c>
      <x:c r="R73" s="34" t="str">
        <x:v>A</x:v>
      </x:c>
      <x:c r="S73" s="34" t="str">
        <x:v>Google Maps POI 圖釘；以廟埕或主要入口作為任務代表點</x:v>
      </x:c>
      <x:c r="T73" s="34" t="str">
        <x:v>宮廟／宗教文化</x:v>
      </x:c>
      <x:c r="U73" s="34" t="str">
        <x:v>嘉義市東區吳鳳北路168號</x:v>
      </x:c>
      <x:c r="V73" s="34" t="str">
        <x:v>https://www.google.com/maps/search/?api=1&amp;query=%E5%98%89%E7%BE%A9%E5%9F%8E%E9%9A%8D%E5%BB%9F%20%E5%98%89%E7%BE%A9%E5%B8%82%20%E6%9D%B1%E5%8D%80</x:v>
      </x:c>
      <x:c r="W73" s="34" t="str">
        <x:v>https://www.google.com/maps?q=23.478982,120.452101</x:v>
      </x:c>
      <x:c r="X73" s="34" t="str">
        <x:v>Google Maps POI 主定位＋政府宗教資料／官方廟方資料交叉整理</x:v>
      </x:c>
      <x:c r="Y73" s="34" t="str">
        <x:v>2026-07-13</x:v>
      </x:c>
      <x:c r="Z73" s="34" t="str">
        <x:v>V4-宮廟知名地點池</x:v>
      </x:c>
      <x:c r="AA73" s="34" t="str">
        <x:v>以正式廟名、所在縣市與 Google Maps POI 區分同名宮廟。</x:v>
      </x:c>
      <x:c r="AB73" s="34" t="str">
        <x:v>正式上線前點開 Google Maps 連結，確認主入口、廟埕與任務圓心沒有落在後殿、停車場或山區道路。</x:v>
      </x:c>
    </x:row>
    <x:row r="74">
      <x:c r="A74" s="34" t="n">
        <x:v>73</x:v>
      </x:c>
      <x:c r="B74" s="34" t="str">
        <x:v>DOR-CYI-M002</x:v>
      </x:c>
      <x:c r="C74" s="34" t="str">
        <x:v>嘉義市</x:v>
      </x:c>
      <x:c r="D74" s="34" t="str">
        <x:v>東區</x:v>
      </x:c>
      <x:c r="E74" s="34" t="str">
        <x:v>地藏庵</x:v>
      </x:c>
      <x:c r="F74" s="34" t="str">
        <x:v>嘉義九華山地藏庵</x:v>
      </x:c>
      <x:c r="G74" s="34" t="str">
        <x:v>主要入口／廟埕代表點</x:v>
      </x:c>
      <x:c r="H74" s="38" t="n">
        <x:v>23.480535</x:v>
      </x:c>
      <x:c r="I74" s="38" t="n">
        <x:v>120.448905</x:v>
      </x:c>
      <x:c r="J74" s="42" t="n">
        <x:v>4</x:v>
      </x:c>
      <x:c r="K74" s="34" t="str">
        <x:v>★★★★☆</x:v>
      </x:c>
      <x:c r="L74" s="34" t="str">
        <x:v>區域代表級</x:v>
      </x:c>
      <x:c r="M74" s="34" t="str">
        <x:v>地藏王菩薩</x:v>
      </x:c>
      <x:c r="N74" s="34" t="str">
        <x:v>嘉義市知名地藏王信仰中心，市區可達性高。</x:v>
      </x:c>
      <x:c r="O74" s="34" t="str">
        <x:v>文化探索任務｜完成廟埕打卡，沿周邊老街、聚落或生活圈步行探索。</x:v>
      </x:c>
      <x:c r="P74" s="34" t="str">
        <x:v>宗教場所通常對外開放；祭典、法會、整修或人流管制請依廟方與 Google Maps 最新公告。</x:v>
      </x:c>
      <x:c r="Q74" s="42" t="n">
        <x:v>55</x:v>
      </x:c>
      <x:c r="R74" s="34" t="str">
        <x:v>A</x:v>
      </x:c>
      <x:c r="S74" s="34" t="str">
        <x:v>Google Maps POI 圖釘；以廟埕或主要入口作為任務代表點</x:v>
      </x:c>
      <x:c r="T74" s="34" t="str">
        <x:v>宮廟／宗教文化</x:v>
      </x:c>
      <x:c r="U74" s="34" t="str">
        <x:v>嘉義市東區民權路255號</x:v>
      </x:c>
      <x:c r="V74" s="34" t="str">
        <x:v>https://www.google.com/maps/search/?api=1&amp;query=%E5%98%89%E7%BE%A9%E4%B9%9D%E8%8F%AF%E5%B1%B1%E5%9C%B0%E8%97%8F%E5%BA%B5%20%E5%98%89%E7%BE%A9%E5%B8%82%20%E6%9D%B1%E5%8D%80</x:v>
      </x:c>
      <x:c r="W74" s="34" t="str">
        <x:v>https://www.google.com/maps?q=23.480535,120.448905</x:v>
      </x:c>
      <x:c r="X74" s="34" t="str">
        <x:v>Google Maps POI 主定位＋政府宗教資料／官方廟方資料交叉整理</x:v>
      </x:c>
      <x:c r="Y74" s="34" t="str">
        <x:v>2026-07-13</x:v>
      </x:c>
      <x:c r="Z74" s="34" t="str">
        <x:v>V4-宮廟知名地點池</x:v>
      </x:c>
      <x:c r="AA74" s="34" t="str">
        <x:v>以正式廟名、所在縣市與 Google Maps POI 區分同名宮廟。</x:v>
      </x:c>
      <x:c r="AB74" s="34" t="str">
        <x:v>正式上線前點開 Google Maps 連結，確認主入口、廟埕與任務圓心沒有落在後殿、停車場或山區道路。</x:v>
      </x:c>
    </x:row>
    <x:row r="75">
      <x:c r="A75" s="34" t="n">
        <x:v>74</x:v>
      </x:c>
      <x:c r="B75" s="34" t="str">
        <x:v>DOR-CYI-M003</x:v>
      </x:c>
      <x:c r="C75" s="34" t="str">
        <x:v>嘉義市</x:v>
      </x:c>
      <x:c r="D75" s="34" t="str">
        <x:v>東區</x:v>
      </x:c>
      <x:c r="E75" s="34" t="str">
        <x:v>王爺廟／古蹟</x:v>
      </x:c>
      <x:c r="F75" s="34" t="str">
        <x:v>嘉義仁武宮</x:v>
      </x:c>
      <x:c r="G75" s="34" t="str">
        <x:v>主要入口／廟埕代表點</x:v>
      </x:c>
      <x:c r="H75" s="38" t="n">
        <x:v>23.478226</x:v>
      </x:c>
      <x:c r="I75" s="38" t="n">
        <x:v>120.456227</x:v>
      </x:c>
      <x:c r="J75" s="42" t="n">
        <x:v>4</x:v>
      </x:c>
      <x:c r="K75" s="34" t="str">
        <x:v>★★★★☆</x:v>
      </x:c>
      <x:c r="L75" s="34" t="str">
        <x:v>區域代表級</x:v>
      </x:c>
      <x:c r="M75" s="34" t="str">
        <x:v>保生大帝</x:v>
      </x:c>
      <x:c r="N75" s="34" t="str">
        <x:v>嘉義舊城歷史廟宇，適合與城隍廟文化路線串聯。</x:v>
      </x:c>
      <x:c r="O75" s="34" t="str">
        <x:v>文化探索任務｜完成廟埕打卡，沿周邊老街、聚落或生活圈步行探索。</x:v>
      </x:c>
      <x:c r="P75" s="34" t="str">
        <x:v>宗教場所通常對外開放；祭典、法會、整修或人流管制請依廟方與 Google Maps 最新公告。</x:v>
      </x:c>
      <x:c r="Q75" s="42" t="n">
        <x:v>50</x:v>
      </x:c>
      <x:c r="R75" s="34" t="str">
        <x:v>A</x:v>
      </x:c>
      <x:c r="S75" s="34" t="str">
        <x:v>Google Maps POI 圖釘；以廟埕或主要入口作為任務代表點</x:v>
      </x:c>
      <x:c r="T75" s="34" t="str">
        <x:v>宮廟／宗教文化</x:v>
      </x:c>
      <x:c r="U75" s="34" t="str">
        <x:v>嘉義市東區北榮街54號</x:v>
      </x:c>
      <x:c r="V75" s="34" t="str">
        <x:v>https://www.google.com/maps/search/?api=1&amp;query=%E5%98%89%E7%BE%A9%E4%BB%81%E6%AD%A6%E5%AE%AE%20%E5%98%89%E7%BE%A9%E5%B8%82%20%E6%9D%B1%E5%8D%80</x:v>
      </x:c>
      <x:c r="W75" s="34" t="str">
        <x:v>https://www.google.com/maps?q=23.478226,120.456227</x:v>
      </x:c>
      <x:c r="X75" s="34" t="str">
        <x:v>Google Maps POI 主定位＋政府宗教資料／官方廟方資料交叉整理</x:v>
      </x:c>
      <x:c r="Y75" s="34" t="str">
        <x:v>2026-07-13</x:v>
      </x:c>
      <x:c r="Z75" s="34" t="str">
        <x:v>V4-宮廟知名地點池</x:v>
      </x:c>
      <x:c r="AA75" s="34" t="str">
        <x:v>以正式廟名、所在縣市與 Google Maps POI 區分同名宮廟。</x:v>
      </x:c>
      <x:c r="AB75" s="34" t="str">
        <x:v>正式上線前點開 Google Maps 連結，確認主入口、廟埕與任務圓心沒有落在後殿、停車場或山區道路。</x:v>
      </x:c>
    </x:row>
    <x:row r="76">
      <x:c r="A76" s="34" t="n">
        <x:v>75</x:v>
      </x:c>
      <x:c r="B76" s="34" t="str">
        <x:v>DOR-CYI-M004</x:v>
      </x:c>
      <x:c r="C76" s="34" t="str">
        <x:v>嘉義市</x:v>
      </x:c>
      <x:c r="D76" s="34" t="str">
        <x:v>西區</x:v>
      </x:c>
      <x:c r="E76" s="34" t="str">
        <x:v>媽祖廟</x:v>
      </x:c>
      <x:c r="F76" s="34" t="str">
        <x:v>嘉義天后宮</x:v>
      </x:c>
      <x:c r="G76" s="34" t="str">
        <x:v>主要入口／廟埕代表點</x:v>
      </x:c>
      <x:c r="H76" s="38" t="n">
        <x:v>23.478443</x:v>
      </x:c>
      <x:c r="I76" s="38" t="n">
        <x:v>120.444108</x:v>
      </x:c>
      <x:c r="J76" s="42" t="n">
        <x:v>4</x:v>
      </x:c>
      <x:c r="K76" s="34" t="str">
        <x:v>★★★★☆</x:v>
      </x:c>
      <x:c r="L76" s="34" t="str">
        <x:v>區域代表級</x:v>
      </x:c>
      <x:c r="M76" s="34" t="str">
        <x:v>天上聖母</x:v>
      </x:c>
      <x:c r="N76" s="34" t="str">
        <x:v>嘉義市區媽祖信仰地標，鄰近車站與商圈。</x:v>
      </x:c>
      <x:c r="O76" s="34" t="str">
        <x:v>文化探索任務｜完成廟埕打卡，沿周邊老街、聚落或生活圈步行探索。</x:v>
      </x:c>
      <x:c r="P76" s="34" t="str">
        <x:v>宗教場所通常對外開放；祭典、法會、整修或人流管制請依廟方與 Google Maps 最新公告。</x:v>
      </x:c>
      <x:c r="Q76" s="42" t="n">
        <x:v>50</x:v>
      </x:c>
      <x:c r="R76" s="34" t="str">
        <x:v>A</x:v>
      </x:c>
      <x:c r="S76" s="34" t="str">
        <x:v>Google Maps POI 圖釘；以廟埕或主要入口作為任務代表點</x:v>
      </x:c>
      <x:c r="T76" s="34" t="str">
        <x:v>宮廟／宗教文化</x:v>
      </x:c>
      <x:c r="U76" s="34" t="str">
        <x:v>嘉義市西區林森西路428號</x:v>
      </x:c>
      <x:c r="V76" s="34" t="str">
        <x:v>https://www.google.com/maps/search/?api=1&amp;query=%E5%98%89%E7%BE%A9%E5%A4%A9%E5%90%8E%E5%AE%AE%20%E5%98%89%E7%BE%A9%E5%B8%82%20%E8%A5%BF%E5%8D%80</x:v>
      </x:c>
      <x:c r="W76" s="34" t="str">
        <x:v>https://www.google.com/maps?q=23.478443,120.444108</x:v>
      </x:c>
      <x:c r="X76" s="34" t="str">
        <x:v>Google Maps POI 主定位＋政府宗教資料／官方廟方資料交叉整理</x:v>
      </x:c>
      <x:c r="Y76" s="34" t="str">
        <x:v>2026-07-13</x:v>
      </x:c>
      <x:c r="Z76" s="34" t="str">
        <x:v>V4-宮廟知名地點池</x:v>
      </x:c>
      <x:c r="AA76" s="34" t="str">
        <x:v>以正式廟名、所在縣市與 Google Maps POI 區分同名宮廟。</x:v>
      </x:c>
      <x:c r="AB76" s="34" t="str">
        <x:v>正式上線前點開 Google Maps 連結，確認主入口、廟埕與任務圓心沒有落在後殿、停車場或山區道路。</x:v>
      </x:c>
    </x:row>
    <x:row r="77">
      <x:c r="A77" s="34" t="n">
        <x:v>76</x:v>
      </x:c>
      <x:c r="B77" s="34" t="str">
        <x:v>DOR-CYQ-M001</x:v>
      </x:c>
      <x:c r="C77" s="34" t="str">
        <x:v>嘉義縣</x:v>
      </x:c>
      <x:c r="D77" s="34" t="str">
        <x:v>新港鄉</x:v>
      </x:c>
      <x:c r="E77" s="34" t="str">
        <x:v>媽祖廟／古蹟</x:v>
      </x:c>
      <x:c r="F77" s="34" t="str">
        <x:v>新港奉天宮</x:v>
      </x:c>
      <x:c r="G77" s="34" t="str">
        <x:v>主要入口／廟埕代表點</x:v>
      </x:c>
      <x:c r="H77" s="38" t="n">
        <x:v>23.557711</x:v>
      </x:c>
      <x:c r="I77" s="38" t="n">
        <x:v>120.347085</x:v>
      </x:c>
      <x:c r="J77" s="42" t="n">
        <x:v>5</x:v>
      </x:c>
      <x:c r="K77" s="34" t="str">
        <x:v>★★★★★</x:v>
      </x:c>
      <x:c r="L77" s="34" t="str">
        <x:v>全國級</x:v>
      </x:c>
      <x:c r="M77" s="34" t="str">
        <x:v>天上聖母</x:v>
      </x:c>
      <x:c r="N77" s="34" t="str">
        <x:v>新港媽祖信仰核心，與老街、交趾陶及進香文化結合。</x:v>
      </x:c>
      <x:c r="O77" s="34" t="str">
        <x:v>文化主線任務｜完成正門打卡、代表建築拍照與周邊街區散步，解鎖宮廟文化徽章。</x:v>
      </x:c>
      <x:c r="P77" s="34" t="str">
        <x:v>宗教場所通常對外開放；祭典、法會、整修或人流管制請依廟方與 Google Maps 最新公告。</x:v>
      </x:c>
      <x:c r="Q77" s="42" t="n">
        <x:v>65</x:v>
      </x:c>
      <x:c r="R77" s="34" t="str">
        <x:v>A</x:v>
      </x:c>
      <x:c r="S77" s="34" t="str">
        <x:v>Google Maps POI 圖釘；以廟埕或主要入口作為任務代表點</x:v>
      </x:c>
      <x:c r="T77" s="34" t="str">
        <x:v>宮廟／宗教文化</x:v>
      </x:c>
      <x:c r="U77" s="34" t="str">
        <x:v>嘉義縣新港鄉新民路53號</x:v>
      </x:c>
      <x:c r="V77" s="34" t="str">
        <x:v>https://www.google.com/maps/search/?api=1&amp;query=%E6%96%B0%E6%B8%AF%E5%A5%89%E5%A4%A9%E5%AE%AE%20%E5%98%89%E7%BE%A9%E7%B8%A3%20%E6%96%B0%E6%B8%AF%E9%84%89</x:v>
      </x:c>
      <x:c r="W77" s="34" t="str">
        <x:v>https://www.google.com/maps?q=23.557711,120.347085</x:v>
      </x:c>
      <x:c r="X77" s="34" t="str">
        <x:v>Google Maps POI 主定位＋政府宗教資料／官方廟方資料交叉整理</x:v>
      </x:c>
      <x:c r="Y77" s="34" t="str">
        <x:v>2026-07-13</x:v>
      </x:c>
      <x:c r="Z77" s="34" t="str">
        <x:v>V4-宮廟知名地點池</x:v>
      </x:c>
      <x:c r="AA77" s="34" t="str">
        <x:v>以正式廟名、所在縣市與 Google Maps POI 區分同名宮廟。</x:v>
      </x:c>
      <x:c r="AB77" s="34" t="str">
        <x:v>正式上線前點開 Google Maps 連結，確認主入口、廟埕與任務圓心沒有落在後殿、停車場或山區道路。</x:v>
      </x:c>
    </x:row>
    <x:row r="78">
      <x:c r="A78" s="34" t="n">
        <x:v>77</x:v>
      </x:c>
      <x:c r="B78" s="34" t="str">
        <x:v>DOR-CYQ-M002</x:v>
      </x:c>
      <x:c r="C78" s="34" t="str">
        <x:v>嘉義縣</x:v>
      </x:c>
      <x:c r="D78" s="34" t="str">
        <x:v>朴子市</x:v>
      </x:c>
      <x:c r="E78" s="34" t="str">
        <x:v>媽祖廟／古蹟</x:v>
      </x:c>
      <x:c r="F78" s="34" t="str">
        <x:v>朴子配天宮</x:v>
      </x:c>
      <x:c r="G78" s="34" t="str">
        <x:v>主要入口／廟埕代表點</x:v>
      </x:c>
      <x:c r="H78" s="38" t="n">
        <x:v>23.466573</x:v>
      </x:c>
      <x:c r="I78" s="38" t="n">
        <x:v>120.246024</x:v>
      </x:c>
      <x:c r="J78" s="42" t="n">
        <x:v>5</x:v>
      </x:c>
      <x:c r="K78" s="34" t="str">
        <x:v>★★★★★</x:v>
      </x:c>
      <x:c r="L78" s="34" t="str">
        <x:v>全國級</x:v>
      </x:c>
      <x:c r="M78" s="34" t="str">
        <x:v>天上聖母</x:v>
      </x:c>
      <x:c r="N78" s="34" t="str">
        <x:v>朴子市核心媽祖廟，地方慶典與街區辨識度高。</x:v>
      </x:c>
      <x:c r="O78" s="34" t="str">
        <x:v>文化主線任務｜完成正門打卡、代表建築拍照與周邊街區散步，解鎖宮廟文化徽章。</x:v>
      </x:c>
      <x:c r="P78" s="34" t="str">
        <x:v>宗教場所通常對外開放；祭典、法會、整修或人流管制請依廟方與 Google Maps 最新公告。</x:v>
      </x:c>
      <x:c r="Q78" s="42" t="n">
        <x:v>60</x:v>
      </x:c>
      <x:c r="R78" s="34" t="str">
        <x:v>A</x:v>
      </x:c>
      <x:c r="S78" s="34" t="str">
        <x:v>Google Maps POI 圖釘；以廟埕或主要入口作為任務代表點</x:v>
      </x:c>
      <x:c r="T78" s="34" t="str">
        <x:v>宮廟／宗教文化</x:v>
      </x:c>
      <x:c r="U78" s="34" t="str">
        <x:v>嘉義縣朴子市開元路118號</x:v>
      </x:c>
      <x:c r="V78" s="34" t="str">
        <x:v>https://www.google.com/maps/search/?api=1&amp;query=%E6%9C%B4%E5%AD%90%E9%85%8D%E5%A4%A9%E5%AE%AE%20%E5%98%89%E7%BE%A9%E7%B8%A3%20%E6%9C%B4%E5%AD%90%E5%B8%82</x:v>
      </x:c>
      <x:c r="W78" s="34" t="str">
        <x:v>https://www.google.com/maps?q=23.466573,120.246024</x:v>
      </x:c>
      <x:c r="X78" s="34" t="str">
        <x:v>Google Maps POI 主定位＋政府宗教資料／官方廟方資料交叉整理</x:v>
      </x:c>
      <x:c r="Y78" s="34" t="str">
        <x:v>2026-07-13</x:v>
      </x:c>
      <x:c r="Z78" s="34" t="str">
        <x:v>V4-宮廟知名地點池</x:v>
      </x:c>
      <x:c r="AA78" s="34" t="str">
        <x:v>以正式廟名、所在縣市與 Google Maps POI 區分同名宮廟。</x:v>
      </x:c>
      <x:c r="AB78" s="34" t="str">
        <x:v>正式上線前點開 Google Maps 連結，確認主入口、廟埕與任務圓心沒有落在後殿、停車場或山區道路。</x:v>
      </x:c>
    </x:row>
    <x:row r="79">
      <x:c r="A79" s="34" t="n">
        <x:v>78</x:v>
      </x:c>
      <x:c r="B79" s="34" t="str">
        <x:v>DOR-CYQ-M003</x:v>
      </x:c>
      <x:c r="C79" s="34" t="str">
        <x:v>嘉義縣</x:v>
      </x:c>
      <x:c r="D79" s="34" t="str">
        <x:v>東石鄉</x:v>
      </x:c>
      <x:c r="E79" s="34" t="str">
        <x:v>王爺廟</x:v>
      </x:c>
      <x:c r="F79" s="34" t="str">
        <x:v>東石先天宮</x:v>
      </x:c>
      <x:c r="G79" s="34" t="str">
        <x:v>主要入口／廟埕代表點</x:v>
      </x:c>
      <x:c r="H79" s="38" t="n">
        <x:v>23.460773</x:v>
      </x:c>
      <x:c r="I79" s="38" t="n">
        <x:v>120.154183</x:v>
      </x:c>
      <x:c r="J79" s="42" t="n">
        <x:v>4</x:v>
      </x:c>
      <x:c r="K79" s="34" t="str">
        <x:v>★★★★☆</x:v>
      </x:c>
      <x:c r="L79" s="34" t="str">
        <x:v>區域代表級</x:v>
      </x:c>
      <x:c r="M79" s="34" t="str">
        <x:v>五年千歲</x:v>
      </x:c>
      <x:c r="N79" s="34" t="str">
        <x:v>嘉義海線重要王爺信仰中心，可結合漁港散步。</x:v>
      </x:c>
      <x:c r="O79" s="34" t="str">
        <x:v>文化探索任務｜完成廟埕打卡，沿周邊老街、聚落或生活圈步行探索。</x:v>
      </x:c>
      <x:c r="P79" s="34" t="str">
        <x:v>宗教場所通常對外開放；祭典、法會、整修或人流管制請依廟方與 Google Maps 最新公告。</x:v>
      </x:c>
      <x:c r="Q79" s="42" t="n">
        <x:v>60</x:v>
      </x:c>
      <x:c r="R79" s="34" t="str">
        <x:v>A</x:v>
      </x:c>
      <x:c r="S79" s="34" t="str">
        <x:v>Google Maps POI 圖釘；以廟埕或主要入口作為任務代表點</x:v>
      </x:c>
      <x:c r="T79" s="34" t="str">
        <x:v>宮廟／宗教文化</x:v>
      </x:c>
      <x:c r="U79" s="34" t="str">
        <x:v>嘉義縣東石鄉東石村246號</x:v>
      </x:c>
      <x:c r="V79" s="34" t="str">
        <x:v>https://www.google.com/maps/search/?api=1&amp;query=%E6%9D%B1%E7%9F%B3%E5%85%88%E5%A4%A9%E5%AE%AE%20%E5%98%89%E7%BE%A9%E7%B8%A3%20%E6%9D%B1%E7%9F%B3%E9%84%89</x:v>
      </x:c>
      <x:c r="W79" s="34" t="str">
        <x:v>https://www.google.com/maps?q=23.460773,120.154183</x:v>
      </x:c>
      <x:c r="X79" s="34" t="str">
        <x:v>Google Maps POI 主定位＋政府宗教資料／官方廟方資料交叉整理</x:v>
      </x:c>
      <x:c r="Y79" s="34" t="str">
        <x:v>2026-07-13</x:v>
      </x:c>
      <x:c r="Z79" s="34" t="str">
        <x:v>V4-宮廟知名地點池</x:v>
      </x:c>
      <x:c r="AA79" s="34" t="str">
        <x:v>以正式廟名、所在縣市與 Google Maps POI 區分同名宮廟。</x:v>
      </x:c>
      <x:c r="AB79" s="34" t="str">
        <x:v>正式上線前點開 Google Maps 連結，確認主入口、廟埕與任務圓心沒有落在後殿、停車場或山區道路。</x:v>
      </x:c>
    </x:row>
    <x:row r="80">
      <x:c r="A80" s="34" t="n">
        <x:v>79</x:v>
      </x:c>
      <x:c r="B80" s="34" t="str">
        <x:v>DOR-CYQ-M004</x:v>
      </x:c>
      <x:c r="C80" s="34" t="str">
        <x:v>嘉義縣</x:v>
      </x:c>
      <x:c r="D80" s="34" t="str">
        <x:v>布袋鎮</x:v>
      </x:c>
      <x:c r="E80" s="34" t="str">
        <x:v>王爺廟</x:v>
      </x:c>
      <x:c r="F80" s="34" t="str">
        <x:v>布袋嘉應廟</x:v>
      </x:c>
      <x:c r="G80" s="34" t="str">
        <x:v>主要入口／廟埕代表點</x:v>
      </x:c>
      <x:c r="H80" s="38" t="n">
        <x:v>23.377055</x:v>
      </x:c>
      <x:c r="I80" s="38" t="n">
        <x:v>120.162641</x:v>
      </x:c>
      <x:c r="J80" s="42" t="n">
        <x:v>4</x:v>
      </x:c>
      <x:c r="K80" s="34" t="str">
        <x:v>★★★★☆</x:v>
      </x:c>
      <x:c r="L80" s="34" t="str">
        <x:v>區域代表級</x:v>
      </x:c>
      <x:c r="M80" s="34" t="str">
        <x:v>九龍三公</x:v>
      </x:c>
      <x:c r="N80" s="34" t="str">
        <x:v>布袋港區代表性信仰地標，適合海港文化探索。</x:v>
      </x:c>
      <x:c r="O80" s="34" t="str">
        <x:v>文化探索任務｜完成廟埕打卡，沿周邊老街、聚落或生活圈步行探索。</x:v>
      </x:c>
      <x:c r="P80" s="34" t="str">
        <x:v>宗教場所通常對外開放；祭典、法會、整修或人流管制請依廟方與 Google Maps 最新公告。</x:v>
      </x:c>
      <x:c r="Q80" s="42" t="n">
        <x:v>55</x:v>
      </x:c>
      <x:c r="R80" s="34" t="str">
        <x:v>A</x:v>
      </x:c>
      <x:c r="S80" s="34" t="str">
        <x:v>Google Maps POI 圖釘；以廟埕或主要入口作為任務代表點</x:v>
      </x:c>
      <x:c r="T80" s="34" t="str">
        <x:v>宮廟／宗教文化</x:v>
      </x:c>
      <x:c r="U80" s="34" t="str">
        <x:v>嘉義縣布袋鎮入船路32號</x:v>
      </x:c>
      <x:c r="V80" s="34" t="str">
        <x:v>https://www.google.com/maps/search/?api=1&amp;query=%E5%B8%83%E8%A2%8B%E5%98%89%E6%87%89%E5%BB%9F%20%E5%98%89%E7%BE%A9%E7%B8%A3%20%E5%B8%83%E8%A2%8B%E9%8E%AE</x:v>
      </x:c>
      <x:c r="W80" s="34" t="str">
        <x:v>https://www.google.com/maps?q=23.377055,120.162641</x:v>
      </x:c>
      <x:c r="X80" s="34" t="str">
        <x:v>Google Maps POI 主定位＋政府宗教資料／官方廟方資料交叉整理</x:v>
      </x:c>
      <x:c r="Y80" s="34" t="str">
        <x:v>2026-07-13</x:v>
      </x:c>
      <x:c r="Z80" s="34" t="str">
        <x:v>V4-宮廟知名地點池</x:v>
      </x:c>
      <x:c r="AA80" s="34" t="str">
        <x:v>以正式廟名、所在縣市與 Google Maps POI 區分同名宮廟。</x:v>
      </x:c>
      <x:c r="AB80" s="34" t="str">
        <x:v>正式上線前點開 Google Maps 連結，確認主入口、廟埕與任務圓心沒有落在後殿、停車場或山區道路。</x:v>
      </x:c>
    </x:row>
    <x:row r="81">
      <x:c r="A81" s="34" t="n">
        <x:v>80</x:v>
      </x:c>
      <x:c r="B81" s="34" t="str">
        <x:v>DOR-CYQ-M005</x:v>
      </x:c>
      <x:c r="C81" s="34" t="str">
        <x:v>嘉義縣</x:v>
      </x:c>
      <x:c r="D81" s="34" t="str">
        <x:v>民雄鄉</x:v>
      </x:c>
      <x:c r="E81" s="34" t="str">
        <x:v>大士爺廟</x:v>
      </x:c>
      <x:c r="F81" s="34" t="str">
        <x:v>民雄大士爺廟</x:v>
      </x:c>
      <x:c r="G81" s="34" t="str">
        <x:v>主要入口／廟埕代表點</x:v>
      </x:c>
      <x:c r="H81" s="38" t="n">
        <x:v>23.551838</x:v>
      </x:c>
      <x:c r="I81" s="38" t="n">
        <x:v>120.431175</x:v>
      </x:c>
      <x:c r="J81" s="42" t="n">
        <x:v>5</x:v>
      </x:c>
      <x:c r="K81" s="34" t="str">
        <x:v>★★★★★</x:v>
      </x:c>
      <x:c r="L81" s="34" t="str">
        <x:v>全國級</x:v>
      </x:c>
      <x:c r="M81" s="34" t="str">
        <x:v>大士爺</x:v>
      </x:c>
      <x:c r="N81" s="34" t="str">
        <x:v>大士爺祭全臺知名，民雄市街文化代表性高。</x:v>
      </x:c>
      <x:c r="O81" s="34" t="str">
        <x:v>文化主線任務｜完成正門打卡、代表建築拍照與周邊街區散步，解鎖宮廟文化徽章。</x:v>
      </x:c>
      <x:c r="P81" s="34" t="str">
        <x:v>宗教場所通常對外開放；祭典、法會、整修或人流管制請依廟方與 Google Maps 最新公告。</x:v>
      </x:c>
      <x:c r="Q81" s="42" t="n">
        <x:v>55</x:v>
      </x:c>
      <x:c r="R81" s="34" t="str">
        <x:v>A</x:v>
      </x:c>
      <x:c r="S81" s="34" t="str">
        <x:v>Google Maps POI 圖釘；以廟埕或主要入口作為任務代表點</x:v>
      </x:c>
      <x:c r="T81" s="34" t="str">
        <x:v>宮廟／宗教文化</x:v>
      </x:c>
      <x:c r="U81" s="34" t="str">
        <x:v>嘉義縣民雄鄉中樂路81號</x:v>
      </x:c>
      <x:c r="V81" s="34" t="str">
        <x:v>https://www.google.com/maps/search/?api=1&amp;query=%E6%B0%91%E9%9B%84%E5%A4%A7%E5%A3%AB%E7%88%BA%E5%BB%9F%20%E5%98%89%E7%BE%A9%E7%B8%A3%20%E6%B0%91%E9%9B%84%E9%84%89</x:v>
      </x:c>
      <x:c r="W81" s="34" t="str">
        <x:v>https://www.google.com/maps?q=23.551838,120.431175</x:v>
      </x:c>
      <x:c r="X81" s="34" t="str">
        <x:v>Google Maps POI 主定位＋政府宗教資料／官方廟方資料交叉整理</x:v>
      </x:c>
      <x:c r="Y81" s="34" t="str">
        <x:v>2026-07-13</x:v>
      </x:c>
      <x:c r="Z81" s="34" t="str">
        <x:v>V4-宮廟知名地點池</x:v>
      </x:c>
      <x:c r="AA81" s="34" t="str">
        <x:v>以正式廟名、所在縣市與 Google Maps POI 區分同名宮廟。</x:v>
      </x:c>
      <x:c r="AB81" s="34" t="str">
        <x:v>正式上線前點開 Google Maps 連結，確認主入口、廟埕與任務圓心沒有落在後殿、停車場或山區道路。</x:v>
      </x:c>
    </x:row>
    <x:row r="82">
      <x:c r="A82" s="34" t="n">
        <x:v>81</x:v>
      </x:c>
      <x:c r="B82" s="34" t="str">
        <x:v>DOR-CYQ-M006</x:v>
      </x:c>
      <x:c r="C82" s="34" t="str">
        <x:v>嘉義縣</x:v>
      </x:c>
      <x:c r="D82" s="34" t="str">
        <x:v>中埔鄉</x:v>
      </x:c>
      <x:c r="E82" s="34" t="str">
        <x:v>紀念廟宇／古蹟</x:v>
      </x:c>
      <x:c r="F82" s="34" t="str">
        <x:v>吳鳳廟</x:v>
      </x:c>
      <x:c r="G82" s="34" t="str">
        <x:v>主要入口／廟埕代表點</x:v>
      </x:c>
      <x:c r="H82" s="38" t="n">
        <x:v>23.451579</x:v>
      </x:c>
      <x:c r="I82" s="38" t="n">
        <x:v>120.542917</x:v>
      </x:c>
      <x:c r="J82" s="42" t="n">
        <x:v>4</x:v>
      </x:c>
      <x:c r="K82" s="34" t="str">
        <x:v>★★★★☆</x:v>
      </x:c>
      <x:c r="L82" s="34" t="str">
        <x:v>區域代表級</x:v>
      </x:c>
      <x:c r="M82" s="34" t="str">
        <x:v>吳鳳公</x:v>
      </x:c>
      <x:c r="N82" s="34" t="str">
        <x:v>具歷史與文化討論性的地方地標，鄰近阿里山公路。</x:v>
      </x:c>
      <x:c r="O82" s="34" t="str">
        <x:v>文化探索任務｜完成廟埕打卡，沿周邊老街、聚落或生活圈步行探索。</x:v>
      </x:c>
      <x:c r="P82" s="34" t="str">
        <x:v>宗教場所通常對外開放；祭典、法會、整修或人流管制請依廟方與 Google Maps 最新公告。</x:v>
      </x:c>
      <x:c r="Q82" s="42" t="n">
        <x:v>60</x:v>
      </x:c>
      <x:c r="R82" s="34" t="str">
        <x:v>A</x:v>
      </x:c>
      <x:c r="S82" s="34" t="str">
        <x:v>Google Maps POI 圖釘；以廟埕或主要入口作為任務代表點</x:v>
      </x:c>
      <x:c r="T82" s="34" t="str">
        <x:v>宮廟／宗教文化</x:v>
      </x:c>
      <x:c r="U82" s="34" t="str">
        <x:v>嘉義縣中埔鄉社口村23鄰1號</x:v>
      </x:c>
      <x:c r="V82" s="34" t="str">
        <x:v>https://www.google.com/maps/search/?api=1&amp;query=%E5%90%B3%E9%B3%B3%E5%BB%9F%20%E5%98%89%E7%BE%A9%E7%B8%A3%20%E4%B8%AD%E5%9F%94%E9%84%89</x:v>
      </x:c>
      <x:c r="W82" s="34" t="str">
        <x:v>https://www.google.com/maps?q=23.451579,120.542917</x:v>
      </x:c>
      <x:c r="X82" s="34" t="str">
        <x:v>Google Maps POI 主定位＋政府宗教資料／官方廟方資料交叉整理</x:v>
      </x:c>
      <x:c r="Y82" s="34" t="str">
        <x:v>2026-07-13</x:v>
      </x:c>
      <x:c r="Z82" s="34" t="str">
        <x:v>V4-宮廟知名地點池</x:v>
      </x:c>
      <x:c r="AA82" s="34" t="str">
        <x:v>以正式廟名、所在縣市與 Google Maps POI 區分同名宮廟。</x:v>
      </x:c>
      <x:c r="AB82" s="34" t="str">
        <x:v>正式上線前點開 Google Maps 連結，確認主入口、廟埕與任務圓心沒有落在後殿、停車場或山區道路。</x:v>
      </x:c>
    </x:row>
    <x:row r="83">
      <x:c r="A83" s="34" t="n">
        <x:v>82</x:v>
      </x:c>
      <x:c r="B83" s="34" t="str">
        <x:v>DOR-CYQ-M007</x:v>
      </x:c>
      <x:c r="C83" s="34" t="str">
        <x:v>嘉義縣</x:v>
      </x:c>
      <x:c r="D83" s="34" t="str">
        <x:v>番路鄉</x:v>
      </x:c>
      <x:c r="E83" s="34" t="str">
        <x:v>觀音寺／古蹟</x:v>
      </x:c>
      <x:c r="F83" s="34" t="str">
        <x:v>半天岩紫雲寺</x:v>
      </x:c>
      <x:c r="G83" s="34" t="str">
        <x:v>主要入口／廟埕代表點</x:v>
      </x:c>
      <x:c r="H83" s="38" t="n">
        <x:v>23.418783</x:v>
      </x:c>
      <x:c r="I83" s="38" t="n">
        <x:v>120.555203</x:v>
      </x:c>
      <x:c r="J83" s="42" t="n">
        <x:v>4</x:v>
      </x:c>
      <x:c r="K83" s="34" t="str">
        <x:v>★★★★☆</x:v>
      </x:c>
      <x:c r="L83" s="34" t="str">
        <x:v>區域代表級</x:v>
      </x:c>
      <x:c r="M83" s="34" t="str">
        <x:v>觀世音菩薩</x:v>
      </x:c>
      <x:c r="N83" s="34" t="str">
        <x:v>山坡古寺與嘉南平原景觀兼具，適合登階散步。</x:v>
      </x:c>
      <x:c r="O83" s="34" t="str">
        <x:v>文化探索任務｜完成廟埕打卡，沿周邊老街、聚落或生活圈步行探索。</x:v>
      </x:c>
      <x:c r="P83" s="34" t="str">
        <x:v>宗教場所通常對外開放；祭典、法會、整修或人流管制請依廟方與 Google Maps 最新公告。</x:v>
      </x:c>
      <x:c r="Q83" s="42" t="n">
        <x:v>75</x:v>
      </x:c>
      <x:c r="R83" s="34" t="str">
        <x:v>A</x:v>
      </x:c>
      <x:c r="S83" s="34" t="str">
        <x:v>Google Maps POI 圖釘；以廟埕或主要入口作為任務代表點</x:v>
      </x:c>
      <x:c r="T83" s="34" t="str">
        <x:v>宮廟／宗教文化</x:v>
      </x:c>
      <x:c r="U83" s="34" t="str">
        <x:v>嘉義縣番路鄉民和村岩仔6號</x:v>
      </x:c>
      <x:c r="V83" s="34" t="str">
        <x:v>https://www.google.com/maps/search/?api=1&amp;query=%E5%8D%8A%E5%A4%A9%E5%B2%A9%E7%B4%AB%E9%9B%B2%E5%AF%BA%20%E5%98%89%E7%BE%A9%E7%B8%A3%20%E7%95%AA%E8%B7%AF%E9%84%89</x:v>
      </x:c>
      <x:c r="W83" s="34" t="str">
        <x:v>https://www.google.com/maps?q=23.418783,120.555203</x:v>
      </x:c>
      <x:c r="X83" s="34" t="str">
        <x:v>Google Maps POI 主定位＋政府宗教資料／官方廟方資料交叉整理</x:v>
      </x:c>
      <x:c r="Y83" s="34" t="str">
        <x:v>2026-07-13</x:v>
      </x:c>
      <x:c r="Z83" s="34" t="str">
        <x:v>V4-宮廟知名地點池</x:v>
      </x:c>
      <x:c r="AA83" s="34" t="str">
        <x:v>以正式廟名、所在縣市與 Google Maps POI 區分同名宮廟。</x:v>
      </x:c>
      <x:c r="AB83" s="34" t="str">
        <x:v>正式上線前點開 Google Maps 連結，確認主入口、廟埕與任務圓心沒有落在後殿、停車場或山區道路。</x:v>
      </x:c>
    </x:row>
    <x:row r="84">
      <x:c r="A84" s="34" t="n">
        <x:v>83</x:v>
      </x:c>
      <x:c r="B84" s="34" t="str">
        <x:v>DOR-TNN-M001</x:v>
      </x:c>
      <x:c r="C84" s="34" t="str">
        <x:v>臺南市</x:v>
      </x:c>
      <x:c r="D84" s="34" t="str">
        <x:v>中西區</x:v>
      </x:c>
      <x:c r="E84" s="34" t="str">
        <x:v>媽祖廟／國定古蹟</x:v>
      </x:c>
      <x:c r="F84" s="34" t="str">
        <x:v>祀典大天后宮</x:v>
      </x:c>
      <x:c r="G84" s="34" t="str">
        <x:v>主要入口／廟埕代表點</x:v>
      </x:c>
      <x:c r="H84" s="38" t="n">
        <x:v>22.996621</x:v>
      </x:c>
      <x:c r="I84" s="38" t="n">
        <x:v>120.201784</x:v>
      </x:c>
      <x:c r="J84" s="42" t="n">
        <x:v>5</x:v>
      </x:c>
      <x:c r="K84" s="34" t="str">
        <x:v>★★★★★</x:v>
      </x:c>
      <x:c r="L84" s="34" t="str">
        <x:v>全國級</x:v>
      </x:c>
      <x:c r="M84" s="34" t="str">
        <x:v>天上聖母</x:v>
      </x:c>
      <x:c r="N84" s="34" t="str">
        <x:v>臺灣官祀媽祖廟代表，位於府城古蹟密集區。</x:v>
      </x:c>
      <x:c r="O84" s="34" t="str">
        <x:v>文化主線任務｜完成正門打卡、代表建築拍照與周邊街區散步，解鎖宮廟文化徽章。</x:v>
      </x:c>
      <x:c r="P84" s="34" t="str">
        <x:v>宗教場所通常對外開放；祭典、法會、整修或人流管制請依廟方與 Google Maps 最新公告。</x:v>
      </x:c>
      <x:c r="Q84" s="42" t="n">
        <x:v>55</x:v>
      </x:c>
      <x:c r="R84" s="34" t="str">
        <x:v>A</x:v>
      </x:c>
      <x:c r="S84" s="34" t="str">
        <x:v>Google Maps POI 圖釘；以廟埕或主要入口作為任務代表點</x:v>
      </x:c>
      <x:c r="T84" s="34" t="str">
        <x:v>宮廟／宗教文化</x:v>
      </x:c>
      <x:c r="U84" s="34" t="str">
        <x:v>臺南市中西區永福路二段227巷18號</x:v>
      </x:c>
      <x:c r="V84" s="34" t="str">
        <x:v>https://www.google.com/maps/search/?api=1&amp;query=%E7%A5%80%E5%85%B8%E5%A4%A7%E5%A4%A9%E5%90%8E%E5%AE%AE%20%E8%87%BA%E5%8D%97%E5%B8%82%20%E4%B8%AD%E8%A5%BF%E5%8D%80</x:v>
      </x:c>
      <x:c r="W84" s="34" t="str">
        <x:v>https://www.google.com/maps?q=22.996621,120.201784</x:v>
      </x:c>
      <x:c r="X84" s="34" t="str">
        <x:v>Google Maps POI 主定位＋政府宗教資料／官方廟方資料交叉整理</x:v>
      </x:c>
      <x:c r="Y84" s="34" t="str">
        <x:v>2026-07-13</x:v>
      </x:c>
      <x:c r="Z84" s="34" t="str">
        <x:v>V4-宮廟知名地點池</x:v>
      </x:c>
      <x:c r="AA84" s="34" t="str">
        <x:v>以正式廟名、所在縣市與 Google Maps POI 區分同名宮廟。</x:v>
      </x:c>
      <x:c r="AB84" s="34" t="str">
        <x:v>正式上線前點開 Google Maps 連結，確認主入口、廟埕與任務圓心沒有落在後殿、停車場或山區道路。</x:v>
      </x:c>
    </x:row>
    <x:row r="85">
      <x:c r="A85" s="34" t="n">
        <x:v>84</x:v>
      </x:c>
      <x:c r="B85" s="34" t="str">
        <x:v>DOR-TNN-M002</x:v>
      </x:c>
      <x:c r="C85" s="34" t="str">
        <x:v>臺南市</x:v>
      </x:c>
      <x:c r="D85" s="34" t="str">
        <x:v>中西區</x:v>
      </x:c>
      <x:c r="E85" s="34" t="str">
        <x:v>關帝廟／國定古蹟</x:v>
      </x:c>
      <x:c r="F85" s="34" t="str">
        <x:v>祀典武廟</x:v>
      </x:c>
      <x:c r="G85" s="34" t="str">
        <x:v>主要入口／廟埕代表點</x:v>
      </x:c>
      <x:c r="H85" s="38" t="n">
        <x:v>22.996746</x:v>
      </x:c>
      <x:c r="I85" s="38" t="n">
        <x:v>120.202085</x:v>
      </x:c>
      <x:c r="J85" s="42" t="n">
        <x:v>5</x:v>
      </x:c>
      <x:c r="K85" s="34" t="str">
        <x:v>★★★★★</x:v>
      </x:c>
      <x:c r="L85" s="34" t="str">
        <x:v>全國級</x:v>
      </x:c>
      <x:c r="M85" s="34" t="str">
        <x:v>關聖帝君</x:v>
      </x:c>
      <x:c r="N85" s="34" t="str">
        <x:v>府城代表性關帝廟，紅牆與古蹟街區辨識度極高。</x:v>
      </x:c>
      <x:c r="O85" s="34" t="str">
        <x:v>文化主線任務｜完成正門打卡、代表建築拍照與周邊街區散步，解鎖宮廟文化徽章。</x:v>
      </x:c>
      <x:c r="P85" s="34" t="str">
        <x:v>宗教場所通常對外開放；祭典、法會、整修或人流管制請依廟方與 Google Maps 最新公告。</x:v>
      </x:c>
      <x:c r="Q85" s="42" t="n">
        <x:v>50</x:v>
      </x:c>
      <x:c r="R85" s="34" t="str">
        <x:v>A</x:v>
      </x:c>
      <x:c r="S85" s="34" t="str">
        <x:v>Google Maps POI 圖釘；以廟埕或主要入口作為任務代表點</x:v>
      </x:c>
      <x:c r="T85" s="34" t="str">
        <x:v>宮廟／宗教文化</x:v>
      </x:c>
      <x:c r="U85" s="34" t="str">
        <x:v>臺南市中西區永福路二段229號</x:v>
      </x:c>
      <x:c r="V85" s="34" t="str">
        <x:v>https://www.google.com/maps/search/?api=1&amp;query=%E7%A5%80%E5%85%B8%E6%AD%A6%E5%BB%9F%20%E8%87%BA%E5%8D%97%E5%B8%82%20%E4%B8%AD%E8%A5%BF%E5%8D%80</x:v>
      </x:c>
      <x:c r="W85" s="34" t="str">
        <x:v>https://www.google.com/maps?q=22.996746,120.202085</x:v>
      </x:c>
      <x:c r="X85" s="34" t="str">
        <x:v>Google Maps POI 主定位＋政府宗教資料／官方廟方資料交叉整理</x:v>
      </x:c>
      <x:c r="Y85" s="34" t="str">
        <x:v>2026-07-13</x:v>
      </x:c>
      <x:c r="Z85" s="34" t="str">
        <x:v>V4-宮廟知名地點池</x:v>
      </x:c>
      <x:c r="AA85" s="34" t="str">
        <x:v>以正式廟名、所在縣市與 Google Maps POI 區分同名宮廟。</x:v>
      </x:c>
      <x:c r="AB85" s="34" t="str">
        <x:v>正式上線前點開 Google Maps 連結，確認主入口、廟埕與任務圓心沒有落在後殿、停車場或山區道路。</x:v>
      </x:c>
    </x:row>
    <x:row r="86">
      <x:c r="A86" s="34" t="n">
        <x:v>85</x:v>
      </x:c>
      <x:c r="B86" s="34" t="str">
        <x:v>DOR-TNN-M003</x:v>
      </x:c>
      <x:c r="C86" s="34" t="str">
        <x:v>臺南市</x:v>
      </x:c>
      <x:c r="D86" s="34" t="str">
        <x:v>中西區</x:v>
      </x:c>
      <x:c r="E86" s="34" t="str">
        <x:v>天公廟</x:v>
      </x:c>
      <x:c r="F86" s="34" t="str">
        <x:v>臺灣首廟天壇</x:v>
      </x:c>
      <x:c r="G86" s="34" t="str">
        <x:v>主要入口／廟埕代表點</x:v>
      </x:c>
      <x:c r="H86" s="38" t="n">
        <x:v>22.993755</x:v>
      </x:c>
      <x:c r="I86" s="38" t="n">
        <x:v>120.204115</x:v>
      </x:c>
      <x:c r="J86" s="42" t="n">
        <x:v>5</x:v>
      </x:c>
      <x:c r="K86" s="34" t="str">
        <x:v>★★★★★</x:v>
      </x:c>
      <x:c r="L86" s="34" t="str">
        <x:v>全國級</x:v>
      </x:c>
      <x:c r="M86" s="34" t="str">
        <x:v>玉皇上帝</x:v>
      </x:c>
      <x:c r="N86" s="34" t="str">
        <x:v>臺灣第一座天公廟，府城市中心重要信仰地標。</x:v>
      </x:c>
      <x:c r="O86" s="34" t="str">
        <x:v>文化主線任務｜完成正門打卡、代表建築拍照與周邊街區散步，解鎖宮廟文化徽章。</x:v>
      </x:c>
      <x:c r="P86" s="34" t="str">
        <x:v>宗教場所通常對外開放；祭典、法會、整修或人流管制請依廟方與 Google Maps 最新公告。</x:v>
      </x:c>
      <x:c r="Q86" s="42" t="n">
        <x:v>50</x:v>
      </x:c>
      <x:c r="R86" s="34" t="str">
        <x:v>A</x:v>
      </x:c>
      <x:c r="S86" s="34" t="str">
        <x:v>Google Maps POI 圖釘；以廟埕或主要入口作為任務代表點</x:v>
      </x:c>
      <x:c r="T86" s="34" t="str">
        <x:v>宮廟／宗教文化</x:v>
      </x:c>
      <x:c r="U86" s="34" t="str">
        <x:v>臺南市中西區忠義路二段84巷16號</x:v>
      </x:c>
      <x:c r="V86" s="34" t="str">
        <x:v>https://www.google.com/maps/search/?api=1&amp;query=%E8%87%BA%E7%81%A3%E9%A6%96%E5%BB%9F%E5%A4%A9%E5%A3%87%20%E8%87%BA%E5%8D%97%E5%B8%82%20%E4%B8%AD%E8%A5%BF%E5%8D%80</x:v>
      </x:c>
      <x:c r="W86" s="34" t="str">
        <x:v>https://www.google.com/maps?q=22.993755,120.204115</x:v>
      </x:c>
      <x:c r="X86" s="34" t="str">
        <x:v>Google Maps POI 主定位＋政府宗教資料／官方廟方資料交叉整理</x:v>
      </x:c>
      <x:c r="Y86" s="34" t="str">
        <x:v>2026-07-13</x:v>
      </x:c>
      <x:c r="Z86" s="34" t="str">
        <x:v>V4-宮廟知名地點池</x:v>
      </x:c>
      <x:c r="AA86" s="34" t="str">
        <x:v>以正式廟名、所在縣市與 Google Maps POI 區分同名宮廟。</x:v>
      </x:c>
      <x:c r="AB86" s="34" t="str">
        <x:v>正式上線前點開 Google Maps 連結，確認主入口、廟埕與任務圓心沒有落在後殿、停車場或山區道路。</x:v>
      </x:c>
    </x:row>
    <x:row r="87">
      <x:c r="A87" s="34" t="n">
        <x:v>86</x:v>
      </x:c>
      <x:c r="B87" s="34" t="str">
        <x:v>DOR-TNN-M004</x:v>
      </x:c>
      <x:c r="C87" s="34" t="str">
        <x:v>臺南市</x:v>
      </x:c>
      <x:c r="D87" s="34" t="str">
        <x:v>北區</x:v>
      </x:c>
      <x:c r="E87" s="34" t="str">
        <x:v>玉皇宮</x:v>
      </x:c>
      <x:c r="F87" s="34" t="str">
        <x:v>開基玉皇宮</x:v>
      </x:c>
      <x:c r="G87" s="34" t="str">
        <x:v>主要入口／廟埕代表點</x:v>
      </x:c>
      <x:c r="H87" s="38" t="n">
        <x:v>23.001289</x:v>
      </x:c>
      <x:c r="I87" s="38" t="n">
        <x:v>120.215316</x:v>
      </x:c>
      <x:c r="J87" s="42" t="n">
        <x:v>5</x:v>
      </x:c>
      <x:c r="K87" s="34" t="str">
        <x:v>★★★★★</x:v>
      </x:c>
      <x:c r="L87" s="34" t="str">
        <x:v>全國級</x:v>
      </x:c>
      <x:c r="M87" s="34" t="str">
        <x:v>玉皇上帝</x:v>
      </x:c>
      <x:c r="N87" s="34" t="str">
        <x:v>臺灣早期玉皇上帝信仰代表，香火與知名度高。</x:v>
      </x:c>
      <x:c r="O87" s="34" t="str">
        <x:v>文化主線任務｜完成正門打卡、代表建築拍照與周邊街區散步，解鎖宮廟文化徽章。</x:v>
      </x:c>
      <x:c r="P87" s="34" t="str">
        <x:v>宗教場所通常對外開放；祭典、法會、整修或人流管制請依廟方與 Google Maps 最新公告。</x:v>
      </x:c>
      <x:c r="Q87" s="42" t="n">
        <x:v>55</x:v>
      </x:c>
      <x:c r="R87" s="34" t="str">
        <x:v>A</x:v>
      </x:c>
      <x:c r="S87" s="34" t="str">
        <x:v>Google Maps POI 圖釘；以廟埕或主要入口作為任務代表點</x:v>
      </x:c>
      <x:c r="T87" s="34" t="str">
        <x:v>宮廟／宗教文化</x:v>
      </x:c>
      <x:c r="U87" s="34" t="str">
        <x:v>臺南市北區佑民街111號</x:v>
      </x:c>
      <x:c r="V87" s="34" t="str">
        <x:v>https://www.google.com/maps/search/?api=1&amp;query=%E9%96%8B%E5%9F%BA%E7%8E%89%E7%9A%87%E5%AE%AE%20%E8%87%BA%E5%8D%97%E5%B8%82%20%E5%8C%97%E5%8D%80</x:v>
      </x:c>
      <x:c r="W87" s="34" t="str">
        <x:v>https://www.google.com/maps?q=23.001289,120.215316</x:v>
      </x:c>
      <x:c r="X87" s="34" t="str">
        <x:v>Google Maps POI 主定位＋政府宗教資料／官方廟方資料交叉整理</x:v>
      </x:c>
      <x:c r="Y87" s="34" t="str">
        <x:v>2026-07-13</x:v>
      </x:c>
      <x:c r="Z87" s="34" t="str">
        <x:v>V4-宮廟知名地點池</x:v>
      </x:c>
      <x:c r="AA87" s="34" t="str">
        <x:v>以正式廟名、所在縣市與 Google Maps POI 區分同名宮廟。</x:v>
      </x:c>
      <x:c r="AB87" s="34" t="str">
        <x:v>正式上線前點開 Google Maps 連結，確認主入口、廟埕與任務圓心沒有落在後殿、停車場或山區道路。</x:v>
      </x:c>
    </x:row>
    <x:row r="88">
      <x:c r="A88" s="34" t="n">
        <x:v>87</x:v>
      </x:c>
      <x:c r="B88" s="34" t="str">
        <x:v>DOR-TNN-M005</x:v>
      </x:c>
      <x:c r="C88" s="34" t="str">
        <x:v>臺南市</x:v>
      </x:c>
      <x:c r="D88" s="34" t="str">
        <x:v>中西區</x:v>
      </x:c>
      <x:c r="E88" s="34" t="str">
        <x:v>城隍廟／國定古蹟</x:v>
      </x:c>
      <x:c r="F88" s="34" t="str">
        <x:v>臺灣府城隍廟</x:v>
      </x:c>
      <x:c r="G88" s="34" t="str">
        <x:v>主要入口／廟埕代表點</x:v>
      </x:c>
      <x:c r="H88" s="38" t="n">
        <x:v>22.990942</x:v>
      </x:c>
      <x:c r="I88" s="38" t="n">
        <x:v>120.209773</x:v>
      </x:c>
      <x:c r="J88" s="42" t="n">
        <x:v>5</x:v>
      </x:c>
      <x:c r="K88" s="34" t="str">
        <x:v>★★★★★</x:v>
      </x:c>
      <x:c r="L88" s="34" t="str">
        <x:v>全國級</x:v>
      </x:c>
      <x:c r="M88" s="34" t="str">
        <x:v>城隍尊神</x:v>
      </x:c>
      <x:c r="N88" s="34" t="str">
        <x:v>府城重要城隍信仰中心，古城文化路線核心。</x:v>
      </x:c>
      <x:c r="O88" s="34" t="str">
        <x:v>文化主線任務｜完成正門打卡、代表建築拍照與周邊街區散步，解鎖宮廟文化徽章。</x:v>
      </x:c>
      <x:c r="P88" s="34" t="str">
        <x:v>宗教場所通常對外開放；祭典、法會、整修或人流管制請依廟方與 Google Maps 最新公告。</x:v>
      </x:c>
      <x:c r="Q88" s="42" t="n">
        <x:v>50</x:v>
      </x:c>
      <x:c r="R88" s="34" t="str">
        <x:v>A</x:v>
      </x:c>
      <x:c r="S88" s="34" t="str">
        <x:v>Google Maps POI 圖釘；以廟埕或主要入口作為任務代表點</x:v>
      </x:c>
      <x:c r="T88" s="34" t="str">
        <x:v>宮廟／宗教文化</x:v>
      </x:c>
      <x:c r="U88" s="34" t="str">
        <x:v>臺南市中西區青年路133號</x:v>
      </x:c>
      <x:c r="V88" s="34" t="str">
        <x:v>https://www.google.com/maps/search/?api=1&amp;query=%E8%87%BA%E7%81%A3%E5%BA%9C%E5%9F%8E%E9%9A%8D%E5%BB%9F%20%E8%87%BA%E5%8D%97%E5%B8%82%20%E4%B8%AD%E8%A5%BF%E5%8D%80</x:v>
      </x:c>
      <x:c r="W88" s="34" t="str">
        <x:v>https://www.google.com/maps?q=22.990942,120.209773</x:v>
      </x:c>
      <x:c r="X88" s="34" t="str">
        <x:v>Google Maps POI 主定位＋政府宗教資料／官方廟方資料交叉整理</x:v>
      </x:c>
      <x:c r="Y88" s="34" t="str">
        <x:v>2026-07-13</x:v>
      </x:c>
      <x:c r="Z88" s="34" t="str">
        <x:v>V4-宮廟知名地點池</x:v>
      </x:c>
      <x:c r="AA88" s="34" t="str">
        <x:v>以正式廟名、所在縣市與 Google Maps POI 區分同名宮廟。</x:v>
      </x:c>
      <x:c r="AB88" s="34" t="str">
        <x:v>正式上線前點開 Google Maps 連結，確認主入口、廟埕與任務圓心沒有落在後殿、停車場或山區道路。</x:v>
      </x:c>
    </x:row>
    <x:row r="89">
      <x:c r="A89" s="34" t="n">
        <x:v>88</x:v>
      </x:c>
      <x:c r="B89" s="34" t="str">
        <x:v>DOR-TNN-M006</x:v>
      </x:c>
      <x:c r="C89" s="34" t="str">
        <x:v>臺南市</x:v>
      </x:c>
      <x:c r="D89" s="34" t="str">
        <x:v>中西區</x:v>
      </x:c>
      <x:c r="E89" s="34" t="str">
        <x:v>王爺廟</x:v>
      </x:c>
      <x:c r="F89" s="34" t="str">
        <x:v>普濟殿</x:v>
      </x:c>
      <x:c r="G89" s="34" t="str">
        <x:v>主要入口／廟埕代表點</x:v>
      </x:c>
      <x:c r="H89" s="38" t="n">
        <x:v>22.998844</x:v>
      </x:c>
      <x:c r="I89" s="38" t="n">
        <x:v>120.199633</x:v>
      </x:c>
      <x:c r="J89" s="42" t="n">
        <x:v>4</x:v>
      </x:c>
      <x:c r="K89" s="34" t="str">
        <x:v>★★★★☆</x:v>
      </x:c>
      <x:c r="L89" s="34" t="str">
        <x:v>區域代表級</x:v>
      </x:c>
      <x:c r="M89" s="34" t="str">
        <x:v>池府千歲</x:v>
      </x:c>
      <x:c r="N89" s="34" t="str">
        <x:v>府城最早王爺廟之一，燈會與老街活動具高辨識度。</x:v>
      </x:c>
      <x:c r="O89" s="34" t="str">
        <x:v>文化探索任務｜完成廟埕打卡，沿周邊老街、聚落或生活圈步行探索。</x:v>
      </x:c>
      <x:c r="P89" s="34" t="str">
        <x:v>宗教場所通常對外開放；祭典、法會、整修或人流管制請依廟方與 Google Maps 最新公告。</x:v>
      </x:c>
      <x:c r="Q89" s="42" t="n">
        <x:v>50</x:v>
      </x:c>
      <x:c r="R89" s="34" t="str">
        <x:v>A</x:v>
      </x:c>
      <x:c r="S89" s="34" t="str">
        <x:v>Google Maps POI 圖釘；以廟埕或主要入口作為任務代表點</x:v>
      </x:c>
      <x:c r="T89" s="34" t="str">
        <x:v>宮廟／宗教文化</x:v>
      </x:c>
      <x:c r="U89" s="34" t="str">
        <x:v>臺南市中西區普濟街79號</x:v>
      </x:c>
      <x:c r="V89" s="34" t="str">
        <x:v>https://www.google.com/maps/search/?api=1&amp;query=%E6%99%AE%E6%BF%9F%E6%AE%BF%20%E8%87%BA%E5%8D%97%E5%B8%82%20%E4%B8%AD%E8%A5%BF%E5%8D%80</x:v>
      </x:c>
      <x:c r="W89" s="34" t="str">
        <x:v>https://www.google.com/maps?q=22.998844,120.199633</x:v>
      </x:c>
      <x:c r="X89" s="34" t="str">
        <x:v>Google Maps POI 主定位＋政府宗教資料／官方廟方資料交叉整理</x:v>
      </x:c>
      <x:c r="Y89" s="34" t="str">
        <x:v>2026-07-13</x:v>
      </x:c>
      <x:c r="Z89" s="34" t="str">
        <x:v>V4-宮廟知名地點池</x:v>
      </x:c>
      <x:c r="AA89" s="34" t="str">
        <x:v>以正式廟名、所在縣市與 Google Maps POI 區分同名宮廟。</x:v>
      </x:c>
      <x:c r="AB89" s="34" t="str">
        <x:v>正式上線前點開 Google Maps 連結，確認主入口、廟埕與任務圓心沒有落在後殿、停車場或山區道路。</x:v>
      </x:c>
    </x:row>
    <x:row r="90">
      <x:c r="A90" s="34" t="n">
        <x:v>89</x:v>
      </x:c>
      <x:c r="B90" s="34" t="str">
        <x:v>DOR-TNN-M007</x:v>
      </x:c>
      <x:c r="C90" s="34" t="str">
        <x:v>臺南市</x:v>
      </x:c>
      <x:c r="D90" s="34" t="str">
        <x:v>北區</x:v>
      </x:c>
      <x:c r="E90" s="34" t="str">
        <x:v>觀音寺／古蹟</x:v>
      </x:c>
      <x:c r="F90" s="34" t="str">
        <x:v>大觀音亭</x:v>
      </x:c>
      <x:c r="G90" s="34" t="str">
        <x:v>主要入口／廟埕代表點</x:v>
      </x:c>
      <x:c r="H90" s="38" t="n">
        <x:v>22.999977</x:v>
      </x:c>
      <x:c r="I90" s="38" t="n">
        <x:v>120.205042</x:v>
      </x:c>
      <x:c r="J90" s="42" t="n">
        <x:v>4</x:v>
      </x:c>
      <x:c r="K90" s="34" t="str">
        <x:v>★★★★☆</x:v>
      </x:c>
      <x:c r="L90" s="34" t="str">
        <x:v>區域代表級</x:v>
      </x:c>
      <x:c r="M90" s="34" t="str">
        <x:v>觀世音菩薩</x:v>
      </x:c>
      <x:c r="N90" s="34" t="str">
        <x:v>府城歷史悠久的觀音寺，鄰近開基玉皇宮。</x:v>
      </x:c>
      <x:c r="O90" s="34" t="str">
        <x:v>文化探索任務｜完成廟埕打卡，沿周邊老街、聚落或生活圈步行探索。</x:v>
      </x:c>
      <x:c r="P90" s="34" t="str">
        <x:v>宗教場所通常對外開放；祭典、法會、整修或人流管制請依廟方與 Google Maps 最新公告。</x:v>
      </x:c>
      <x:c r="Q90" s="42" t="n">
        <x:v>50</x:v>
      </x:c>
      <x:c r="R90" s="34" t="str">
        <x:v>A</x:v>
      </x:c>
      <x:c r="S90" s="34" t="str">
        <x:v>Google Maps POI 圖釘；以廟埕或主要入口作為任務代表點</x:v>
      </x:c>
      <x:c r="T90" s="34" t="str">
        <x:v>宮廟／宗教文化</x:v>
      </x:c>
      <x:c r="U90" s="34" t="str">
        <x:v>臺南市北區成功路86號</x:v>
      </x:c>
      <x:c r="V90" s="34" t="str">
        <x:v>https://www.google.com/maps/search/?api=1&amp;query=%E5%A4%A7%E8%A7%80%E9%9F%B3%E4%BA%AD%20%E8%87%BA%E5%8D%97%E5%B8%82%20%E5%8C%97%E5%8D%80</x:v>
      </x:c>
      <x:c r="W90" s="34" t="str">
        <x:v>https://www.google.com/maps?q=22.999977,120.205042</x:v>
      </x:c>
      <x:c r="X90" s="34" t="str">
        <x:v>Google Maps POI 主定位＋政府宗教資料／官方廟方資料交叉整理</x:v>
      </x:c>
      <x:c r="Y90" s="34" t="str">
        <x:v>2026-07-13</x:v>
      </x:c>
      <x:c r="Z90" s="34" t="str">
        <x:v>V4-宮廟知名地點池</x:v>
      </x:c>
      <x:c r="AA90" s="34" t="str">
        <x:v>以正式廟名、所在縣市與 Google Maps POI 區分同名宮廟。</x:v>
      </x:c>
      <x:c r="AB90" s="34" t="str">
        <x:v>正式上線前點開 Google Maps 連結，確認主入口、廟埕與任務圓心沒有落在後殿、停車場或山區道路。</x:v>
      </x:c>
    </x:row>
    <x:row r="91">
      <x:c r="A91" s="34" t="n">
        <x:v>90</x:v>
      </x:c>
      <x:c r="B91" s="34" t="str">
        <x:v>DOR-TNN-M008</x:v>
      </x:c>
      <x:c r="C91" s="34" t="str">
        <x:v>臺南市</x:v>
      </x:c>
      <x:c r="D91" s="34" t="str">
        <x:v>北區</x:v>
      </x:c>
      <x:c r="E91" s="34" t="str">
        <x:v>佛寺／古蹟</x:v>
      </x:c>
      <x:c r="F91" s="34" t="str">
        <x:v>開元寺</x:v>
      </x:c>
      <x:c r="G91" s="34" t="str">
        <x:v>主要入口／廟埕代表點</x:v>
      </x:c>
      <x:c r="H91" s="38" t="n">
        <x:v>23.01359</x:v>
      </x:c>
      <x:c r="I91" s="38" t="n">
        <x:v>120.211578</x:v>
      </x:c>
      <x:c r="J91" s="42" t="n">
        <x:v>5</x:v>
      </x:c>
      <x:c r="K91" s="34" t="str">
        <x:v>★★★★★</x:v>
      </x:c>
      <x:c r="L91" s="34" t="str">
        <x:v>全國級</x:v>
      </x:c>
      <x:c r="M91" s="34" t="str">
        <x:v>釋迦牟尼佛</x:v>
      </x:c>
      <x:c r="N91" s="34" t="str">
        <x:v>臺南重要古剎，園林與古蹟空間適合靜態散步。</x:v>
      </x:c>
      <x:c r="O91" s="34" t="str">
        <x:v>文化主線任務｜完成正門打卡、代表建築拍照與周邊街區散步，解鎖宮廟文化徽章。</x:v>
      </x:c>
      <x:c r="P91" s="34" t="str">
        <x:v>宗教場所通常對外開放；祭典、法會、整修或人流管制請依廟方與 Google Maps 最新公告。</x:v>
      </x:c>
      <x:c r="Q91" s="42" t="n">
        <x:v>70</x:v>
      </x:c>
      <x:c r="R91" s="34" t="str">
        <x:v>A</x:v>
      </x:c>
      <x:c r="S91" s="34" t="str">
        <x:v>Google Maps POI 圖釘；以廟埕或主要入口作為任務代表點</x:v>
      </x:c>
      <x:c r="T91" s="34" t="str">
        <x:v>宮廟／宗教文化</x:v>
      </x:c>
      <x:c r="U91" s="34" t="str">
        <x:v>臺南市北區北園街89號</x:v>
      </x:c>
      <x:c r="V91" s="34" t="str">
        <x:v>https://www.google.com/maps/search/?api=1&amp;query=%E9%96%8B%E5%85%83%E5%AF%BA%20%E8%87%BA%E5%8D%97%E5%B8%82%20%E5%8C%97%E5%8D%80</x:v>
      </x:c>
      <x:c r="W91" s="34" t="str">
        <x:v>https://www.google.com/maps?q=23.013590,120.211578</x:v>
      </x:c>
      <x:c r="X91" s="34" t="str">
        <x:v>Google Maps POI 主定位＋政府宗教資料／官方廟方資料交叉整理</x:v>
      </x:c>
      <x:c r="Y91" s="34" t="str">
        <x:v>2026-07-13</x:v>
      </x:c>
      <x:c r="Z91" s="34" t="str">
        <x:v>V4-宮廟知名地點池</x:v>
      </x:c>
      <x:c r="AA91" s="34" t="str">
        <x:v>以正式廟名、所在縣市與 Google Maps POI 區分同名宮廟。</x:v>
      </x:c>
      <x:c r="AB91" s="34" t="str">
        <x:v>正式上線前點開 Google Maps 連結，確認主入口、廟埕與任務圓心沒有落在後殿、停車場或山區道路。</x:v>
      </x:c>
    </x:row>
    <x:row r="92">
      <x:c r="A92" s="34" t="n">
        <x:v>91</x:v>
      </x:c>
      <x:c r="B92" s="34" t="str">
        <x:v>DOR-TNN-M009</x:v>
      </x:c>
      <x:c r="C92" s="34" t="str">
        <x:v>臺南市</x:v>
      </x:c>
      <x:c r="D92" s="34" t="str">
        <x:v>安平區</x:v>
      </x:c>
      <x:c r="E92" s="34" t="str">
        <x:v>媽祖廟</x:v>
      </x:c>
      <x:c r="F92" s="34" t="str">
        <x:v>安平開台天后宮</x:v>
      </x:c>
      <x:c r="G92" s="34" t="str">
        <x:v>主要入口／廟埕代表點</x:v>
      </x:c>
      <x:c r="H92" s="38" t="n">
        <x:v>23.000671</x:v>
      </x:c>
      <x:c r="I92" s="38" t="n">
        <x:v>120.160817</x:v>
      </x:c>
      <x:c r="J92" s="42" t="n">
        <x:v>5</x:v>
      </x:c>
      <x:c r="K92" s="34" t="str">
        <x:v>★★★★★</x:v>
      </x:c>
      <x:c r="L92" s="34" t="str">
        <x:v>全國級</x:v>
      </x:c>
      <x:c r="M92" s="34" t="str">
        <x:v>天上聖母</x:v>
      </x:c>
      <x:c r="N92" s="34" t="str">
        <x:v>安平古堡周邊核心媽祖廟，觀光步行路線成熟。</x:v>
      </x:c>
      <x:c r="O92" s="34" t="str">
        <x:v>文化主線任務｜完成正門打卡、代表建築拍照與周邊街區散步，解鎖宮廟文化徽章。</x:v>
      </x:c>
      <x:c r="P92" s="34" t="str">
        <x:v>宗教場所通常對外開放；祭典、法會、整修或人流管制請依廟方與 Google Maps 最新公告。</x:v>
      </x:c>
      <x:c r="Q92" s="42" t="n">
        <x:v>55</x:v>
      </x:c>
      <x:c r="R92" s="34" t="str">
        <x:v>A</x:v>
      </x:c>
      <x:c r="S92" s="34" t="str">
        <x:v>Google Maps POI 圖釘；以廟埕或主要入口作為任務代表點</x:v>
      </x:c>
      <x:c r="T92" s="34" t="str">
        <x:v>宮廟／宗教文化</x:v>
      </x:c>
      <x:c r="U92" s="34" t="str">
        <x:v>臺南市安平區國勝路33號</x:v>
      </x:c>
      <x:c r="V92" s="34" t="str">
        <x:v>https://www.google.com/maps/search/?api=1&amp;query=%E5%AE%89%E5%B9%B3%E9%96%8B%E5%8F%B0%E5%A4%A9%E5%90%8E%E5%AE%AE%20%E8%87%BA%E5%8D%97%E5%B8%82%20%E5%AE%89%E5%B9%B3%E5%8D%80</x:v>
      </x:c>
      <x:c r="W92" s="34" t="str">
        <x:v>https://www.google.com/maps?q=23.000671,120.160817</x:v>
      </x:c>
      <x:c r="X92" s="34" t="str">
        <x:v>Google Maps POI 主定位＋政府宗教資料／官方廟方資料交叉整理</x:v>
      </x:c>
      <x:c r="Y92" s="34" t="str">
        <x:v>2026-07-13</x:v>
      </x:c>
      <x:c r="Z92" s="34" t="str">
        <x:v>V4-宮廟知名地點池</x:v>
      </x:c>
      <x:c r="AA92" s="34" t="str">
        <x:v>以正式廟名、所在縣市與 Google Maps POI 區分同名宮廟。</x:v>
      </x:c>
      <x:c r="AB92" s="34" t="str">
        <x:v>正式上線前點開 Google Maps 連結，確認主入口、廟埕與任務圓心沒有落在後殿、停車場或山區道路。</x:v>
      </x:c>
    </x:row>
    <x:row r="93">
      <x:c r="A93" s="34" t="n">
        <x:v>92</x:v>
      </x:c>
      <x:c r="B93" s="34" t="str">
        <x:v>DOR-TNN-M010</x:v>
      </x:c>
      <x:c r="C93" s="34" t="str">
        <x:v>臺南市</x:v>
      </x:c>
      <x:c r="D93" s="34" t="str">
        <x:v>安南區</x:v>
      </x:c>
      <x:c r="E93" s="34" t="str">
        <x:v>大型媽祖廟</x:v>
      </x:c>
      <x:c r="F93" s="34" t="str">
        <x:v>正統鹿耳門聖母廟</x:v>
      </x:c>
      <x:c r="G93" s="34" t="str">
        <x:v>主要入口／廟埕代表點</x:v>
      </x:c>
      <x:c r="H93" s="38" t="n">
        <x:v>23.066829</x:v>
      </x:c>
      <x:c r="I93" s="38" t="n">
        <x:v>120.127296</x:v>
      </x:c>
      <x:c r="J93" s="42" t="n">
        <x:v>5</x:v>
      </x:c>
      <x:c r="K93" s="34" t="str">
        <x:v>★★★★★</x:v>
      </x:c>
      <x:c r="L93" s="34" t="str">
        <x:v>全國級</x:v>
      </x:c>
      <x:c r="M93" s="34" t="str">
        <x:v>天上聖母</x:v>
      </x:c>
      <x:c r="N93" s="34" t="str">
        <x:v>大型媽祖廟建築與煙火活動知名，園區辨識度高。</x:v>
      </x:c>
      <x:c r="O93" s="34" t="str">
        <x:v>文化主線任務｜完成正門打卡、代表建築拍照與周邊街區散步，解鎖宮廟文化徽章。</x:v>
      </x:c>
      <x:c r="P93" s="34" t="str">
        <x:v>宗教場所通常對外開放；祭典、法會、整修或人流管制請依廟方與 Google Maps 最新公告。</x:v>
      </x:c>
      <x:c r="Q93" s="42" t="n">
        <x:v>100</x:v>
      </x:c>
      <x:c r="R93" s="34" t="str">
        <x:v>B</x:v>
      </x:c>
      <x:c r="S93" s="34" t="str">
        <x:v>Google Maps 正統鹿耳門聖母廟主地標；大型廟區以正門或廟埕中心為任務圓心</x:v>
      </x:c>
      <x:c r="T93" s="34" t="str">
        <x:v>宮廟／宗教文化</x:v>
      </x:c>
      <x:c r="U93" s="34" t="str">
        <x:v>臺南市安南區城安路160號</x:v>
      </x:c>
      <x:c r="V93" s="34" t="str">
        <x:v>https://www.google.com/maps/search/?api=1&amp;query=%E6%AD%A3%E7%B5%B1%E9%B9%BF%E8%80%B3%E9%96%80%E8%81%96%E6%AF%8D%E5%BB%9F%20%E8%87%BA%E5%8D%97%E5%B8%82%20%E5%AE%89%E5%8D%97%E5%8D%80</x:v>
      </x:c>
      <x:c r="W93" s="34" t="str">
        <x:v>https://www.google.com/maps?q=23.066829,120.127296</x:v>
      </x:c>
      <x:c r="X93" s="34" t="str">
        <x:v>Google Maps POI 主定位＋政府宗教資料／官方廟方資料交叉整理</x:v>
      </x:c>
      <x:c r="Y93" s="34" t="str">
        <x:v>2026-07-13</x:v>
      </x:c>
      <x:c r="Z93" s="34" t="str">
        <x:v>V4-宮廟知名地點池</x:v>
      </x:c>
      <x:c r="AA93" s="34" t="str">
        <x:v>以正式廟名、所在縣市與 Google Maps POI 區分同名宮廟。</x:v>
      </x:c>
      <x:c r="AB93" s="34" t="str">
        <x:v>正式上線前點開 Google Maps 連結，確認主入口、廟埕與任務圓心沒有落在後殿、停車場或山區道路。</x:v>
      </x:c>
    </x:row>
    <x:row r="94">
      <x:c r="A94" s="34" t="n">
        <x:v>93</x:v>
      </x:c>
      <x:c r="B94" s="34" t="str">
        <x:v>DOR-TNN-M011</x:v>
      </x:c>
      <x:c r="C94" s="34" t="str">
        <x:v>臺南市</x:v>
      </x:c>
      <x:c r="D94" s="34" t="str">
        <x:v>北門區</x:v>
      </x:c>
      <x:c r="E94" s="34" t="str">
        <x:v>王爺廟</x:v>
      </x:c>
      <x:c r="F94" s="34" t="str">
        <x:v>南鯤鯓代天府</x:v>
      </x:c>
      <x:c r="G94" s="34" t="str">
        <x:v>主要入口／廟埕代表點</x:v>
      </x:c>
      <x:c r="H94" s="38" t="n">
        <x:v>23.28584</x:v>
      </x:c>
      <x:c r="I94" s="38" t="n">
        <x:v>120.14337</x:v>
      </x:c>
      <x:c r="J94" s="42" t="n">
        <x:v>5</x:v>
      </x:c>
      <x:c r="K94" s="34" t="str">
        <x:v>★★★★★</x:v>
      </x:c>
      <x:c r="L94" s="34" t="str">
        <x:v>全國級</x:v>
      </x:c>
      <x:c r="M94" s="34" t="str">
        <x:v>五府千歲</x:v>
      </x:c>
      <x:c r="N94" s="34" t="str">
        <x:v>全臺王爺信仰重鎮之一，廟區規模與香火極具代表性。</x:v>
      </x:c>
      <x:c r="O94" s="34" t="str">
        <x:v>文化主線任務｜完成正門打卡、代表建築拍照與周邊街區散步，解鎖宮廟文化徽章。</x:v>
      </x:c>
      <x:c r="P94" s="34" t="str">
        <x:v>宗教場所通常對外開放；祭典、法會、整修或人流管制請依廟方與 Google Maps 最新公告。</x:v>
      </x:c>
      <x:c r="Q94" s="42" t="n">
        <x:v>100</x:v>
      </x:c>
      <x:c r="R94" s="34" t="str">
        <x:v>B</x:v>
      </x:c>
      <x:c r="S94" s="34" t="str">
        <x:v>Google Maps 南鯤鯓代天府主地標；大型園區以牌樓內主參拜動線為任務代表點</x:v>
      </x:c>
      <x:c r="T94" s="34" t="str">
        <x:v>宮廟／宗教文化</x:v>
      </x:c>
      <x:c r="U94" s="34" t="str">
        <x:v>臺南市北門區鯤江里976號</x:v>
      </x:c>
      <x:c r="V94" s="34" t="str">
        <x:v>https://www.google.com/maps/search/?api=1&amp;query=%E5%8D%97%E9%AF%A4%E9%AF%93%E4%BB%A3%E5%A4%A9%E5%BA%9C%20%E8%87%BA%E5%8D%97%E5%B8%82%20%E5%8C%97%E9%96%80%E5%8D%80</x:v>
      </x:c>
      <x:c r="W94" s="34" t="str">
        <x:v>https://www.google.com/maps?q=23.285840,120.143370</x:v>
      </x:c>
      <x:c r="X94" s="34" t="str">
        <x:v>Google Maps POI 主定位＋政府宗教資料／官方廟方資料交叉整理</x:v>
      </x:c>
      <x:c r="Y94" s="34" t="str">
        <x:v>2026-07-13</x:v>
      </x:c>
      <x:c r="Z94" s="34" t="str">
        <x:v>V4-宮廟知名地點池</x:v>
      </x:c>
      <x:c r="AA94" s="34" t="str">
        <x:v>以正式廟名、所在縣市與 Google Maps POI 區分同名宮廟。</x:v>
      </x:c>
      <x:c r="AB94" s="34" t="str">
        <x:v>正式上線前點開 Google Maps 連結，確認主入口、廟埕與任務圓心沒有落在後殿、停車場或山區道路。</x:v>
      </x:c>
    </x:row>
    <x:row r="95">
      <x:c r="A95" s="34" t="n">
        <x:v>94</x:v>
      </x:c>
      <x:c r="B95" s="34" t="str">
        <x:v>DOR-TNN-M012</x:v>
      </x:c>
      <x:c r="C95" s="34" t="str">
        <x:v>臺南市</x:v>
      </x:c>
      <x:c r="D95" s="34" t="str">
        <x:v>麻豆區</x:v>
      </x:c>
      <x:c r="E95" s="34" t="str">
        <x:v>王爺廟</x:v>
      </x:c>
      <x:c r="F95" s="34" t="str">
        <x:v>麻豆代天府</x:v>
      </x:c>
      <x:c r="G95" s="34" t="str">
        <x:v>主要入口／廟埕代表點</x:v>
      </x:c>
      <x:c r="H95" s="38" t="n">
        <x:v>23.183359</x:v>
      </x:c>
      <x:c r="I95" s="38" t="n">
        <x:v>120.245958</x:v>
      </x:c>
      <x:c r="J95" s="42" t="n">
        <x:v>5</x:v>
      </x:c>
      <x:c r="K95" s="34" t="str">
        <x:v>★★★★★</x:v>
      </x:c>
      <x:c r="L95" s="34" t="str">
        <x:v>全國級</x:v>
      </x:c>
      <x:c r="M95" s="34" t="str">
        <x:v>五府千歲</x:v>
      </x:c>
      <x:c r="N95" s="34" t="str">
        <x:v>大型王爺廟與十八層地獄場景知名，觀光辨識度高。</x:v>
      </x:c>
      <x:c r="O95" s="34" t="str">
        <x:v>文化主線任務｜完成正門打卡、代表建築拍照與周邊街區散步，解鎖宮廟文化徽章。</x:v>
      </x:c>
      <x:c r="P95" s="34" t="str">
        <x:v>宗教場所通常對外開放；祭典、法會、整修或人流管制請依廟方與 Google Maps 最新公告。</x:v>
      </x:c>
      <x:c r="Q95" s="42" t="n">
        <x:v>90</x:v>
      </x:c>
      <x:c r="R95" s="34" t="str">
        <x:v>B</x:v>
      </x:c>
      <x:c r="S95" s="34" t="str">
        <x:v>Google Maps POI 圖釘；以廟埕或主要入口作為任務代表點</x:v>
      </x:c>
      <x:c r="T95" s="34" t="str">
        <x:v>宮廟／宗教文化</x:v>
      </x:c>
      <x:c r="U95" s="34" t="str">
        <x:v>臺南市麻豆區關帝廟60號</x:v>
      </x:c>
      <x:c r="V95" s="34" t="str">
        <x:v>https://www.google.com/maps/search/?api=1&amp;query=%E9%BA%BB%E8%B1%86%E4%BB%A3%E5%A4%A9%E5%BA%9C%20%E8%87%BA%E5%8D%97%E5%B8%82%20%E9%BA%BB%E8%B1%86%E5%8D%80</x:v>
      </x:c>
      <x:c r="W95" s="34" t="str">
        <x:v>https://www.google.com/maps?q=23.183359,120.245958</x:v>
      </x:c>
      <x:c r="X95" s="34" t="str">
        <x:v>Google Maps POI 主定位＋政府宗教資料／官方廟方資料交叉整理</x:v>
      </x:c>
      <x:c r="Y95" s="34" t="str">
        <x:v>2026-07-13</x:v>
      </x:c>
      <x:c r="Z95" s="34" t="str">
        <x:v>V4-宮廟知名地點池</x:v>
      </x:c>
      <x:c r="AA95" s="34" t="str">
        <x:v>以正式廟名、所在縣市與 Google Maps POI 區分同名宮廟。</x:v>
      </x:c>
      <x:c r="AB95" s="34" t="str">
        <x:v>正式上線前點開 Google Maps 連結，確認主入口、廟埕與任務圓心沒有落在後殿、停車場或山區道路。</x:v>
      </x:c>
    </x:row>
    <x:row r="96">
      <x:c r="A96" s="34" t="n">
        <x:v>95</x:v>
      </x:c>
      <x:c r="B96" s="34" t="str">
        <x:v>DOR-KHH-M001</x:v>
      </x:c>
      <x:c r="C96" s="34" t="str">
        <x:v>高雄市</x:v>
      </x:c>
      <x:c r="D96" s="34" t="str">
        <x:v>大樹區</x:v>
      </x:c>
      <x:c r="E96" s="34" t="str">
        <x:v>佛教園區</x:v>
      </x:c>
      <x:c r="F96" s="34" t="str">
        <x:v>佛光山佛陀紀念館</x:v>
      </x:c>
      <x:c r="G96" s="34" t="str">
        <x:v>主要入口／廟埕代表點</x:v>
      </x:c>
      <x:c r="H96" s="38" t="n">
        <x:v>22.75506</x:v>
      </x:c>
      <x:c r="I96" s="38" t="n">
        <x:v>120.445593</x:v>
      </x:c>
      <x:c r="J96" s="42" t="n">
        <x:v>5</x:v>
      </x:c>
      <x:c r="K96" s="34" t="str">
        <x:v>★★★★★</x:v>
      </x:c>
      <x:c r="L96" s="34" t="str">
        <x:v>全國級</x:v>
      </x:c>
      <x:c r="M96" s="34" t="str">
        <x:v>釋迦牟尼佛</x:v>
      </x:c>
      <x:c r="N96" s="34" t="str">
        <x:v>國際級佛教文化地標，園區步行與建築視覺辨識度極高。</x:v>
      </x:c>
      <x:c r="O96" s="34" t="str">
        <x:v>文化主線任務｜完成正門打卡、代表建築拍照與周邊街區散步，解鎖宮廟文化徽章。</x:v>
      </x:c>
      <x:c r="P96" s="34" t="str">
        <x:v>宗教場所通常對外開放；祭典、法會、整修或人流管制請依廟方與 Google Maps 最新公告。</x:v>
      </x:c>
      <x:c r="Q96" s="42" t="n">
        <x:v>150</x:v>
      </x:c>
      <x:c r="R96" s="34" t="str">
        <x:v>B</x:v>
      </x:c>
      <x:c r="S96" s="34" t="str">
        <x:v>Google Maps 佛陀紀念館主地標；大型園區建議以禮敬大廳入口為任務代表點</x:v>
      </x:c>
      <x:c r="T96" s="34" t="str">
        <x:v>宮廟／宗教文化</x:v>
      </x:c>
      <x:c r="U96" s="34" t="str">
        <x:v>高雄市大樹區統嶺路1號</x:v>
      </x:c>
      <x:c r="V96" s="34" t="str">
        <x:v>https://www.google.com/maps/search/?api=1&amp;query=%E4%BD%9B%E5%85%89%E5%B1%B1%E4%BD%9B%E9%99%80%E7%B4%80%E5%BF%B5%E9%A4%A8%20%E9%AB%98%E9%9B%84%E5%B8%82%20%E5%A4%A7%E6%A8%B9%E5%8D%80</x:v>
      </x:c>
      <x:c r="W96" s="34" t="str">
        <x:v>https://www.google.com/maps?q=22.755060,120.445593</x:v>
      </x:c>
      <x:c r="X96" s="34" t="str">
        <x:v>Google Maps POI 主定位＋政府宗教資料／官方廟方資料交叉整理</x:v>
      </x:c>
      <x:c r="Y96" s="34" t="str">
        <x:v>2026-07-13</x:v>
      </x:c>
      <x:c r="Z96" s="34" t="str">
        <x:v>V4-宮廟知名地點池</x:v>
      </x:c>
      <x:c r="AA96" s="34" t="str">
        <x:v>以正式廟名、所在縣市與 Google Maps POI 區分同名宮廟。</x:v>
      </x:c>
      <x:c r="AB96" s="34" t="str">
        <x:v>正式上線前點開 Google Maps 連結，確認主入口、廟埕與任務圓心沒有落在後殿、停車場或山區道路。</x:v>
      </x:c>
    </x:row>
    <x:row r="97">
      <x:c r="A97" s="34" t="n">
        <x:v>96</x:v>
      </x:c>
      <x:c r="B97" s="34" t="str">
        <x:v>DOR-KHH-M002</x:v>
      </x:c>
      <x:c r="C97" s="34" t="str">
        <x:v>高雄市</x:v>
      </x:c>
      <x:c r="D97" s="34" t="str">
        <x:v>三民區</x:v>
      </x:c>
      <x:c r="E97" s="34" t="str">
        <x:v>太子廟</x:v>
      </x:c>
      <x:c r="F97" s="34" t="str">
        <x:v>高雄三鳳宮</x:v>
      </x:c>
      <x:c r="G97" s="34" t="str">
        <x:v>主要入口／廟埕代表點</x:v>
      </x:c>
      <x:c r="H97" s="38" t="n">
        <x:v>22.642545</x:v>
      </x:c>
      <x:c r="I97" s="38" t="n">
        <x:v>120.294405</x:v>
      </x:c>
      <x:c r="J97" s="42" t="n">
        <x:v>5</x:v>
      </x:c>
      <x:c r="K97" s="34" t="str">
        <x:v>★★★★★</x:v>
      </x:c>
      <x:c r="L97" s="34" t="str">
        <x:v>全國級</x:v>
      </x:c>
      <x:c r="M97" s="34" t="str">
        <x:v>中壇元帥</x:v>
      </x:c>
      <x:c r="N97" s="34" t="str">
        <x:v>大型三太子廟宇與燈籠景觀知名，市區可達性高。</x:v>
      </x:c>
      <x:c r="O97" s="34" t="str">
        <x:v>文化主線任務｜完成正門打卡、代表建築拍照與周邊街區散步，解鎖宮廟文化徽章。</x:v>
      </x:c>
      <x:c r="P97" s="34" t="str">
        <x:v>宗教場所通常對外開放；祭典、法會、整修或人流管制請依廟方與 Google Maps 最新公告。</x:v>
      </x:c>
      <x:c r="Q97" s="42" t="n">
        <x:v>65</x:v>
      </x:c>
      <x:c r="R97" s="34" t="str">
        <x:v>A</x:v>
      </x:c>
      <x:c r="S97" s="34" t="str">
        <x:v>Google Maps POI 圖釘；以廟埕或主要入口作為任務代表點</x:v>
      </x:c>
      <x:c r="T97" s="34" t="str">
        <x:v>宮廟／宗教文化</x:v>
      </x:c>
      <x:c r="U97" s="34" t="str">
        <x:v>高雄市三民區河北二路134號</x:v>
      </x:c>
      <x:c r="V97" s="34" t="str">
        <x:v>https://www.google.com/maps/search/?api=1&amp;query=%E9%AB%98%E9%9B%84%E4%B8%89%E9%B3%B3%E5%AE%AE%20%E9%AB%98%E9%9B%84%E5%B8%82%20%E4%B8%89%E6%B0%91%E5%8D%80</x:v>
      </x:c>
      <x:c r="W97" s="34" t="str">
        <x:v>https://www.google.com/maps?q=22.642545,120.294405</x:v>
      </x:c>
      <x:c r="X97" s="34" t="str">
        <x:v>Google Maps POI 主定位＋政府宗教資料／官方廟方資料交叉整理</x:v>
      </x:c>
      <x:c r="Y97" s="34" t="str">
        <x:v>2026-07-13</x:v>
      </x:c>
      <x:c r="Z97" s="34" t="str">
        <x:v>V4-宮廟知名地點池</x:v>
      </x:c>
      <x:c r="AA97" s="34" t="str">
        <x:v>以正式廟名、所在縣市與 Google Maps POI 區分同名宮廟。</x:v>
      </x:c>
      <x:c r="AB97" s="34" t="str">
        <x:v>正式上線前點開 Google Maps 連結，確認主入口、廟埕與任務圓心沒有落在後殿、停車場或山區道路。</x:v>
      </x:c>
    </x:row>
    <x:row r="98">
      <x:c r="A98" s="34" t="n">
        <x:v>97</x:v>
      </x:c>
      <x:c r="B98" s="34" t="str">
        <x:v>DOR-KHH-M003</x:v>
      </x:c>
      <x:c r="C98" s="34" t="str">
        <x:v>高雄市</x:v>
      </x:c>
      <x:c r="D98" s="34" t="str">
        <x:v>苓雅區</x:v>
      </x:c>
      <x:c r="E98" s="34" t="str">
        <x:v>關帝廟</x:v>
      </x:c>
      <x:c r="F98" s="34" t="str">
        <x:v>高雄關帝廟</x:v>
      </x:c>
      <x:c r="G98" s="34" t="str">
        <x:v>主要入口／廟埕代表點</x:v>
      </x:c>
      <x:c r="H98" s="38" t="n">
        <x:v>22.64688</x:v>
      </x:c>
      <x:c r="I98" s="38" t="n">
        <x:v>120.33093</x:v>
      </x:c>
      <x:c r="J98" s="42" t="n">
        <x:v>4</x:v>
      </x:c>
      <x:c r="K98" s="34" t="str">
        <x:v>★★★★☆</x:v>
      </x:c>
      <x:c r="L98" s="34" t="str">
        <x:v>區域代表級</x:v>
      </x:c>
      <x:c r="M98" s="34" t="str">
        <x:v>關聖帝君</x:v>
      </x:c>
      <x:c r="N98" s="34" t="str">
        <x:v>高雄市區重要關帝信仰中心，武廟商圈辨識度高。</x:v>
      </x:c>
      <x:c r="O98" s="34" t="str">
        <x:v>文化探索任務｜完成廟埕打卡，沿周邊老街、聚落或生活圈步行探索。</x:v>
      </x:c>
      <x:c r="P98" s="34" t="str">
        <x:v>宗教場所通常對外開放；祭典、法會、整修或人流管制請依廟方與 Google Maps 最新公告。</x:v>
      </x:c>
      <x:c r="Q98" s="42" t="n">
        <x:v>55</x:v>
      </x:c>
      <x:c r="R98" s="34" t="str">
        <x:v>A</x:v>
      </x:c>
      <x:c r="S98" s="34" t="str">
        <x:v>Google Maps POI 圖釘；以廟埕或主要入口作為任務代表點</x:v>
      </x:c>
      <x:c r="T98" s="34" t="str">
        <x:v>宮廟／宗教文化</x:v>
      </x:c>
      <x:c r="U98" s="34" t="str">
        <x:v>高雄市苓雅區武廟路52號</x:v>
      </x:c>
      <x:c r="V98" s="34" t="str">
        <x:v>https://www.google.com/maps/search/?api=1&amp;query=%E9%AB%98%E9%9B%84%E9%97%9C%E5%B8%9D%E5%BB%9F%20%E9%AB%98%E9%9B%84%E5%B8%82%20%E8%8B%93%E9%9B%85%E5%8D%80</x:v>
      </x:c>
      <x:c r="W98" s="34" t="str">
        <x:v>https://www.google.com/maps?q=22.646880,120.330930</x:v>
      </x:c>
      <x:c r="X98" s="34" t="str">
        <x:v>Google Maps POI 主定位＋政府宗教資料／官方廟方資料交叉整理</x:v>
      </x:c>
      <x:c r="Y98" s="34" t="str">
        <x:v>2026-07-13</x:v>
      </x:c>
      <x:c r="Z98" s="34" t="str">
        <x:v>V4-宮廟知名地點池</x:v>
      </x:c>
      <x:c r="AA98" s="34" t="str">
        <x:v>以正式廟名、所在縣市與 Google Maps POI 區分同名宮廟。</x:v>
      </x:c>
      <x:c r="AB98" s="34" t="str">
        <x:v>正式上線前點開 Google Maps 連結，確認主入口、廟埕與任務圓心沒有落在後殿、停車場或山區道路。</x:v>
      </x:c>
    </x:row>
    <x:row r="99">
      <x:c r="A99" s="34" t="n">
        <x:v>98</x:v>
      </x:c>
      <x:c r="B99" s="34" t="str">
        <x:v>DOR-KHH-M004</x:v>
      </x:c>
      <x:c r="C99" s="34" t="str">
        <x:v>高雄市</x:v>
      </x:c>
      <x:c r="D99" s="34" t="str">
        <x:v>左營區</x:v>
      </x:c>
      <x:c r="E99" s="34" t="str">
        <x:v>玄天上帝廟</x:v>
      </x:c>
      <x:c r="F99" s="34" t="str">
        <x:v>左營元帝廟</x:v>
      </x:c>
      <x:c r="G99" s="34" t="str">
        <x:v>主要入口／廟埕代表點</x:v>
      </x:c>
      <x:c r="H99" s="38" t="n">
        <x:v>22.68325</x:v>
      </x:c>
      <x:c r="I99" s="38" t="n">
        <x:v>120.294652</x:v>
      </x:c>
      <x:c r="J99" s="42" t="n">
        <x:v>4</x:v>
      </x:c>
      <x:c r="K99" s="34" t="str">
        <x:v>★★★★☆</x:v>
      </x:c>
      <x:c r="L99" s="34" t="str">
        <x:v>區域代表級</x:v>
      </x:c>
      <x:c r="M99" s="34" t="str">
        <x:v>玄天上帝</x:v>
      </x:c>
      <x:c r="N99" s="34" t="str">
        <x:v>蓮池潭與左營舊城信仰地標，可串聯湖畔散步。</x:v>
      </x:c>
      <x:c r="O99" s="34" t="str">
        <x:v>文化探索任務｜完成廟埕打卡，沿周邊老街、聚落或生活圈步行探索。</x:v>
      </x:c>
      <x:c r="P99" s="34" t="str">
        <x:v>宗教場所通常對外開放；祭典、法會、整修或人流管制請依廟方與 Google Maps 最新公告。</x:v>
      </x:c>
      <x:c r="Q99" s="42" t="n">
        <x:v>60</x:v>
      </x:c>
      <x:c r="R99" s="34" t="str">
        <x:v>A</x:v>
      </x:c>
      <x:c r="S99" s="34" t="str">
        <x:v>Google Maps POI 圖釘；以廟埕或主要入口作為任務代表點</x:v>
      </x:c>
      <x:c r="T99" s="34" t="str">
        <x:v>宮廟／宗教文化</x:v>
      </x:c>
      <x:c r="U99" s="34" t="str">
        <x:v>高雄市左營區左營大路549巷1號</x:v>
      </x:c>
      <x:c r="V99" s="34" t="str">
        <x:v>https://www.google.com/maps/search/?api=1&amp;query=%E5%B7%A6%E7%87%9F%E5%85%83%E5%B8%9D%E5%BB%9F%20%E9%AB%98%E9%9B%84%E5%B8%82%20%E5%B7%A6%E7%87%9F%E5%8D%80</x:v>
      </x:c>
      <x:c r="W99" s="34" t="str">
        <x:v>https://www.google.com/maps?q=22.683250,120.294652</x:v>
      </x:c>
      <x:c r="X99" s="34" t="str">
        <x:v>Google Maps POI 主定位＋政府宗教資料／官方廟方資料交叉整理</x:v>
      </x:c>
      <x:c r="Y99" s="34" t="str">
        <x:v>2026-07-13</x:v>
      </x:c>
      <x:c r="Z99" s="34" t="str">
        <x:v>V4-宮廟知名地點池</x:v>
      </x:c>
      <x:c r="AA99" s="34" t="str">
        <x:v>以正式廟名、所在縣市與 Google Maps POI 區分同名宮廟。</x:v>
      </x:c>
      <x:c r="AB99" s="34" t="str">
        <x:v>正式上線前點開 Google Maps 連結，確認主入口、廟埕與任務圓心沒有落在後殿、停車場或山區道路。</x:v>
      </x:c>
    </x:row>
    <x:row r="100">
      <x:c r="A100" s="34" t="n">
        <x:v>99</x:v>
      </x:c>
      <x:c r="B100" s="34" t="str">
        <x:v>DOR-KHH-M005</x:v>
      </x:c>
      <x:c r="C100" s="34" t="str">
        <x:v>高雄市</x:v>
      </x:c>
      <x:c r="D100" s="34" t="str">
        <x:v>旗津區</x:v>
      </x:c>
      <x:c r="E100" s="34" t="str">
        <x:v>媽祖廟／古蹟</x:v>
      </x:c>
      <x:c r="F100" s="34" t="str">
        <x:v>旗津天后宮</x:v>
      </x:c>
      <x:c r="G100" s="34" t="str">
        <x:v>主要入口／廟埕代表點</x:v>
      </x:c>
      <x:c r="H100" s="38" t="n">
        <x:v>22.613206</x:v>
      </x:c>
      <x:c r="I100" s="38" t="n">
        <x:v>120.268448</x:v>
      </x:c>
      <x:c r="J100" s="42" t="n">
        <x:v>5</x:v>
      </x:c>
      <x:c r="K100" s="34" t="str">
        <x:v>★★★★★</x:v>
      </x:c>
      <x:c r="L100" s="34" t="str">
        <x:v>全國級</x:v>
      </x:c>
      <x:c r="M100" s="34" t="str">
        <x:v>天上聖母</x:v>
      </x:c>
      <x:c r="N100" s="34" t="str">
        <x:v>高雄歷史悠久媽祖廟，可串聯渡輪、老街與海岸。</x:v>
      </x:c>
      <x:c r="O100" s="34" t="str">
        <x:v>文化主線任務｜完成正門打卡、代表建築拍照與周邊街區散步，解鎖宮廟文化徽章。</x:v>
      </x:c>
      <x:c r="P100" s="34" t="str">
        <x:v>宗教場所通常對外開放；祭典、法會、整修或人流管制請依廟方與 Google Maps 最新公告。</x:v>
      </x:c>
      <x:c r="Q100" s="42" t="n">
        <x:v>55</x:v>
      </x:c>
      <x:c r="R100" s="34" t="str">
        <x:v>A</x:v>
      </x:c>
      <x:c r="S100" s="34" t="str">
        <x:v>Google Maps POI 圖釘；以廟埕或主要入口作為任務代表點</x:v>
      </x:c>
      <x:c r="T100" s="34" t="str">
        <x:v>宮廟／宗教文化</x:v>
      </x:c>
      <x:c r="U100" s="34" t="str">
        <x:v>高雄市旗津區廟前路93號</x:v>
      </x:c>
      <x:c r="V100" s="34" t="str">
        <x:v>https://www.google.com/maps/search/?api=1&amp;query=%E6%97%97%E6%B4%A5%E5%A4%A9%E5%90%8E%E5%AE%AE%20%E9%AB%98%E9%9B%84%E5%B8%82%20%E6%97%97%E6%B4%A5%E5%8D%80</x:v>
      </x:c>
      <x:c r="W100" s="34" t="str">
        <x:v>https://www.google.com/maps?q=22.613206,120.268448</x:v>
      </x:c>
      <x:c r="X100" s="34" t="str">
        <x:v>Google Maps POI 主定位＋政府宗教資料／官方廟方資料交叉整理</x:v>
      </x:c>
      <x:c r="Y100" s="34" t="str">
        <x:v>2026-07-13</x:v>
      </x:c>
      <x:c r="Z100" s="34" t="str">
        <x:v>V4-宮廟知名地點池</x:v>
      </x:c>
      <x:c r="AA100" s="34" t="str">
        <x:v>以正式廟名、所在縣市與 Google Maps POI 區分同名宮廟。</x:v>
      </x:c>
      <x:c r="AB100" s="34" t="str">
        <x:v>正式上線前點開 Google Maps 連結，確認主入口、廟埕與任務圓心沒有落在後殿、停車場或山區道路。</x:v>
      </x:c>
    </x:row>
    <x:row r="101">
      <x:c r="A101" s="34" t="n">
        <x:v>100</x:v>
      </x:c>
      <x:c r="B101" s="34" t="str">
        <x:v>DOR-KHH-M006</x:v>
      </x:c>
      <x:c r="C101" s="34" t="str">
        <x:v>高雄市</x:v>
      </x:c>
      <x:c r="D101" s="34" t="str">
        <x:v>旗山區</x:v>
      </x:c>
      <x:c r="E101" s="34" t="str">
        <x:v>媽祖廟／古蹟</x:v>
      </x:c>
      <x:c r="F101" s="34" t="str">
        <x:v>旗山天后宮</x:v>
      </x:c>
      <x:c r="G101" s="34" t="str">
        <x:v>主要入口／廟埕代表點</x:v>
      </x:c>
      <x:c r="H101" s="38" t="n">
        <x:v>22.888217</x:v>
      </x:c>
      <x:c r="I101" s="38" t="n">
        <x:v>120.481342</x:v>
      </x:c>
      <x:c r="J101" s="42" t="n">
        <x:v>4</x:v>
      </x:c>
      <x:c r="K101" s="34" t="str">
        <x:v>★★★★☆</x:v>
      </x:c>
      <x:c r="L101" s="34" t="str">
        <x:v>區域代表級</x:v>
      </x:c>
      <x:c r="M101" s="34" t="str">
        <x:v>天上聖母</x:v>
      </x:c>
      <x:c r="N101" s="34" t="str">
        <x:v>旗山老街重要信仰中心，適合小鎮文化散步。</x:v>
      </x:c>
      <x:c r="O101" s="34" t="str">
        <x:v>文化探索任務｜完成廟埕打卡，沿周邊老街、聚落或生活圈步行探索。</x:v>
      </x:c>
      <x:c r="P101" s="34" t="str">
        <x:v>宗教場所通常對外開放；祭典、法會、整修或人流管制請依廟方與 Google Maps 最新公告。</x:v>
      </x:c>
      <x:c r="Q101" s="42" t="n">
        <x:v>55</x:v>
      </x:c>
      <x:c r="R101" s="34" t="str">
        <x:v>A</x:v>
      </x:c>
      <x:c r="S101" s="34" t="str">
        <x:v>Google Maps POI 圖釘；以廟埕或主要入口作為任務代表點</x:v>
      </x:c>
      <x:c r="T101" s="34" t="str">
        <x:v>宮廟／宗教文化</x:v>
      </x:c>
      <x:c r="U101" s="34" t="str">
        <x:v>高雄市旗山區永福街23巷16號</x:v>
      </x:c>
      <x:c r="V101" s="34" t="str">
        <x:v>https://www.google.com/maps/search/?api=1&amp;query=%E6%97%97%E5%B1%B1%E5%A4%A9%E5%90%8E%E5%AE%AE%20%E9%AB%98%E9%9B%84%E5%B8%82%20%E6%97%97%E5%B1%B1%E5%8D%80</x:v>
      </x:c>
      <x:c r="W101" s="34" t="str">
        <x:v>https://www.google.com/maps?q=22.888217,120.481342</x:v>
      </x:c>
      <x:c r="X101" s="34" t="str">
        <x:v>Google Maps POI 主定位＋政府宗教資料／官方廟方資料交叉整理</x:v>
      </x:c>
      <x:c r="Y101" s="34" t="str">
        <x:v>2026-07-13</x:v>
      </x:c>
      <x:c r="Z101" s="34" t="str">
        <x:v>V4-宮廟知名地點池</x:v>
      </x:c>
      <x:c r="AA101" s="34" t="str">
        <x:v>以正式廟名、所在縣市與 Google Maps POI 區分同名宮廟。</x:v>
      </x:c>
      <x:c r="AB101" s="34" t="str">
        <x:v>正式上線前點開 Google Maps 連結，確認主入口、廟埕與任務圓心沒有落在後殿、停車場或山區道路。</x:v>
      </x:c>
    </x:row>
    <x:row r="102">
      <x:c r="A102" s="34" t="n">
        <x:v>101</x:v>
      </x:c>
      <x:c r="B102" s="34" t="str">
        <x:v>DOR-KHH-M007</x:v>
      </x:c>
      <x:c r="C102" s="34" t="str">
        <x:v>高雄市</x:v>
      </x:c>
      <x:c r="D102" s="34" t="str">
        <x:v>鳳山區</x:v>
      </x:c>
      <x:c r="E102" s="34" t="str">
        <x:v>龍山寺／古蹟</x:v>
      </x:c>
      <x:c r="F102" s="34" t="str">
        <x:v>鳳山龍山寺</x:v>
      </x:c>
      <x:c r="G102" s="34" t="str">
        <x:v>主要入口／廟埕代表點</x:v>
      </x:c>
      <x:c r="H102" s="38" t="n">
        <x:v>22.62577</x:v>
      </x:c>
      <x:c r="I102" s="38" t="n">
        <x:v>120.356089</x:v>
      </x:c>
      <x:c r="J102" s="42" t="n">
        <x:v>4</x:v>
      </x:c>
      <x:c r="K102" s="34" t="str">
        <x:v>★★★★☆</x:v>
      </x:c>
      <x:c r="L102" s="34" t="str">
        <x:v>區域代表級</x:v>
      </x:c>
      <x:c r="M102" s="34" t="str">
        <x:v>觀世音菩薩</x:v>
      </x:c>
      <x:c r="N102" s="34" t="str">
        <x:v>鳳山舊城重要古寺，可串聯城隍廟與傳統市場。</x:v>
      </x:c>
      <x:c r="O102" s="34" t="str">
        <x:v>文化探索任務｜完成廟埕打卡，沿周邊老街、聚落或生活圈步行探索。</x:v>
      </x:c>
      <x:c r="P102" s="34" t="str">
        <x:v>宗教場所通常對外開放；祭典、法會、整修或人流管制請依廟方與 Google Maps 最新公告。</x:v>
      </x:c>
      <x:c r="Q102" s="42" t="n">
        <x:v>50</x:v>
      </x:c>
      <x:c r="R102" s="34" t="str">
        <x:v>A</x:v>
      </x:c>
      <x:c r="S102" s="34" t="str">
        <x:v>Google Maps POI 圖釘；以廟埕或主要入口作為任務代表點</x:v>
      </x:c>
      <x:c r="T102" s="34" t="str">
        <x:v>宮廟／宗教文化</x:v>
      </x:c>
      <x:c r="U102" s="34" t="str">
        <x:v>高雄市鳳山區中山路7號</x:v>
      </x:c>
      <x:c r="V102" s="34" t="str">
        <x:v>https://www.google.com/maps/search/?api=1&amp;query=%E9%B3%B3%E5%B1%B1%E9%BE%8D%E5%B1%B1%E5%AF%BA%20%E9%AB%98%E9%9B%84%E5%B8%82%20%E9%B3%B3%E5%B1%B1%E5%8D%80</x:v>
      </x:c>
      <x:c r="W102" s="34" t="str">
        <x:v>https://www.google.com/maps?q=22.625770,120.356089</x:v>
      </x:c>
      <x:c r="X102" s="34" t="str">
        <x:v>Google Maps POI 主定位＋政府宗教資料／官方廟方資料交叉整理</x:v>
      </x:c>
      <x:c r="Y102" s="34" t="str">
        <x:v>2026-07-13</x:v>
      </x:c>
      <x:c r="Z102" s="34" t="str">
        <x:v>V4-宮廟知名地點池</x:v>
      </x:c>
      <x:c r="AA102" s="34" t="str">
        <x:v>以正式廟名、所在縣市與 Google Maps POI 區分同名宮廟。</x:v>
      </x:c>
      <x:c r="AB102" s="34" t="str">
        <x:v>正式上線前點開 Google Maps 連結，確認主入口、廟埕與任務圓心沒有落在後殿、停車場或山區道路。</x:v>
      </x:c>
    </x:row>
    <x:row r="103">
      <x:c r="A103" s="34" t="n">
        <x:v>102</x:v>
      </x:c>
      <x:c r="B103" s="34" t="str">
        <x:v>DOR-KHH-M008</x:v>
      </x:c>
      <x:c r="C103" s="34" t="str">
        <x:v>高雄市</x:v>
      </x:c>
      <x:c r="D103" s="34" t="str">
        <x:v>岡山區</x:v>
      </x:c>
      <x:c r="E103" s="34" t="str">
        <x:v>媽祖廟</x:v>
      </x:c>
      <x:c r="F103" s="34" t="str">
        <x:v>岡山壽天宮</x:v>
      </x:c>
      <x:c r="G103" s="34" t="str">
        <x:v>主要入口／廟埕代表點</x:v>
      </x:c>
      <x:c r="H103" s="38" t="n">
        <x:v>22.794184</x:v>
      </x:c>
      <x:c r="I103" s="38" t="n">
        <x:v>120.295342</x:v>
      </x:c>
      <x:c r="J103" s="42" t="n">
        <x:v>4</x:v>
      </x:c>
      <x:c r="K103" s="34" t="str">
        <x:v>★★★★☆</x:v>
      </x:c>
      <x:c r="L103" s="34" t="str">
        <x:v>區域代表級</x:v>
      </x:c>
      <x:c r="M103" s="34" t="str">
        <x:v>天上聖母</x:v>
      </x:c>
      <x:c r="N103" s="34" t="str">
        <x:v>岡山地方重要媽祖信仰中心，市區可達性高。</x:v>
      </x:c>
      <x:c r="O103" s="34" t="str">
        <x:v>文化探索任務｜完成廟埕打卡，沿周邊老街、聚落或生活圈步行探索。</x:v>
      </x:c>
      <x:c r="P103" s="34" t="str">
        <x:v>宗教場所通常對外開放；祭典、法會、整修或人流管制請依廟方與 Google Maps 最新公告。</x:v>
      </x:c>
      <x:c r="Q103" s="42" t="n">
        <x:v>60</x:v>
      </x:c>
      <x:c r="R103" s="34" t="str">
        <x:v>A</x:v>
      </x:c>
      <x:c r="S103" s="34" t="str">
        <x:v>Google Maps POI 圖釘；以廟埕或主要入口作為任務代表點</x:v>
      </x:c>
      <x:c r="T103" s="34" t="str">
        <x:v>宮廟／宗教文化</x:v>
      </x:c>
      <x:c r="U103" s="34" t="str">
        <x:v>高雄市岡山區公園路40號</x:v>
      </x:c>
      <x:c r="V103" s="34" t="str">
        <x:v>https://www.google.com/maps/search/?api=1&amp;query=%E5%B2%A1%E5%B1%B1%E5%A3%BD%E5%A4%A9%E5%AE%AE%20%E9%AB%98%E9%9B%84%E5%B8%82%20%E5%B2%A1%E5%B1%B1%E5%8D%80</x:v>
      </x:c>
      <x:c r="W103" s="34" t="str">
        <x:v>https://www.google.com/maps?q=22.794184,120.295342</x:v>
      </x:c>
      <x:c r="X103" s="34" t="str">
        <x:v>Google Maps POI 主定位＋政府宗教資料／官方廟方資料交叉整理</x:v>
      </x:c>
      <x:c r="Y103" s="34" t="str">
        <x:v>2026-07-13</x:v>
      </x:c>
      <x:c r="Z103" s="34" t="str">
        <x:v>V4-宮廟知名地點池</x:v>
      </x:c>
      <x:c r="AA103" s="34" t="str">
        <x:v>以正式廟名、所在縣市與 Google Maps POI 區分同名宮廟。</x:v>
      </x:c>
      <x:c r="AB103" s="34" t="str">
        <x:v>正式上線前點開 Google Maps 連結，確認主入口、廟埕與任務圓心沒有落在後殿、停車場或山區道路。</x:v>
      </x:c>
    </x:row>
    <x:row r="104">
      <x:c r="A104" s="34" t="n">
        <x:v>103</x:v>
      </x:c>
      <x:c r="B104" s="34" t="str">
        <x:v>DOR-KHH-M009</x:v>
      </x:c>
      <x:c r="C104" s="34" t="str">
        <x:v>高雄市</x:v>
      </x:c>
      <x:c r="D104" s="34" t="str">
        <x:v>內門區</x:v>
      </x:c>
      <x:c r="E104" s="34" t="str">
        <x:v>觀音寺</x:v>
      </x:c>
      <x:c r="F104" s="34" t="str">
        <x:v>內門紫竹寺</x:v>
      </x:c>
      <x:c r="G104" s="34" t="str">
        <x:v>主要入口／廟埕代表點</x:v>
      </x:c>
      <x:c r="H104" s="38" t="n">
        <x:v>22.948349</x:v>
      </x:c>
      <x:c r="I104" s="38" t="n">
        <x:v>120.467598</x:v>
      </x:c>
      <x:c r="J104" s="42" t="n">
        <x:v>5</x:v>
      </x:c>
      <x:c r="K104" s="34" t="str">
        <x:v>★★★★★</x:v>
      </x:c>
      <x:c r="L104" s="34" t="str">
        <x:v>全國級</x:v>
      </x:c>
      <x:c r="M104" s="34" t="str">
        <x:v>觀世音菩薩</x:v>
      </x:c>
      <x:c r="N104" s="34" t="str">
        <x:v>宋江陣與內門文化重要信仰中心，節慶辨識度高。</x:v>
      </x:c>
      <x:c r="O104" s="34" t="str">
        <x:v>文化主線任務｜完成正門打卡、代表建築拍照與周邊街區散步，解鎖宮廟文化徽章。</x:v>
      </x:c>
      <x:c r="P104" s="34" t="str">
        <x:v>宗教場所通常對外開放；祭典、法會、整修或人流管制請依廟方與 Google Maps 最新公告。</x:v>
      </x:c>
      <x:c r="Q104" s="42" t="n">
        <x:v>70</x:v>
      </x:c>
      <x:c r="R104" s="34" t="str">
        <x:v>A</x:v>
      </x:c>
      <x:c r="S104" s="34" t="str">
        <x:v>Google Maps POI 圖釘；以廟埕或主要入口作為任務代表點</x:v>
      </x:c>
      <x:c r="T104" s="34" t="str">
        <x:v>宮廟／宗教文化</x:v>
      </x:c>
      <x:c r="U104" s="34" t="str">
        <x:v>高雄市內門區中正路115巷18號</x:v>
      </x:c>
      <x:c r="V104" s="34" t="str">
        <x:v>https://www.google.com/maps/search/?api=1&amp;query=%E5%85%A7%E9%96%80%E7%B4%AB%E7%AB%B9%E5%AF%BA%20%E9%AB%98%E9%9B%84%E5%B8%82%20%E5%85%A7%E9%96%80%E5%8D%80</x:v>
      </x:c>
      <x:c r="W104" s="34" t="str">
        <x:v>https://www.google.com/maps?q=22.948349,120.467598</x:v>
      </x:c>
      <x:c r="X104" s="34" t="str">
        <x:v>Google Maps POI 主定位＋政府宗教資料／官方廟方資料交叉整理</x:v>
      </x:c>
      <x:c r="Y104" s="34" t="str">
        <x:v>2026-07-13</x:v>
      </x:c>
      <x:c r="Z104" s="34" t="str">
        <x:v>V4-宮廟知名地點池</x:v>
      </x:c>
      <x:c r="AA104" s="34" t="str">
        <x:v>以正式廟名、所在縣市與 Google Maps POI 區分同名宮廟。</x:v>
      </x:c>
      <x:c r="AB104" s="34" t="str">
        <x:v>正式上線前點開 Google Maps 連結，確認主入口、廟埕與任務圓心沒有落在後殿、停車場或山區道路。</x:v>
      </x:c>
    </x:row>
    <x:row r="105">
      <x:c r="A105" s="34" t="n">
        <x:v>104</x:v>
      </x:c>
      <x:c r="B105" s="34" t="str">
        <x:v>DOR-KHH-M010</x:v>
      </x:c>
      <x:c r="C105" s="34" t="str">
        <x:v>高雄市</x:v>
      </x:c>
      <x:c r="D105" s="34" t="str">
        <x:v>大樹區</x:v>
      </x:c>
      <x:c r="E105" s="34" t="str">
        <x:v>關帝廟</x:v>
      </x:c>
      <x:c r="F105" s="34" t="str">
        <x:v>東照山關帝廟</x:v>
      </x:c>
      <x:c r="G105" s="34" t="str">
        <x:v>主要入口／廟埕代表點</x:v>
      </x:c>
      <x:c r="H105" s="38" t="n">
        <x:v>22.73124</x:v>
      </x:c>
      <x:c r="I105" s="38" t="n">
        <x:v>120.433995</x:v>
      </x:c>
      <x:c r="J105" s="42" t="n">
        <x:v>4</x:v>
      </x:c>
      <x:c r="K105" s="34" t="str">
        <x:v>★★★★☆</x:v>
      </x:c>
      <x:c r="L105" s="34" t="str">
        <x:v>區域代表級</x:v>
      </x:c>
      <x:c r="M105" s="34" t="str">
        <x:v>關聖帝君</x:v>
      </x:c>
      <x:c r="N105" s="34" t="str">
        <x:v>南臺灣知名關帝信仰中心，山區廟宇景觀鮮明。</x:v>
      </x:c>
      <x:c r="O105" s="34" t="str">
        <x:v>文化探索任務｜完成廟埕打卡，沿周邊老街、聚落或生活圈步行探索。</x:v>
      </x:c>
      <x:c r="P105" s="34" t="str">
        <x:v>宗教場所通常對外開放；祭典、法會、整修或人流管制請依廟方與 Google Maps 最新公告。</x:v>
      </x:c>
      <x:c r="Q105" s="42" t="n">
        <x:v>80</x:v>
      </x:c>
      <x:c r="R105" s="34" t="str">
        <x:v>B</x:v>
      </x:c>
      <x:c r="S105" s="34" t="str">
        <x:v>Google Maps POI 圖釘；以廟埕或主要入口作為任務代表點</x:v>
      </x:c>
      <x:c r="T105" s="34" t="str">
        <x:v>宮廟／宗教文化</x:v>
      </x:c>
      <x:c r="U105" s="34" t="str">
        <x:v>高雄市大樹區小坪路1號</x:v>
      </x:c>
      <x:c r="V105" s="34" t="str">
        <x:v>https://www.google.com/maps/search/?api=1&amp;query=%E6%9D%B1%E7%85%A7%E5%B1%B1%E9%97%9C%E5%B8%9D%E5%BB%9F%20%E9%AB%98%E9%9B%84%E5%B8%82%20%E5%A4%A7%E6%A8%B9%E5%8D%80</x:v>
      </x:c>
      <x:c r="W105" s="34" t="str">
        <x:v>https://www.google.com/maps?q=22.731240,120.433995</x:v>
      </x:c>
      <x:c r="X105" s="34" t="str">
        <x:v>Google Maps POI 主定位＋政府宗教資料／官方廟方資料交叉整理</x:v>
      </x:c>
      <x:c r="Y105" s="34" t="str">
        <x:v>2026-07-13</x:v>
      </x:c>
      <x:c r="Z105" s="34" t="str">
        <x:v>V4-宮廟知名地點池</x:v>
      </x:c>
      <x:c r="AA105" s="34" t="str">
        <x:v>以正式廟名、所在縣市與 Google Maps POI 區分同名宮廟。</x:v>
      </x:c>
      <x:c r="AB105" s="34" t="str">
        <x:v>正式上線前點開 Google Maps 連結，確認主入口、廟埕與任務圓心沒有落在後殿、停車場或山區道路。</x:v>
      </x:c>
    </x:row>
    <x:row r="106">
      <x:c r="A106" s="34" t="n">
        <x:v>105</x:v>
      </x:c>
      <x:c r="B106" s="34" t="str">
        <x:v>DOR-PIF-M001</x:v>
      </x:c>
      <x:c r="C106" s="34" t="str">
        <x:v>屏東縣</x:v>
      </x:c>
      <x:c r="D106" s="34" t="str">
        <x:v>東港鎮</x:v>
      </x:c>
      <x:c r="E106" s="34" t="str">
        <x:v>王爺廟</x:v>
      </x:c>
      <x:c r="F106" s="34" t="str">
        <x:v>東港東隆宮</x:v>
      </x:c>
      <x:c r="G106" s="34" t="str">
        <x:v>主要入口／廟埕代表點</x:v>
      </x:c>
      <x:c r="H106" s="38" t="n">
        <x:v>22.465348</x:v>
      </x:c>
      <x:c r="I106" s="38" t="n">
        <x:v>120.449395</x:v>
      </x:c>
      <x:c r="J106" s="42" t="n">
        <x:v>5</x:v>
      </x:c>
      <x:c r="K106" s="34" t="str">
        <x:v>★★★★★</x:v>
      </x:c>
      <x:c r="L106" s="34" t="str">
        <x:v>全國級</x:v>
      </x:c>
      <x:c r="M106" s="34" t="str">
        <x:v>溫府千歲</x:v>
      </x:c>
      <x:c r="N106" s="34" t="str">
        <x:v>迎王平安祭典全臺知名，東港城市品牌核心。</x:v>
      </x:c>
      <x:c r="O106" s="34" t="str">
        <x:v>文化主線任務｜完成正門打卡、代表建築拍照與周邊街區散步，解鎖宮廟文化徽章。</x:v>
      </x:c>
      <x:c r="P106" s="34" t="str">
        <x:v>宗教場所通常對外開放；祭典、法會、整修或人流管制請依廟方與 Google Maps 最新公告。</x:v>
      </x:c>
      <x:c r="Q106" s="42" t="n">
        <x:v>70</x:v>
      </x:c>
      <x:c r="R106" s="34" t="str">
        <x:v>A</x:v>
      </x:c>
      <x:c r="S106" s="34" t="str">
        <x:v>Google Maps POI 圖釘；以廟埕或主要入口作為任務代表點</x:v>
      </x:c>
      <x:c r="T106" s="34" t="str">
        <x:v>宮廟／宗教文化</x:v>
      </x:c>
      <x:c r="U106" s="34" t="str">
        <x:v>屏東縣東港鎮東隆街21之1號</x:v>
      </x:c>
      <x:c r="V106" s="34" t="str">
        <x:v>https://www.google.com/maps/search/?api=1&amp;query=%E6%9D%B1%E6%B8%AF%E6%9D%B1%E9%9A%86%E5%AE%AE%20%E5%B1%8F%E6%9D%B1%E7%B8%A3%20%E6%9D%B1%E6%B8%AF%E9%8E%AE</x:v>
      </x:c>
      <x:c r="W106" s="34" t="str">
        <x:v>https://www.google.com/maps?q=22.465348,120.449395</x:v>
      </x:c>
      <x:c r="X106" s="34" t="str">
        <x:v>Google Maps POI 主定位＋政府宗教資料／官方廟方資料交叉整理</x:v>
      </x:c>
      <x:c r="Y106" s="34" t="str">
        <x:v>2026-07-13</x:v>
      </x:c>
      <x:c r="Z106" s="34" t="str">
        <x:v>V4-宮廟知名地點池</x:v>
      </x:c>
      <x:c r="AA106" s="34" t="str">
        <x:v>以正式廟名、所在縣市與 Google Maps POI 區分同名宮廟。</x:v>
      </x:c>
      <x:c r="AB106" s="34" t="str">
        <x:v>正式上線前點開 Google Maps 連結，確認主入口、廟埕與任務圓心沒有落在後殿、停車場或山區道路。</x:v>
      </x:c>
    </x:row>
    <x:row r="107">
      <x:c r="A107" s="34" t="n">
        <x:v>106</x:v>
      </x:c>
      <x:c r="B107" s="34" t="str">
        <x:v>DOR-PIF-M002</x:v>
      </x:c>
      <x:c r="C107" s="34" t="str">
        <x:v>屏東縣</x:v>
      </x:c>
      <x:c r="D107" s="34" t="str">
        <x:v>車城鄉</x:v>
      </x:c>
      <x:c r="E107" s="34" t="str">
        <x:v>土地公廟</x:v>
      </x:c>
      <x:c r="F107" s="34" t="str">
        <x:v>車城福安宮</x:v>
      </x:c>
      <x:c r="G107" s="34" t="str">
        <x:v>主要入口／廟埕代表點</x:v>
      </x:c>
      <x:c r="H107" s="38" t="n">
        <x:v>22.071111</x:v>
      </x:c>
      <x:c r="I107" s="38" t="n">
        <x:v>120.713259</x:v>
      </x:c>
      <x:c r="J107" s="42" t="n">
        <x:v>5</x:v>
      </x:c>
      <x:c r="K107" s="34" t="str">
        <x:v>★★★★★</x:v>
      </x:c>
      <x:c r="L107" s="34" t="str">
        <x:v>全國級</x:v>
      </x:c>
      <x:c r="M107" s="34" t="str">
        <x:v>福德正神</x:v>
      </x:c>
      <x:c r="N107" s="34" t="str">
        <x:v>全臺大型土地公廟之一，恆春半島代表性祈福地標。</x:v>
      </x:c>
      <x:c r="O107" s="34" t="str">
        <x:v>日常祈福散步｜步行抵達廟埕完成打卡，繞行周邊街區或步道 500 公尺。</x:v>
      </x:c>
      <x:c r="P107" s="34" t="str">
        <x:v>宗教場所通常對外開放；祭典、法會、整修或人流管制請依廟方與 Google Maps 最新公告。</x:v>
      </x:c>
      <x:c r="Q107" s="42" t="n">
        <x:v>75</x:v>
      </x:c>
      <x:c r="R107" s="34" t="str">
        <x:v>A</x:v>
      </x:c>
      <x:c r="S107" s="34" t="str">
        <x:v>Google Maps POI 圖釘；以廟埕或主要入口作為任務代表點</x:v>
      </x:c>
      <x:c r="T107" s="34" t="str">
        <x:v>宮廟／宗教文化</x:v>
      </x:c>
      <x:c r="U107" s="34" t="str">
        <x:v>屏東縣車城鄉福安路51號</x:v>
      </x:c>
      <x:c r="V107" s="34" t="str">
        <x:v>https://www.google.com/maps/search/?api=1&amp;query=%E8%BB%8A%E5%9F%8E%E7%A6%8F%E5%AE%89%E5%AE%AE%20%E5%B1%8F%E6%9D%B1%E7%B8%A3%20%E8%BB%8A%E5%9F%8E%E9%84%89</x:v>
      </x:c>
      <x:c r="W107" s="34" t="str">
        <x:v>https://www.google.com/maps?q=22.071111,120.713259</x:v>
      </x:c>
      <x:c r="X107" s="34" t="str">
        <x:v>Google Maps POI 主定位＋政府宗教資料／官方廟方資料交叉整理</x:v>
      </x:c>
      <x:c r="Y107" s="34" t="str">
        <x:v>2026-07-13</x:v>
      </x:c>
      <x:c r="Z107" s="34" t="str">
        <x:v>V4-宮廟知名地點池</x:v>
      </x:c>
      <x:c r="AA107" s="34" t="str">
        <x:v>以正式廟名、所在縣市與 Google Maps POI 區分同名宮廟。</x:v>
      </x:c>
      <x:c r="AB107" s="34" t="str">
        <x:v>正式上線前點開 Google Maps 連結，確認主入口、廟埕與任務圓心沒有落在後殿、停車場或山區道路。</x:v>
      </x:c>
    </x:row>
    <x:row r="108">
      <x:c r="A108" s="34" t="n">
        <x:v>107</x:v>
      </x:c>
      <x:c r="B108" s="34" t="str">
        <x:v>DOR-PIF-M003</x:v>
      </x:c>
      <x:c r="C108" s="34" t="str">
        <x:v>屏東縣</x:v>
      </x:c>
      <x:c r="D108" s="34" t="str">
        <x:v>恆春鎮</x:v>
      </x:c>
      <x:c r="E108" s="34" t="str">
        <x:v>媽祖廟／古蹟</x:v>
      </x:c>
      <x:c r="F108" s="34" t="str">
        <x:v>恆春天后宮</x:v>
      </x:c>
      <x:c r="G108" s="34" t="str">
        <x:v>主要入口／廟埕代表點</x:v>
      </x:c>
      <x:c r="H108" s="38" t="n">
        <x:v>22.004928</x:v>
      </x:c>
      <x:c r="I108" s="38" t="n">
        <x:v>120.743475</x:v>
      </x:c>
      <x:c r="J108" s="42" t="n">
        <x:v>4</x:v>
      </x:c>
      <x:c r="K108" s="34" t="str">
        <x:v>★★★★☆</x:v>
      </x:c>
      <x:c r="L108" s="34" t="str">
        <x:v>區域代表級</x:v>
      </x:c>
      <x:c r="M108" s="34" t="str">
        <x:v>天上聖母</x:v>
      </x:c>
      <x:c r="N108" s="34" t="str">
        <x:v>恆春古城生活圈重要信仰中心，適合古城散步。</x:v>
      </x:c>
      <x:c r="O108" s="34" t="str">
        <x:v>文化探索任務｜完成廟埕打卡，沿周邊老街、聚落或生活圈步行探索。</x:v>
      </x:c>
      <x:c r="P108" s="34" t="str">
        <x:v>宗教場所通常對外開放；祭典、法會、整修或人流管制請依廟方與 Google Maps 最新公告。</x:v>
      </x:c>
      <x:c r="Q108" s="42" t="n">
        <x:v>50</x:v>
      </x:c>
      <x:c r="R108" s="34" t="str">
        <x:v>A</x:v>
      </x:c>
      <x:c r="S108" s="34" t="str">
        <x:v>Google Maps POI 圖釘；以廟埕或主要入口作為任務代表點</x:v>
      </x:c>
      <x:c r="T108" s="34" t="str">
        <x:v>宮廟／宗教文化</x:v>
      </x:c>
      <x:c r="U108" s="34" t="str">
        <x:v>屏東縣恆春鎮福德路126號</x:v>
      </x:c>
      <x:c r="V108" s="34" t="str">
        <x:v>https://www.google.com/maps/search/?api=1&amp;query=%E6%81%86%E6%98%A5%E5%A4%A9%E5%90%8E%E5%AE%AE%20%E5%B1%8F%E6%9D%B1%E7%B8%A3%20%E6%81%86%E6%98%A5%E9%8E%AE</x:v>
      </x:c>
      <x:c r="W108" s="34" t="str">
        <x:v>https://www.google.com/maps?q=22.004928,120.743475</x:v>
      </x:c>
      <x:c r="X108" s="34" t="str">
        <x:v>Google Maps POI 主定位＋政府宗教資料／官方廟方資料交叉整理</x:v>
      </x:c>
      <x:c r="Y108" s="34" t="str">
        <x:v>2026-07-13</x:v>
      </x:c>
      <x:c r="Z108" s="34" t="str">
        <x:v>V4-宮廟知名地點池</x:v>
      </x:c>
      <x:c r="AA108" s="34" t="str">
        <x:v>以正式廟名、所在縣市與 Google Maps POI 區分同名宮廟。</x:v>
      </x:c>
      <x:c r="AB108" s="34" t="str">
        <x:v>正式上線前點開 Google Maps 連結，確認主入口、廟埕與任務圓心沒有落在後殿、停車場或山區道路。</x:v>
      </x:c>
    </x:row>
    <x:row r="109">
      <x:c r="A109" s="34" t="n">
        <x:v>108</x:v>
      </x:c>
      <x:c r="B109" s="34" t="str">
        <x:v>DOR-PIF-M004</x:v>
      </x:c>
      <x:c r="C109" s="34" t="str">
        <x:v>屏東縣</x:v>
      </x:c>
      <x:c r="D109" s="34" t="str">
        <x:v>屏東市</x:v>
      </x:c>
      <x:c r="E109" s="34" t="str">
        <x:v>媽祖廟</x:v>
      </x:c>
      <x:c r="F109" s="34" t="str">
        <x:v>屏東慈鳳宮</x:v>
      </x:c>
      <x:c r="G109" s="34" t="str">
        <x:v>主要入口／廟埕代表點</x:v>
      </x:c>
      <x:c r="H109" s="38" t="n">
        <x:v>22.671261</x:v>
      </x:c>
      <x:c r="I109" s="38" t="n">
        <x:v>120.488662</x:v>
      </x:c>
      <x:c r="J109" s="42" t="n">
        <x:v>4</x:v>
      </x:c>
      <x:c r="K109" s="34" t="str">
        <x:v>★★★★☆</x:v>
      </x:c>
      <x:c r="L109" s="34" t="str">
        <x:v>區域代表級</x:v>
      </x:c>
      <x:c r="M109" s="34" t="str">
        <x:v>天上聖母</x:v>
      </x:c>
      <x:c r="N109" s="34" t="str">
        <x:v>屏東市核心媽祖廟，鄰近車站與市區商圈。</x:v>
      </x:c>
      <x:c r="O109" s="34" t="str">
        <x:v>文化探索任務｜完成廟埕打卡，沿周邊老街、聚落或生活圈步行探索。</x:v>
      </x:c>
      <x:c r="P109" s="34" t="str">
        <x:v>宗教場所通常對外開放；祭典、法會、整修或人流管制請依廟方與 Google Maps 最新公告。</x:v>
      </x:c>
      <x:c r="Q109" s="42" t="n">
        <x:v>55</x:v>
      </x:c>
      <x:c r="R109" s="34" t="str">
        <x:v>A</x:v>
      </x:c>
      <x:c r="S109" s="34" t="str">
        <x:v>Google Maps POI 圖釘；以廟埕或主要入口作為任務代表點</x:v>
      </x:c>
      <x:c r="T109" s="34" t="str">
        <x:v>宮廟／宗教文化</x:v>
      </x:c>
      <x:c r="U109" s="34" t="str">
        <x:v>屏東縣屏東市中山路39號</x:v>
      </x:c>
      <x:c r="V109" s="34" t="str">
        <x:v>https://www.google.com/maps/search/?api=1&amp;query=%E5%B1%8F%E6%9D%B1%E6%85%88%E9%B3%B3%E5%AE%AE%20%E5%B1%8F%E6%9D%B1%E7%B8%A3%20%E5%B1%8F%E6%9D%B1%E5%B8%82</x:v>
      </x:c>
      <x:c r="W109" s="34" t="str">
        <x:v>https://www.google.com/maps?q=22.671261,120.488662</x:v>
      </x:c>
      <x:c r="X109" s="34" t="str">
        <x:v>Google Maps POI 主定位＋政府宗教資料／官方廟方資料交叉整理</x:v>
      </x:c>
      <x:c r="Y109" s="34" t="str">
        <x:v>2026-07-13</x:v>
      </x:c>
      <x:c r="Z109" s="34" t="str">
        <x:v>V4-宮廟知名地點池</x:v>
      </x:c>
      <x:c r="AA109" s="34" t="str">
        <x:v>以正式廟名、所在縣市與 Google Maps POI 區分同名宮廟。</x:v>
      </x:c>
      <x:c r="AB109" s="34" t="str">
        <x:v>正式上線前點開 Google Maps 連結，確認主入口、廟埕與任務圓心沒有落在後殿、停車場或山區道路。</x:v>
      </x:c>
    </x:row>
    <x:row r="110">
      <x:c r="A110" s="34" t="n">
        <x:v>109</x:v>
      </x:c>
      <x:c r="B110" s="34" t="str">
        <x:v>DOR-PIF-M005</x:v>
      </x:c>
      <x:c r="C110" s="34" t="str">
        <x:v>屏東縣</x:v>
      </x:c>
      <x:c r="D110" s="34" t="str">
        <x:v>萬丹鄉</x:v>
      </x:c>
      <x:c r="E110" s="34" t="str">
        <x:v>媽祖廟</x:v>
      </x:c>
      <x:c r="F110" s="34" t="str">
        <x:v>萬丹萬惠宮</x:v>
      </x:c>
      <x:c r="G110" s="34" t="str">
        <x:v>主要入口／廟埕代表點</x:v>
      </x:c>
      <x:c r="H110" s="38" t="n">
        <x:v>22.589377</x:v>
      </x:c>
      <x:c r="I110" s="38" t="n">
        <x:v>120.489925</x:v>
      </x:c>
      <x:c r="J110" s="42" t="n">
        <x:v>4</x:v>
      </x:c>
      <x:c r="K110" s="34" t="str">
        <x:v>★★★★☆</x:v>
      </x:c>
      <x:c r="L110" s="34" t="str">
        <x:v>區域代表級</x:v>
      </x:c>
      <x:c r="M110" s="34" t="str">
        <x:v>天上聖母</x:v>
      </x:c>
      <x:c r="N110" s="34" t="str">
        <x:v>萬丹地區代表性媽祖信仰中心。</x:v>
      </x:c>
      <x:c r="O110" s="34" t="str">
        <x:v>文化探索任務｜完成廟埕打卡，沿周邊老街、聚落或生活圈步行探索。</x:v>
      </x:c>
      <x:c r="P110" s="34" t="str">
        <x:v>宗教場所通常對外開放；祭典、法會、整修或人流管制請依廟方與 Google Maps 最新公告。</x:v>
      </x:c>
      <x:c r="Q110" s="42" t="n">
        <x:v>55</x:v>
      </x:c>
      <x:c r="R110" s="34" t="str">
        <x:v>A</x:v>
      </x:c>
      <x:c r="S110" s="34" t="str">
        <x:v>Google Maps POI 圖釘；以廟埕或主要入口作為任務代表點</x:v>
      </x:c>
      <x:c r="T110" s="34" t="str">
        <x:v>宮廟／宗教文化</x:v>
      </x:c>
      <x:c r="U110" s="34" t="str">
        <x:v>屏東縣萬丹鄉萬新路1660號</x:v>
      </x:c>
      <x:c r="V110" s="34" t="str">
        <x:v>https://www.google.com/maps/search/?api=1&amp;query=%E8%90%AC%E4%B8%B9%E8%90%AC%E6%83%A0%E5%AE%AE%20%E5%B1%8F%E6%9D%B1%E7%B8%A3%20%E8%90%AC%E4%B8%B9%E9%84%89</x:v>
      </x:c>
      <x:c r="W110" s="34" t="str">
        <x:v>https://www.google.com/maps?q=22.589377,120.489925</x:v>
      </x:c>
      <x:c r="X110" s="34" t="str">
        <x:v>Google Maps POI 主定位＋政府宗教資料／官方廟方資料交叉整理</x:v>
      </x:c>
      <x:c r="Y110" s="34" t="str">
        <x:v>2026-07-13</x:v>
      </x:c>
      <x:c r="Z110" s="34" t="str">
        <x:v>V4-宮廟知名地點池</x:v>
      </x:c>
      <x:c r="AA110" s="34" t="str">
        <x:v>以正式廟名、所在縣市與 Google Maps POI 區分同名宮廟。</x:v>
      </x:c>
      <x:c r="AB110" s="34" t="str">
        <x:v>正式上線前點開 Google Maps 連結，確認主入口、廟埕與任務圓心沒有落在後殿、停車場或山區道路。</x:v>
      </x:c>
    </x:row>
    <x:row r="111">
      <x:c r="A111" s="34" t="n">
        <x:v>110</x:v>
      </x:c>
      <x:c r="B111" s="34" t="str">
        <x:v>DOR-PIF-M006</x:v>
      </x:c>
      <x:c r="C111" s="34" t="str">
        <x:v>屏東縣</x:v>
      </x:c>
      <x:c r="D111" s="34" t="str">
        <x:v>里港鄉</x:v>
      </x:c>
      <x:c r="E111" s="34" t="str">
        <x:v>媽祖廟</x:v>
      </x:c>
      <x:c r="F111" s="34" t="str">
        <x:v>里港雙慈宮</x:v>
      </x:c>
      <x:c r="G111" s="34" t="str">
        <x:v>主要入口／廟埕代表點</x:v>
      </x:c>
      <x:c r="H111" s="38" t="n">
        <x:v>22.776148</x:v>
      </x:c>
      <x:c r="I111" s="38" t="n">
        <x:v>120.495497</x:v>
      </x:c>
      <x:c r="J111" s="42" t="n">
        <x:v>4</x:v>
      </x:c>
      <x:c r="K111" s="34" t="str">
        <x:v>★★★★☆</x:v>
      </x:c>
      <x:c r="L111" s="34" t="str">
        <x:v>區域代表級</x:v>
      </x:c>
      <x:c r="M111" s="34" t="str">
        <x:v>天上聖母</x:v>
      </x:c>
      <x:c r="N111" s="34" t="str">
        <x:v>里港老街與地方信仰核心，適合聚落散步。</x:v>
      </x:c>
      <x:c r="O111" s="34" t="str">
        <x:v>文化探索任務｜完成廟埕打卡，沿周邊老街、聚落或生活圈步行探索。</x:v>
      </x:c>
      <x:c r="P111" s="34" t="str">
        <x:v>宗教場所通常對外開放；祭典、法會、整修或人流管制請依廟方與 Google Maps 最新公告。</x:v>
      </x:c>
      <x:c r="Q111" s="42" t="n">
        <x:v>55</x:v>
      </x:c>
      <x:c r="R111" s="34" t="str">
        <x:v>A</x:v>
      </x:c>
      <x:c r="S111" s="34" t="str">
        <x:v>Google Maps POI 圖釘；以廟埕或主要入口作為任務代表點</x:v>
      </x:c>
      <x:c r="T111" s="34" t="str">
        <x:v>宮廟／宗教文化</x:v>
      </x:c>
      <x:c r="U111" s="34" t="str">
        <x:v>屏東縣里港鄉大平路50號</x:v>
      </x:c>
      <x:c r="V111" s="34" t="str">
        <x:v>https://www.google.com/maps/search/?api=1&amp;query=%E9%87%8C%E6%B8%AF%E9%9B%99%E6%85%88%E5%AE%AE%20%E5%B1%8F%E6%9D%B1%E7%B8%A3%20%E9%87%8C%E6%B8%AF%E9%84%89</x:v>
      </x:c>
      <x:c r="W111" s="34" t="str">
        <x:v>https://www.google.com/maps?q=22.776148,120.495497</x:v>
      </x:c>
      <x:c r="X111" s="34" t="str">
        <x:v>Google Maps POI 主定位＋政府宗教資料／官方廟方資料交叉整理</x:v>
      </x:c>
      <x:c r="Y111" s="34" t="str">
        <x:v>2026-07-13</x:v>
      </x:c>
      <x:c r="Z111" s="34" t="str">
        <x:v>V4-宮廟知名地點池</x:v>
      </x:c>
      <x:c r="AA111" s="34" t="str">
        <x:v>以正式廟名、所在縣市與 Google Maps POI 區分同名宮廟。</x:v>
      </x:c>
      <x:c r="AB111" s="34" t="str">
        <x:v>正式上線前點開 Google Maps 連結，確認主入口、廟埕與任務圓心沒有落在後殿、停車場或山區道路。</x:v>
      </x:c>
    </x:row>
    <x:row r="112">
      <x:c r="A112" s="34" t="n">
        <x:v>111</x:v>
      </x:c>
      <x:c r="B112" s="34" t="str">
        <x:v>DOR-PIF-M007</x:v>
      </x:c>
      <x:c r="C112" s="34" t="str">
        <x:v>屏東縣</x:v>
      </x:c>
      <x:c r="D112" s="34" t="str">
        <x:v>九如鄉</x:v>
      </x:c>
      <x:c r="E112" s="34" t="str">
        <x:v>三山國王廟／古蹟</x:v>
      </x:c>
      <x:c r="F112" s="34" t="str">
        <x:v>九如三山國王廟</x:v>
      </x:c>
      <x:c r="G112" s="34" t="str">
        <x:v>主要入口／廟埕代表點</x:v>
      </x:c>
      <x:c r="H112" s="38" t="n">
        <x:v>22.731311</x:v>
      </x:c>
      <x:c r="I112" s="38" t="n">
        <x:v>120.489787</x:v>
      </x:c>
      <x:c r="J112" s="42" t="n">
        <x:v>4</x:v>
      </x:c>
      <x:c r="K112" s="34" t="str">
        <x:v>★★★★☆</x:v>
      </x:c>
      <x:c r="L112" s="34" t="str">
        <x:v>區域代表級</x:v>
      </x:c>
      <x:c r="M112" s="34" t="str">
        <x:v>三山國王</x:v>
      </x:c>
      <x:c r="N112" s="34" t="str">
        <x:v>南臺灣客家與潮州信仰重要地標。</x:v>
      </x:c>
      <x:c r="O112" s="34" t="str">
        <x:v>文化探索任務｜完成廟埕打卡，沿周邊老街、聚落或生活圈步行探索。</x:v>
      </x:c>
      <x:c r="P112" s="34" t="str">
        <x:v>宗教場所通常對外開放；祭典、法會、整修或人流管制請依廟方與 Google Maps 最新公告。</x:v>
      </x:c>
      <x:c r="Q112" s="42" t="n">
        <x:v>55</x:v>
      </x:c>
      <x:c r="R112" s="34" t="str">
        <x:v>A</x:v>
      </x:c>
      <x:c r="S112" s="34" t="str">
        <x:v>Google Maps POI 圖釘；以廟埕或主要入口作為任務代表點</x:v>
      </x:c>
      <x:c r="T112" s="34" t="str">
        <x:v>宮廟／宗教文化</x:v>
      </x:c>
      <x:c r="U112" s="34" t="str">
        <x:v>屏東縣九如鄉九如路二段174號</x:v>
      </x:c>
      <x:c r="V112" s="34" t="str">
        <x:v>https://www.google.com/maps/search/?api=1&amp;query=%E4%B9%9D%E5%A6%82%E4%B8%89%E5%B1%B1%E5%9C%8B%E7%8E%8B%E5%BB%9F%20%E5%B1%8F%E6%9D%B1%E7%B8%A3%20%E4%B9%9D%E5%A6%82%E9%84%89</x:v>
      </x:c>
      <x:c r="W112" s="34" t="str">
        <x:v>https://www.google.com/maps?q=22.731311,120.489787</x:v>
      </x:c>
      <x:c r="X112" s="34" t="str">
        <x:v>Google Maps POI 主定位＋政府宗教資料／官方廟方資料交叉整理</x:v>
      </x:c>
      <x:c r="Y112" s="34" t="str">
        <x:v>2026-07-13</x:v>
      </x:c>
      <x:c r="Z112" s="34" t="str">
        <x:v>V4-宮廟知名地點池</x:v>
      </x:c>
      <x:c r="AA112" s="34" t="str">
        <x:v>以正式廟名、所在縣市與 Google Maps POI 區分同名宮廟。</x:v>
      </x:c>
      <x:c r="AB112" s="34" t="str">
        <x:v>正式上線前點開 Google Maps 連結，確認主入口、廟埕與任務圓心沒有落在後殿、停車場或山區道路。</x:v>
      </x:c>
    </x:row>
    <x:row r="113">
      <x:c r="A113" s="34" t="n">
        <x:v>112</x:v>
      </x:c>
      <x:c r="B113" s="34" t="str">
        <x:v>DOR-PIF-M008</x:v>
      </x:c>
      <x:c r="C113" s="34" t="str">
        <x:v>屏東縣</x:v>
      </x:c>
      <x:c r="D113" s="34" t="str">
        <x:v>內埔鄉</x:v>
      </x:c>
      <x:c r="E113" s="34" t="str">
        <x:v>忠義祠／古蹟</x:v>
      </x:c>
      <x:c r="F113" s="34" t="str">
        <x:v>六堆忠義祠</x:v>
      </x:c>
      <x:c r="G113" s="34" t="str">
        <x:v>主要入口／廟埕代表點</x:v>
      </x:c>
      <x:c r="H113" s="38" t="n">
        <x:v>22.636779</x:v>
      </x:c>
      <x:c r="I113" s="38" t="n">
        <x:v>120.568863</x:v>
      </x:c>
      <x:c r="J113" s="42" t="n">
        <x:v>5</x:v>
      </x:c>
      <x:c r="K113" s="34" t="str">
        <x:v>★★★★★</x:v>
      </x:c>
      <x:c r="L113" s="34" t="str">
        <x:v>全國級</x:v>
      </x:c>
      <x:c r="M113" s="34" t="str">
        <x:v>忠勇公</x:v>
      </x:c>
      <x:c r="N113" s="34" t="str">
        <x:v>六堆客家精神象徵，歷史文化與聚落探索價值高。</x:v>
      </x:c>
      <x:c r="O113" s="34" t="str">
        <x:v>文化主線任務｜完成正門打卡、代表建築拍照與周邊街區散步，解鎖宮廟文化徽章。</x:v>
      </x:c>
      <x:c r="P113" s="34" t="str">
        <x:v>宗教場所通常對外開放；祭典、法會、整修或人流管制請依廟方與 Google Maps 最新公告。</x:v>
      </x:c>
      <x:c r="Q113" s="42" t="n">
        <x:v>60</x:v>
      </x:c>
      <x:c r="R113" s="34" t="str">
        <x:v>A</x:v>
      </x:c>
      <x:c r="S113" s="34" t="str">
        <x:v>Google Maps POI 圖釘；以廟埕或主要入口作為任務代表點</x:v>
      </x:c>
      <x:c r="T113" s="34" t="str">
        <x:v>宮廟／宗教文化</x:v>
      </x:c>
      <x:c r="U113" s="34" t="str">
        <x:v>屏東縣內埔鄉廣濟路164號</x:v>
      </x:c>
      <x:c r="V113" s="34" t="str">
        <x:v>https://www.google.com/maps/search/?api=1&amp;query=%E5%85%AD%E5%A0%86%E5%BF%A0%E7%BE%A9%E7%A5%A0%20%E5%B1%8F%E6%9D%B1%E7%B8%A3%20%E5%85%A7%E5%9F%94%E9%84%89</x:v>
      </x:c>
      <x:c r="W113" s="34" t="str">
        <x:v>https://www.google.com/maps?q=22.636779,120.568863</x:v>
      </x:c>
      <x:c r="X113" s="34" t="str">
        <x:v>Google Maps POI 主定位＋政府宗教資料／官方廟方資料交叉整理</x:v>
      </x:c>
      <x:c r="Y113" s="34" t="str">
        <x:v>2026-07-13</x:v>
      </x:c>
      <x:c r="Z113" s="34" t="str">
        <x:v>V4-宮廟知名地點池</x:v>
      </x:c>
      <x:c r="AA113" s="34" t="str">
        <x:v>以正式廟名、所在縣市與 Google Maps POI 區分同名宮廟。</x:v>
      </x:c>
      <x:c r="AB113" s="34" t="str">
        <x:v>正式上線前點開 Google Maps 連結，確認主入口、廟埕與任務圓心沒有落在後殿、停車場或山區道路。</x:v>
      </x:c>
    </x:row>
    <x:row r="114">
      <x:c r="A114" s="34" t="n">
        <x:v>113</x:v>
      </x:c>
      <x:c r="B114" s="34" t="str">
        <x:v>DOR-ILA-M001</x:v>
      </x:c>
      <x:c r="C114" s="34" t="str">
        <x:v>宜蘭縣</x:v>
      </x:c>
      <x:c r="D114" s="34" t="str">
        <x:v>礁溪鄉</x:v>
      </x:c>
      <x:c r="E114" s="34" t="str">
        <x:v>關帝廟／古蹟</x:v>
      </x:c>
      <x:c r="F114" s="34" t="str">
        <x:v>礁溪協天廟</x:v>
      </x:c>
      <x:c r="G114" s="34" t="str">
        <x:v>主要入口／廟埕代表點</x:v>
      </x:c>
      <x:c r="H114" s="38" t="n">
        <x:v>24.82838</x:v>
      </x:c>
      <x:c r="I114" s="38" t="n">
        <x:v>121.772617</x:v>
      </x:c>
      <x:c r="J114" s="42" t="n">
        <x:v>5</x:v>
      </x:c>
      <x:c r="K114" s="34" t="str">
        <x:v>★★★★★</x:v>
      </x:c>
      <x:c r="L114" s="34" t="str">
        <x:v>全國級</x:v>
      </x:c>
      <x:c r="M114" s="34" t="str">
        <x:v>關聖帝君</x:v>
      </x:c>
      <x:c r="N114" s="34" t="str">
        <x:v>宜蘭關帝信仰重鎮，可串聯礁溪溫泉街區散步。</x:v>
      </x:c>
      <x:c r="O114" s="34" t="str">
        <x:v>文化主線任務｜完成正門打卡、代表建築拍照與周邊街區散步，解鎖宮廟文化徽章。</x:v>
      </x:c>
      <x:c r="P114" s="34" t="str">
        <x:v>宗教場所通常對外開放；祭典、法會、整修或人流管制請依廟方與 Google Maps 最新公告。</x:v>
      </x:c>
      <x:c r="Q114" s="42" t="n">
        <x:v>55</x:v>
      </x:c>
      <x:c r="R114" s="34" t="str">
        <x:v>A</x:v>
      </x:c>
      <x:c r="S114" s="34" t="str">
        <x:v>Google Maps POI 圖釘；以廟埕或主要入口作為任務代表點</x:v>
      </x:c>
      <x:c r="T114" s="34" t="str">
        <x:v>宮廟／宗教文化</x:v>
      </x:c>
      <x:c r="U114" s="34" t="str">
        <x:v>宜蘭縣礁溪鄉中山路一段51號</x:v>
      </x:c>
      <x:c r="V114" s="34" t="str">
        <x:v>https://www.google.com/maps/search/?api=1&amp;query=%E7%A4%81%E6%BA%AA%E5%8D%94%E5%A4%A9%E5%BB%9F%20%E5%AE%9C%E8%98%AD%E7%B8%A3%20%E7%A4%81%E6%BA%AA%E9%84%89</x:v>
      </x:c>
      <x:c r="W114" s="34" t="str">
        <x:v>https://www.google.com/maps?q=24.828380,121.772617</x:v>
      </x:c>
      <x:c r="X114" s="34" t="str">
        <x:v>Google Maps POI 主定位＋政府宗教資料／官方廟方資料交叉整理</x:v>
      </x:c>
      <x:c r="Y114" s="34" t="str">
        <x:v>2026-07-13</x:v>
      </x:c>
      <x:c r="Z114" s="34" t="str">
        <x:v>V4-宮廟知名地點池</x:v>
      </x:c>
      <x:c r="AA114" s="34" t="str">
        <x:v>以正式廟名、所在縣市與 Google Maps POI 區分同名宮廟。</x:v>
      </x:c>
      <x:c r="AB114" s="34" t="str">
        <x:v>正式上線前點開 Google Maps 連結，確認主入口、廟埕與任務圓心沒有落在後殿、停車場或山區道路。</x:v>
      </x:c>
    </x:row>
    <x:row r="115">
      <x:c r="A115" s="34" t="n">
        <x:v>114</x:v>
      </x:c>
      <x:c r="B115" s="34" t="str">
        <x:v>DOR-ILA-M002</x:v>
      </x:c>
      <x:c r="C115" s="34" t="str">
        <x:v>宜蘭縣</x:v>
      </x:c>
      <x:c r="D115" s="34" t="str">
        <x:v>宜蘭市</x:v>
      </x:c>
      <x:c r="E115" s="34" t="str">
        <x:v>媽祖廟／古蹟</x:v>
      </x:c>
      <x:c r="F115" s="34" t="str">
        <x:v>宜蘭昭應宮</x:v>
      </x:c>
      <x:c r="G115" s="34" t="str">
        <x:v>主要入口／廟埕代表點</x:v>
      </x:c>
      <x:c r="H115" s="38" t="n">
        <x:v>24.75748</x:v>
      </x:c>
      <x:c r="I115" s="38" t="n">
        <x:v>121.753874</x:v>
      </x:c>
      <x:c r="J115" s="42" t="n">
        <x:v>4</x:v>
      </x:c>
      <x:c r="K115" s="34" t="str">
        <x:v>★★★★☆</x:v>
      </x:c>
      <x:c r="L115" s="34" t="str">
        <x:v>區域代表級</x:v>
      </x:c>
      <x:c r="M115" s="34" t="str">
        <x:v>天上聖母</x:v>
      </x:c>
      <x:c r="N115" s="34" t="str">
        <x:v>宜蘭舊城代表性媽祖廟，市中心步行便利。</x:v>
      </x:c>
      <x:c r="O115" s="34" t="str">
        <x:v>文化探索任務｜完成廟埕打卡，沿周邊老街、聚落或生活圈步行探索。</x:v>
      </x:c>
      <x:c r="P115" s="34" t="str">
        <x:v>宗教場所通常對外開放；祭典、法會、整修或人流管制請依廟方與 Google Maps 最新公告。</x:v>
      </x:c>
      <x:c r="Q115" s="42" t="n">
        <x:v>55</x:v>
      </x:c>
      <x:c r="R115" s="34" t="str">
        <x:v>A</x:v>
      </x:c>
      <x:c r="S115" s="34" t="str">
        <x:v>Google Maps POI 圖釘；以廟埕或主要入口作為任務代表點</x:v>
      </x:c>
      <x:c r="T115" s="34" t="str">
        <x:v>宮廟／宗教文化</x:v>
      </x:c>
      <x:c r="U115" s="34" t="str">
        <x:v>宜蘭縣宜蘭市中山路三段106號</x:v>
      </x:c>
      <x:c r="V115" s="34" t="str">
        <x:v>https://www.google.com/maps/search/?api=1&amp;query=%E5%AE%9C%E8%98%AD%E6%98%AD%E6%87%89%E5%AE%AE%20%E5%AE%9C%E8%98%AD%E7%B8%A3%20%E5%AE%9C%E8%98%AD%E5%B8%82</x:v>
      </x:c>
      <x:c r="W115" s="34" t="str">
        <x:v>https://www.google.com/maps?q=24.757480,121.753874</x:v>
      </x:c>
      <x:c r="X115" s="34" t="str">
        <x:v>Google Maps POI 主定位＋政府宗教資料／官方廟方資料交叉整理</x:v>
      </x:c>
      <x:c r="Y115" s="34" t="str">
        <x:v>2026-07-13</x:v>
      </x:c>
      <x:c r="Z115" s="34" t="str">
        <x:v>V4-宮廟知名地點池</x:v>
      </x:c>
      <x:c r="AA115" s="34" t="str">
        <x:v>以正式廟名、所在縣市與 Google Maps POI 區分同名宮廟。</x:v>
      </x:c>
      <x:c r="AB115" s="34" t="str">
        <x:v>正式上線前點開 Google Maps 連結，確認主入口、廟埕與任務圓心沒有落在後殿、停車場或山區道路。</x:v>
      </x:c>
    </x:row>
    <x:row r="116">
      <x:c r="A116" s="34" t="n">
        <x:v>115</x:v>
      </x:c>
      <x:c r="B116" s="34" t="str">
        <x:v>DOR-ILA-M003</x:v>
      </x:c>
      <x:c r="C116" s="34" t="str">
        <x:v>宜蘭縣</x:v>
      </x:c>
      <x:c r="D116" s="34" t="str">
        <x:v>宜蘭市</x:v>
      </x:c>
      <x:c r="E116" s="34" t="str">
        <x:v>城隍廟</x:v>
      </x:c>
      <x:c r="F116" s="34" t="str">
        <x:v>宜蘭城隍廟</x:v>
      </x:c>
      <x:c r="G116" s="34" t="str">
        <x:v>主要入口／廟埕代表點</x:v>
      </x:c>
      <x:c r="H116" s="38" t="n">
        <x:v>24.756489</x:v>
      </x:c>
      <x:c r="I116" s="38" t="n">
        <x:v>121.750291</x:v>
      </x:c>
      <x:c r="J116" s="42" t="n">
        <x:v>4</x:v>
      </x:c>
      <x:c r="K116" s="34" t="str">
        <x:v>★★★★☆</x:v>
      </x:c>
      <x:c r="L116" s="34" t="str">
        <x:v>區域代表級</x:v>
      </x:c>
      <x:c r="M116" s="34" t="str">
        <x:v>城隍尊神</x:v>
      </x:c>
      <x:c r="N116" s="34" t="str">
        <x:v>宜蘭舊城重要信仰中心，可與市場及老街串聯。</x:v>
      </x:c>
      <x:c r="O116" s="34" t="str">
        <x:v>文化探索任務｜完成廟埕打卡，沿周邊老街、聚落或生活圈步行探索。</x:v>
      </x:c>
      <x:c r="P116" s="34" t="str">
        <x:v>宗教場所通常對外開放；祭典、法會、整修或人流管制請依廟方與 Google Maps 最新公告。</x:v>
      </x:c>
      <x:c r="Q116" s="42" t="n">
        <x:v>45</x:v>
      </x:c>
      <x:c r="R116" s="34" t="str">
        <x:v>A</x:v>
      </x:c>
      <x:c r="S116" s="34" t="str">
        <x:v>Google Maps POI 圖釘；以廟埕或主要入口作為任務代表點</x:v>
      </x:c>
      <x:c r="T116" s="34" t="str">
        <x:v>宮廟／宗教文化</x:v>
      </x:c>
      <x:c r="U116" s="34" t="str">
        <x:v>宜蘭縣宜蘭市城隍街12號</x:v>
      </x:c>
      <x:c r="V116" s="34" t="str">
        <x:v>https://www.google.com/maps/search/?api=1&amp;query=%E5%AE%9C%E8%98%AD%E5%9F%8E%E9%9A%8D%E5%BB%9F%20%E5%AE%9C%E8%98%AD%E7%B8%A3%20%E5%AE%9C%E8%98%AD%E5%B8%82</x:v>
      </x:c>
      <x:c r="W116" s="34" t="str">
        <x:v>https://www.google.com/maps?q=24.756489,121.750291</x:v>
      </x:c>
      <x:c r="X116" s="34" t="str">
        <x:v>Google Maps POI 主定位＋政府宗教資料／官方廟方資料交叉整理</x:v>
      </x:c>
      <x:c r="Y116" s="34" t="str">
        <x:v>2026-07-13</x:v>
      </x:c>
      <x:c r="Z116" s="34" t="str">
        <x:v>V4-宮廟知名地點池</x:v>
      </x:c>
      <x:c r="AA116" s="34" t="str">
        <x:v>以正式廟名、所在縣市與 Google Maps POI 區分同名宮廟。</x:v>
      </x:c>
      <x:c r="AB116" s="34" t="str">
        <x:v>正式上線前點開 Google Maps 連結，確認主入口、廟埕與任務圓心沒有落在後殿、停車場或山區道路。</x:v>
      </x:c>
    </x:row>
    <x:row r="117">
      <x:c r="A117" s="34" t="n">
        <x:v>116</x:v>
      </x:c>
      <x:c r="B117" s="34" t="str">
        <x:v>DOR-ILA-M004</x:v>
      </x:c>
      <x:c r="C117" s="34" t="str">
        <x:v>宜蘭縣</x:v>
      </x:c>
      <x:c r="D117" s="34" t="str">
        <x:v>羅東鎮</x:v>
      </x:c>
      <x:c r="E117" s="34" t="str">
        <x:v>玄天上帝廟</x:v>
      </x:c>
      <x:c r="F117" s="34" t="str">
        <x:v>羅東震安宮</x:v>
      </x:c>
      <x:c r="G117" s="34" t="str">
        <x:v>主要入口／廟埕代表點</x:v>
      </x:c>
      <x:c r="H117" s="38" t="n">
        <x:v>24.678691</x:v>
      </x:c>
      <x:c r="I117" s="38" t="n">
        <x:v>121.770978</x:v>
      </x:c>
      <x:c r="J117" s="42" t="n">
        <x:v>4</x:v>
      </x:c>
      <x:c r="K117" s="34" t="str">
        <x:v>★★★★☆</x:v>
      </x:c>
      <x:c r="L117" s="34" t="str">
        <x:v>區域代表級</x:v>
      </x:c>
      <x:c r="M117" s="34" t="str">
        <x:v>玄天上帝</x:v>
      </x:c>
      <x:c r="N117" s="34" t="str">
        <x:v>羅東市中心知名廟宇，鄰近夜市生活圈。</x:v>
      </x:c>
      <x:c r="O117" s="34" t="str">
        <x:v>文化探索任務｜完成廟埕打卡，沿周邊老街、聚落或生活圈步行探索。</x:v>
      </x:c>
      <x:c r="P117" s="34" t="str">
        <x:v>宗教場所通常對外開放；祭典、法會、整修或人流管制請依廟方與 Google Maps 最新公告。</x:v>
      </x:c>
      <x:c r="Q117" s="42" t="n">
        <x:v>50</x:v>
      </x:c>
      <x:c r="R117" s="34" t="str">
        <x:v>A</x:v>
      </x:c>
      <x:c r="S117" s="34" t="str">
        <x:v>Google Maps POI 圖釘；以廟埕或主要入口作為任務代表點</x:v>
      </x:c>
      <x:c r="T117" s="34" t="str">
        <x:v>宮廟／宗教文化</x:v>
      </x:c>
      <x:c r="U117" s="34" t="str">
        <x:v>宜蘭縣羅東鎮中正路35號</x:v>
      </x:c>
      <x:c r="V117" s="34" t="str">
        <x:v>https://www.google.com/maps/search/?api=1&amp;query=%E7%BE%85%E6%9D%B1%E9%9C%87%E5%AE%89%E5%AE%AE%20%E5%AE%9C%E8%98%AD%E7%B8%A3%20%E7%BE%85%E6%9D%B1%E9%8E%AE</x:v>
      </x:c>
      <x:c r="W117" s="34" t="str">
        <x:v>https://www.google.com/maps?q=24.678691,121.770978</x:v>
      </x:c>
      <x:c r="X117" s="34" t="str">
        <x:v>Google Maps POI 主定位＋政府宗教資料／官方廟方資料交叉整理</x:v>
      </x:c>
      <x:c r="Y117" s="34" t="str">
        <x:v>2026-07-13</x:v>
      </x:c>
      <x:c r="Z117" s="34" t="str">
        <x:v>V4-宮廟知名地點池</x:v>
      </x:c>
      <x:c r="AA117" s="34" t="str">
        <x:v>以正式廟名、所在縣市與 Google Maps POI 區分同名宮廟。</x:v>
      </x:c>
      <x:c r="AB117" s="34" t="str">
        <x:v>正式上線前點開 Google Maps 連結，確認主入口、廟埕與任務圓心沒有落在後殿、停車場或山區道路。</x:v>
      </x:c>
    </x:row>
    <x:row r="118">
      <x:c r="A118" s="34" t="n">
        <x:v>117</x:v>
      </x:c>
      <x:c r="B118" s="34" t="str">
        <x:v>DOR-ILA-M005</x:v>
      </x:c>
      <x:c r="C118" s="34" t="str">
        <x:v>宜蘭縣</x:v>
      </x:c>
      <x:c r="D118" s="34" t="str">
        <x:v>五結鄉</x:v>
      </x:c>
      <x:c r="E118" s="34" t="str">
        <x:v>王公廟／古蹟</x:v>
      </x:c>
      <x:c r="F118" s="34" t="str">
        <x:v>二結王公廟</x:v>
      </x:c>
      <x:c r="G118" s="34" t="str">
        <x:v>主要入口／廟埕代表點</x:v>
      </x:c>
      <x:c r="H118" s="38" t="n">
        <x:v>24.70722</x:v>
      </x:c>
      <x:c r="I118" s="38" t="n">
        <x:v>121.76757</x:v>
      </x:c>
      <x:c r="J118" s="42" t="n">
        <x:v>5</x:v>
      </x:c>
      <x:c r="K118" s="34" t="str">
        <x:v>★★★★★</x:v>
      </x:c>
      <x:c r="L118" s="34" t="str">
        <x:v>全國級</x:v>
      </x:c>
      <x:c r="M118" s="34" t="str">
        <x:v>古公三王</x:v>
      </x:c>
      <x:c r="N118" s="34" t="str">
        <x:v>二結王公過火文化具全臺代表性，聚落信仰鮮明。</x:v>
      </x:c>
      <x:c r="O118" s="34" t="str">
        <x:v>文化主線任務｜完成正門打卡、代表建築拍照與周邊街區散步，解鎖宮廟文化徽章。</x:v>
      </x:c>
      <x:c r="P118" s="34" t="str">
        <x:v>宗教場所通常對外開放；祭典、法會、整修或人流管制請依廟方與 Google Maps 最新公告。</x:v>
      </x:c>
      <x:c r="Q118" s="42" t="n">
        <x:v>60</x:v>
      </x:c>
      <x:c r="R118" s="34" t="str">
        <x:v>A</x:v>
      </x:c>
      <x:c r="S118" s="34" t="str">
        <x:v>Google Maps POI 圖釘；以廟埕或主要入口作為任務代表點</x:v>
      </x:c>
      <x:c r="T118" s="34" t="str">
        <x:v>宮廟／宗教文化</x:v>
      </x:c>
      <x:c r="U118" s="34" t="str">
        <x:v>宜蘭縣五結鄉舊街一路98號</x:v>
      </x:c>
      <x:c r="V118" s="34" t="str">
        <x:v>https://www.google.com/maps/search/?api=1&amp;query=%E4%BA%8C%E7%B5%90%E7%8E%8B%E5%85%AC%E5%BB%9F%20%E5%AE%9C%E8%98%AD%E7%B8%A3%20%E4%BA%94%E7%B5%90%E9%84%89</x:v>
      </x:c>
      <x:c r="W118" s="34" t="str">
        <x:v>https://www.google.com/maps?q=24.707220,121.767570</x:v>
      </x:c>
      <x:c r="X118" s="34" t="str">
        <x:v>Google Maps POI 主定位＋政府宗教資料／官方廟方資料交叉整理</x:v>
      </x:c>
      <x:c r="Y118" s="34" t="str">
        <x:v>2026-07-13</x:v>
      </x:c>
      <x:c r="Z118" s="34" t="str">
        <x:v>V4-宮廟知名地點池</x:v>
      </x:c>
      <x:c r="AA118" s="34" t="str">
        <x:v>以正式廟名、所在縣市與 Google Maps POI 區分同名宮廟。</x:v>
      </x:c>
      <x:c r="AB118" s="34" t="str">
        <x:v>正式上線前點開 Google Maps 連結，確認主入口、廟埕與任務圓心沒有落在後殿、停車場或山區道路。</x:v>
      </x:c>
    </x:row>
    <x:row r="119">
      <x:c r="A119" s="34" t="n">
        <x:v>118</x:v>
      </x:c>
      <x:c r="B119" s="34" t="str">
        <x:v>DOR-ILA-M006</x:v>
      </x:c>
      <x:c r="C119" s="34" t="str">
        <x:v>宜蘭縣</x:v>
      </x:c>
      <x:c r="D119" s="34" t="str">
        <x:v>蘇澳鎮</x:v>
      </x:c>
      <x:c r="E119" s="34" t="str">
        <x:v>媽祖廟</x:v>
      </x:c>
      <x:c r="F119" s="34" t="str">
        <x:v>南方澳南天宮</x:v>
      </x:c>
      <x:c r="G119" s="34" t="str">
        <x:v>主要入口／廟埕代表點</x:v>
      </x:c>
      <x:c r="H119" s="38" t="n">
        <x:v>24.581067</x:v>
      </x:c>
      <x:c r="I119" s="38" t="n">
        <x:v>121.866083</x:v>
      </x:c>
      <x:c r="J119" s="42" t="n">
        <x:v>5</x:v>
      </x:c>
      <x:c r="K119" s="34" t="str">
        <x:v>★★★★★</x:v>
      </x:c>
      <x:c r="L119" s="34" t="str">
        <x:v>全國級</x:v>
      </x:c>
      <x:c r="M119" s="34" t="str">
        <x:v>天上聖母</x:v>
      </x:c>
      <x:c r="N119" s="34" t="str">
        <x:v>金媽祖與漁港信仰聞名，可串聯南方澳港區。</x:v>
      </x:c>
      <x:c r="O119" s="34" t="str">
        <x:v>文化主線任務｜完成正門打卡、代表建築拍照與周邊街區散步，解鎖宮廟文化徽章。</x:v>
      </x:c>
      <x:c r="P119" s="34" t="str">
        <x:v>宗教場所通常對外開放；祭典、法會、整修或人流管制請依廟方與 Google Maps 最新公告。</x:v>
      </x:c>
      <x:c r="Q119" s="42" t="n">
        <x:v>60</x:v>
      </x:c>
      <x:c r="R119" s="34" t="str">
        <x:v>A</x:v>
      </x:c>
      <x:c r="S119" s="34" t="str">
        <x:v>Google Maps POI 圖釘；以廟埕或主要入口作為任務代表點</x:v>
      </x:c>
      <x:c r="T119" s="34" t="str">
        <x:v>宮廟／宗教文化</x:v>
      </x:c>
      <x:c r="U119" s="34" t="str">
        <x:v>宜蘭縣蘇澳鎮江夏路17號</x:v>
      </x:c>
      <x:c r="V119" s="34" t="str">
        <x:v>https://www.google.com/maps/search/?api=1&amp;query=%E5%8D%97%E6%96%B9%E6%BE%B3%E5%8D%97%E5%A4%A9%E5%AE%AE%20%E5%AE%9C%E8%98%AD%E7%B8%A3%20%E8%98%87%E6%BE%B3%E9%8E%AE</x:v>
      </x:c>
      <x:c r="W119" s="34" t="str">
        <x:v>https://www.google.com/maps?q=24.581067,121.866083</x:v>
      </x:c>
      <x:c r="X119" s="34" t="str">
        <x:v>Google Maps POI 主定位＋政府宗教資料／官方廟方資料交叉整理</x:v>
      </x:c>
      <x:c r="Y119" s="34" t="str">
        <x:v>2026-07-13</x:v>
      </x:c>
      <x:c r="Z119" s="34" t="str">
        <x:v>V4-宮廟知名地點池</x:v>
      </x:c>
      <x:c r="AA119" s="34" t="str">
        <x:v>以正式廟名、所在縣市與 Google Maps POI 區分同名宮廟。</x:v>
      </x:c>
      <x:c r="AB119" s="34" t="str">
        <x:v>正式上線前點開 Google Maps 連結，確認主入口、廟埕與任務圓心沒有落在後殿、停車場或山區道路。</x:v>
      </x:c>
    </x:row>
    <x:row r="120">
      <x:c r="A120" s="34" t="n">
        <x:v>119</x:v>
      </x:c>
      <x:c r="B120" s="34" t="str">
        <x:v>DOR-ILA-M007</x:v>
      </x:c>
      <x:c r="C120" s="34" t="str">
        <x:v>宜蘭縣</x:v>
      </x:c>
      <x:c r="D120" s="34" t="str">
        <x:v>冬山鄉</x:v>
      </x:c>
      <x:c r="E120" s="34" t="str">
        <x:v>玉皇宮</x:v>
      </x:c>
      <x:c r="F120" s="34" t="str">
        <x:v>草湖玉尊宮</x:v>
      </x:c>
      <x:c r="G120" s="34" t="str">
        <x:v>主要入口／廟埕代表點</x:v>
      </x:c>
      <x:c r="H120" s="38" t="n">
        <x:v>24.73216</x:v>
      </x:c>
      <x:c r="I120" s="38" t="n">
        <x:v>121.706226</x:v>
      </x:c>
      <x:c r="J120" s="42" t="n">
        <x:v>4</x:v>
      </x:c>
      <x:c r="K120" s="34" t="str">
        <x:v>★★★★☆</x:v>
      </x:c>
      <x:c r="L120" s="34" t="str">
        <x:v>區域代表級</x:v>
      </x:c>
      <x:c r="M120" s="34" t="str">
        <x:v>玉皇上帝</x:v>
      </x:c>
      <x:c r="N120" s="34" t="str">
        <x:v>宜蘭重要天公信仰中心，山麓與田園景觀兼具。</x:v>
      </x:c>
      <x:c r="O120" s="34" t="str">
        <x:v>文化探索任務｜完成廟埕打卡，沿周邊老街、聚落或生活圈步行探索。</x:v>
      </x:c>
      <x:c r="P120" s="34" t="str">
        <x:v>宗教場所通常對外開放；祭典、法會、整修或人流管制請依廟方與 Google Maps 最新公告。</x:v>
      </x:c>
      <x:c r="Q120" s="42" t="n">
        <x:v>70</x:v>
      </x:c>
      <x:c r="R120" s="34" t="str">
        <x:v>A</x:v>
      </x:c>
      <x:c r="S120" s="34" t="str">
        <x:v>Google Maps POI 圖釘；以廟埕或主要入口作為任務代表點</x:v>
      </x:c>
      <x:c r="T120" s="34" t="str">
        <x:v>宮廟／宗教文化</x:v>
      </x:c>
      <x:c r="U120" s="34" t="str">
        <x:v>宜蘭縣冬山鄉進偉路727號</x:v>
      </x:c>
      <x:c r="V120" s="34" t="str">
        <x:v>https://www.google.com/maps/search/?api=1&amp;query=%E8%8D%89%E6%B9%96%E7%8E%89%E5%B0%8A%E5%AE%AE%20%E5%AE%9C%E8%98%AD%E7%B8%A3%20%E5%86%AC%E5%B1%B1%E9%84%89</x:v>
      </x:c>
      <x:c r="W120" s="34" t="str">
        <x:v>https://www.google.com/maps?q=24.732160,121.706226</x:v>
      </x:c>
      <x:c r="X120" s="34" t="str">
        <x:v>Google Maps POI 主定位＋政府宗教資料／官方廟方資料交叉整理</x:v>
      </x:c>
      <x:c r="Y120" s="34" t="str">
        <x:v>2026-07-13</x:v>
      </x:c>
      <x:c r="Z120" s="34" t="str">
        <x:v>V4-宮廟知名地點池</x:v>
      </x:c>
      <x:c r="AA120" s="34" t="str">
        <x:v>以正式廟名、所在縣市與 Google Maps POI 區分同名宮廟。</x:v>
      </x:c>
      <x:c r="AB120" s="34" t="str">
        <x:v>正式上線前點開 Google Maps 連結，確認主入口、廟埕與任務圓心沒有落在後殿、停車場或山區道路。</x:v>
      </x:c>
    </x:row>
    <x:row r="121">
      <x:c r="A121" s="34" t="n">
        <x:v>120</x:v>
      </x:c>
      <x:c r="B121" s="34" t="str">
        <x:v>DOR-HUA-M001</x:v>
      </x:c>
      <x:c r="C121" s="34" t="str">
        <x:v>花蓮縣</x:v>
      </x:c>
      <x:c r="D121" s="34" t="str">
        <x:v>花蓮市</x:v>
      </x:c>
      <x:c r="E121" s="34" t="str">
        <x:v>媽祖廟</x:v>
      </x:c>
      <x:c r="F121" s="34" t="str">
        <x:v>花蓮慈天宮</x:v>
      </x:c>
      <x:c r="G121" s="34" t="str">
        <x:v>主要入口／廟埕代表點</x:v>
      </x:c>
      <x:c r="H121" s="38" t="n">
        <x:v>23.977802</x:v>
      </x:c>
      <x:c r="I121" s="38" t="n">
        <x:v>121.607019</x:v>
      </x:c>
      <x:c r="J121" s="42" t="n">
        <x:v>4</x:v>
      </x:c>
      <x:c r="K121" s="34" t="str">
        <x:v>★★★★☆</x:v>
      </x:c>
      <x:c r="L121" s="34" t="str">
        <x:v>區域代表級</x:v>
      </x:c>
      <x:c r="M121" s="34" t="str">
        <x:v>天上聖母</x:v>
      </x:c>
      <x:c r="N121" s="34" t="str">
        <x:v>花蓮市區代表性媽祖廟，鄰近舊城與夜市生活圈。</x:v>
      </x:c>
      <x:c r="O121" s="34" t="str">
        <x:v>文化探索任務｜完成廟埕打卡，沿周邊老街、聚落或生活圈步行探索。</x:v>
      </x:c>
      <x:c r="P121" s="34" t="str">
        <x:v>宗教場所通常對外開放；祭典、法會、整修或人流管制請依廟方與 Google Maps 最新公告。</x:v>
      </x:c>
      <x:c r="Q121" s="42" t="n">
        <x:v>55</x:v>
      </x:c>
      <x:c r="R121" s="34" t="str">
        <x:v>A</x:v>
      </x:c>
      <x:c r="S121" s="34" t="str">
        <x:v>Google Maps POI 圖釘；以廟埕或主要入口作為任務代表點</x:v>
      </x:c>
      <x:c r="T121" s="34" t="str">
        <x:v>宮廟／宗教文化</x:v>
      </x:c>
      <x:c r="U121" s="34" t="str">
        <x:v>花蓮縣花蓮市忠孝街81號</x:v>
      </x:c>
      <x:c r="V121" s="34" t="str">
        <x:v>https://www.google.com/maps/search/?api=1&amp;query=%E8%8A%B1%E8%93%AE%E6%85%88%E5%A4%A9%E5%AE%AE%20%E8%8A%B1%E8%93%AE%E7%B8%A3%20%E8%8A%B1%E8%93%AE%E5%B8%82</x:v>
      </x:c>
      <x:c r="W121" s="34" t="str">
        <x:v>https://www.google.com/maps?q=23.977802,121.607019</x:v>
      </x:c>
      <x:c r="X121" s="34" t="str">
        <x:v>Google Maps POI 主定位＋政府宗教資料／官方廟方資料交叉整理</x:v>
      </x:c>
      <x:c r="Y121" s="34" t="str">
        <x:v>2026-07-13</x:v>
      </x:c>
      <x:c r="Z121" s="34" t="str">
        <x:v>V4-宮廟知名地點池</x:v>
      </x:c>
      <x:c r="AA121" s="34" t="str">
        <x:v>以正式廟名、所在縣市與 Google Maps POI 區分同名宮廟。</x:v>
      </x:c>
      <x:c r="AB121" s="34" t="str">
        <x:v>正式上線前點開 Google Maps 連結，確認主入口、廟埕與任務圓心沒有落在後殿、停車場或山區道路。</x:v>
      </x:c>
    </x:row>
    <x:row r="122">
      <x:c r="A122" s="34" t="n">
        <x:v>121</x:v>
      </x:c>
      <x:c r="B122" s="34" t="str">
        <x:v>DOR-HUA-M002</x:v>
      </x:c>
      <x:c r="C122" s="34" t="str">
        <x:v>花蓮縣</x:v>
      </x:c>
      <x:c r="D122" s="34" t="str">
        <x:v>花蓮市</x:v>
      </x:c>
      <x:c r="E122" s="34" t="str">
        <x:v>媽祖廟</x:v>
      </x:c>
      <x:c r="F122" s="34" t="str">
        <x:v>花蓮港天宮</x:v>
      </x:c>
      <x:c r="G122" s="34" t="str">
        <x:v>主要入口／廟埕代表點</x:v>
      </x:c>
      <x:c r="H122" s="38" t="n">
        <x:v>23.991876</x:v>
      </x:c>
      <x:c r="I122" s="38" t="n">
        <x:v>121.625602</x:v>
      </x:c>
      <x:c r="J122" s="42" t="n">
        <x:v>4</x:v>
      </x:c>
      <x:c r="K122" s="34" t="str">
        <x:v>★★★★☆</x:v>
      </x:c>
      <x:c r="L122" s="34" t="str">
        <x:v>區域代表級</x:v>
      </x:c>
      <x:c r="M122" s="34" t="str">
        <x:v>天上聖母</x:v>
      </x:c>
      <x:c r="N122" s="34" t="str">
        <x:v>花蓮北區大型媽祖廟，建築與廟埕辨識度高。</x:v>
      </x:c>
      <x:c r="O122" s="34" t="str">
        <x:v>文化探索任務｜完成廟埕打卡，沿周邊老街、聚落或生活圈步行探索。</x:v>
      </x:c>
      <x:c r="P122" s="34" t="str">
        <x:v>宗教場所通常對外開放；祭典、法會、整修或人流管制請依廟方與 Google Maps 最新公告。</x:v>
      </x:c>
      <x:c r="Q122" s="42" t="n">
        <x:v>75</x:v>
      </x:c>
      <x:c r="R122" s="34" t="str">
        <x:v>A</x:v>
      </x:c>
      <x:c r="S122" s="34" t="str">
        <x:v>Google Maps POI 圖釘；以廟埕或主要入口作為任務代表點</x:v>
      </x:c>
      <x:c r="T122" s="34" t="str">
        <x:v>宮廟／宗教文化</x:v>
      </x:c>
      <x:c r="U122" s="34" t="str">
        <x:v>花蓮縣花蓮市中山路一段500巷15號</x:v>
      </x:c>
      <x:c r="V122" s="34" t="str">
        <x:v>https://www.google.com/maps/search/?api=1&amp;query=%E8%8A%B1%E8%93%AE%E6%B8%AF%E5%A4%A9%E5%AE%AE%20%E8%8A%B1%E8%93%AE%E7%B8%A3%20%E8%8A%B1%E8%93%AE%E5%B8%82</x:v>
      </x:c>
      <x:c r="W122" s="34" t="str">
        <x:v>https://www.google.com/maps?q=23.991876,121.625602</x:v>
      </x:c>
      <x:c r="X122" s="34" t="str">
        <x:v>Google Maps POI 主定位＋政府宗教資料／官方廟方資料交叉整理</x:v>
      </x:c>
      <x:c r="Y122" s="34" t="str">
        <x:v>2026-07-13</x:v>
      </x:c>
      <x:c r="Z122" s="34" t="str">
        <x:v>V4-宮廟知名地點池</x:v>
      </x:c>
      <x:c r="AA122" s="34" t="str">
        <x:v>以正式廟名、所在縣市與 Google Maps POI 區分同名宮廟。</x:v>
      </x:c>
      <x:c r="AB122" s="34" t="str">
        <x:v>正式上線前點開 Google Maps 連結，確認主入口、廟埕與任務圓心沒有落在後殿、停車場或山區道路。</x:v>
      </x:c>
    </x:row>
    <x:row r="123">
      <x:c r="A123" s="34" t="n">
        <x:v>122</x:v>
      </x:c>
      <x:c r="B123" s="34" t="str">
        <x:v>DOR-HUA-M003</x:v>
      </x:c>
      <x:c r="C123" s="34" t="str">
        <x:v>花蓮縣</x:v>
      </x:c>
      <x:c r="D123" s="34" t="str">
        <x:v>吉安鄉</x:v>
      </x:c>
      <x:c r="E123" s="34" t="str">
        <x:v>王母娘娘廟</x:v>
      </x:c>
      <x:c r="F123" s="34" t="str">
        <x:v>勝安宮</x:v>
      </x:c>
      <x:c r="G123" s="34" t="str">
        <x:v>主要入口／廟埕代表點</x:v>
      </x:c>
      <x:c r="H123" s="38" t="n">
        <x:v>23.968867</x:v>
      </x:c>
      <x:c r="I123" s="38" t="n">
        <x:v>121.596854</x:v>
      </x:c>
      <x:c r="J123" s="42" t="n">
        <x:v>5</x:v>
      </x:c>
      <x:c r="K123" s="34" t="str">
        <x:v>★★★★★</x:v>
      </x:c>
      <x:c r="L123" s="34" t="str">
        <x:v>全國級</x:v>
      </x:c>
      <x:c r="M123" s="34" t="str">
        <x:v>王母娘娘</x:v>
      </x:c>
      <x:c r="N123" s="34" t="str">
        <x:v>臺灣王母娘娘信仰重要發源地，香火與知名度高。</x:v>
      </x:c>
      <x:c r="O123" s="34" t="str">
        <x:v>文化主線任務｜完成正門打卡、代表建築拍照與周邊街區散步，解鎖宮廟文化徽章。</x:v>
      </x:c>
      <x:c r="P123" s="34" t="str">
        <x:v>宗教場所通常對外開放；祭典、法會、整修或人流管制請依廟方與 Google Maps 最新公告。</x:v>
      </x:c>
      <x:c r="Q123" s="42" t="n">
        <x:v>65</x:v>
      </x:c>
      <x:c r="R123" s="34" t="str">
        <x:v>A</x:v>
      </x:c>
      <x:c r="S123" s="34" t="str">
        <x:v>Google Maps POI 圖釘；以廟埕或主要入口作為任務代表點</x:v>
      </x:c>
      <x:c r="T123" s="34" t="str">
        <x:v>宮廟／宗教文化</x:v>
      </x:c>
      <x:c r="U123" s="34" t="str">
        <x:v>花蓮縣吉安鄉慈惠三街118號</x:v>
      </x:c>
      <x:c r="V123" s="34" t="str">
        <x:v>https://www.google.com/maps/search/?api=1&amp;query=%E5%8B%9D%E5%AE%89%E5%AE%AE%20%E8%8A%B1%E8%93%AE%E7%B8%A3%20%E5%90%89%E5%AE%89%E9%84%89</x:v>
      </x:c>
      <x:c r="W123" s="34" t="str">
        <x:v>https://www.google.com/maps?q=23.968867,121.596854</x:v>
      </x:c>
      <x:c r="X123" s="34" t="str">
        <x:v>Google Maps POI 主定位＋政府宗教資料／官方廟方資料交叉整理</x:v>
      </x:c>
      <x:c r="Y123" s="34" t="str">
        <x:v>2026-07-13</x:v>
      </x:c>
      <x:c r="Z123" s="34" t="str">
        <x:v>V4-宮廟知名地點池</x:v>
      </x:c>
      <x:c r="AA123" s="34" t="str">
        <x:v>以正式廟名、所在縣市與 Google Maps POI 區分同名宮廟。</x:v>
      </x:c>
      <x:c r="AB123" s="34" t="str">
        <x:v>正式上線前點開 Google Maps 連結，確認主入口、廟埕與任務圓心沒有落在後殿、停車場或山區道路。</x:v>
      </x:c>
    </x:row>
    <x:row r="124">
      <x:c r="A124" s="34" t="n">
        <x:v>123</x:v>
      </x:c>
      <x:c r="B124" s="34" t="str">
        <x:v>DOR-HUA-M004</x:v>
      </x:c>
      <x:c r="C124" s="34" t="str">
        <x:v>花蓮縣</x:v>
      </x:c>
      <x:c r="D124" s="34" t="str">
        <x:v>吉安鄉</x:v>
      </x:c>
      <x:c r="E124" s="34" t="str">
        <x:v>日式佛寺／古蹟</x:v>
      </x:c>
      <x:c r="F124" s="34" t="str">
        <x:v>吉安慶修院</x:v>
      </x:c>
      <x:c r="G124" s="34" t="str">
        <x:v>主要入口／廟埕代表點</x:v>
      </x:c>
      <x:c r="H124" s="38" t="n">
        <x:v>23.973959</x:v>
      </x:c>
      <x:c r="I124" s="38" t="n">
        <x:v>121.56516</x:v>
      </x:c>
      <x:c r="J124" s="42" t="n">
        <x:v>5</x:v>
      </x:c>
      <x:c r="K124" s="34" t="str">
        <x:v>★★★★★</x:v>
      </x:c>
      <x:c r="L124" s="34" t="str">
        <x:v>全國級</x:v>
      </x:c>
      <x:c r="M124" s="34" t="str">
        <x:v>弘法大師</x:v>
      </x:c>
      <x:c r="N124" s="34" t="str">
        <x:v>日式寺院建築保存完整，文化觀光與散步打卡成熟。</x:v>
      </x:c>
      <x:c r="O124" s="34" t="str">
        <x:v>文化主線任務｜完成正門打卡、代表建築拍照與周邊街區散步，解鎖宮廟文化徽章。</x:v>
      </x:c>
      <x:c r="P124" s="34" t="str">
        <x:v>宗教場所通常對外開放；祭典、法會、整修或人流管制請依廟方與 Google Maps 最新公告。</x:v>
      </x:c>
      <x:c r="Q124" s="42" t="n">
        <x:v>60</x:v>
      </x:c>
      <x:c r="R124" s="34" t="str">
        <x:v>A</x:v>
      </x:c>
      <x:c r="S124" s="34" t="str">
        <x:v>Google Maps POI 圖釘；以廟埕或主要入口作為任務代表點</x:v>
      </x:c>
      <x:c r="T124" s="34" t="str">
        <x:v>宮廟／宗教文化</x:v>
      </x:c>
      <x:c r="U124" s="34" t="str">
        <x:v>花蓮縣吉安鄉中興路345之1號</x:v>
      </x:c>
      <x:c r="V124" s="34" t="str">
        <x:v>https://www.google.com/maps/search/?api=1&amp;query=%E5%90%89%E5%AE%89%E6%85%B6%E4%BF%AE%E9%99%A2%20%E8%8A%B1%E8%93%AE%E7%B8%A3%20%E5%90%89%E5%AE%89%E9%84%89</x:v>
      </x:c>
      <x:c r="W124" s="34" t="str">
        <x:v>https://www.google.com/maps?q=23.973959,121.565160</x:v>
      </x:c>
      <x:c r="X124" s="34" t="str">
        <x:v>Google Maps POI 主定位＋政府宗教資料／官方廟方資料交叉整理</x:v>
      </x:c>
      <x:c r="Y124" s="34" t="str">
        <x:v>2026-07-13</x:v>
      </x:c>
      <x:c r="Z124" s="34" t="str">
        <x:v>V4-宮廟知名地點池</x:v>
      </x:c>
      <x:c r="AA124" s="34" t="str">
        <x:v>以正式廟名、所在縣市與 Google Maps POI 區分同名宮廟。</x:v>
      </x:c>
      <x:c r="AB124" s="34" t="str">
        <x:v>正式上線前點開 Google Maps 連結，確認主入口、廟埕與任務圓心沒有落在後殿、停車場或山區道路。</x:v>
      </x:c>
    </x:row>
    <x:row r="125">
      <x:c r="A125" s="34" t="n">
        <x:v>124</x:v>
      </x:c>
      <x:c r="B125" s="34" t="str">
        <x:v>DOR-HUA-M005</x:v>
      </x:c>
      <x:c r="C125" s="34" t="str">
        <x:v>花蓮縣</x:v>
      </x:c>
      <x:c r="D125" s="34" t="str">
        <x:v>玉里鎮</x:v>
      </x:c>
      <x:c r="E125" s="34" t="str">
        <x:v>關帝廟／古蹟</x:v>
      </x:c>
      <x:c r="F125" s="34" t="str">
        <x:v>玉里協天宮</x:v>
      </x:c>
      <x:c r="G125" s="34" t="str">
        <x:v>主要入口／廟埕代表點</x:v>
      </x:c>
      <x:c r="H125" s="38" t="n">
        <x:v>23.331634</x:v>
      </x:c>
      <x:c r="I125" s="38" t="n">
        <x:v>121.314959</x:v>
      </x:c>
      <x:c r="J125" s="42" t="n">
        <x:v>4</x:v>
      </x:c>
      <x:c r="K125" s="34" t="str">
        <x:v>★★★★☆</x:v>
      </x:c>
      <x:c r="L125" s="34" t="str">
        <x:v>區域代表級</x:v>
      </x:c>
      <x:c r="M125" s="34" t="str">
        <x:v>關聖帝君</x:v>
      </x:c>
      <x:c r="N125" s="34" t="str">
        <x:v>花東縱谷重要關帝信仰中心，玉里市區代表點。</x:v>
      </x:c>
      <x:c r="O125" s="34" t="str">
        <x:v>文化探索任務｜完成廟埕打卡，沿周邊老街、聚落或生活圈步行探索。</x:v>
      </x:c>
      <x:c r="P125" s="34" t="str">
        <x:v>宗教場所通常對外開放；祭典、法會、整修或人流管制請依廟方與 Google Maps 最新公告。</x:v>
      </x:c>
      <x:c r="Q125" s="42" t="n">
        <x:v>55</x:v>
      </x:c>
      <x:c r="R125" s="34" t="str">
        <x:v>A</x:v>
      </x:c>
      <x:c r="S125" s="34" t="str">
        <x:v>Google Maps POI 圖釘；以廟埕或主要入口作為任務代表點</x:v>
      </x:c>
      <x:c r="T125" s="34" t="str">
        <x:v>宮廟／宗教文化</x:v>
      </x:c>
      <x:c r="U125" s="34" t="str">
        <x:v>花蓮縣玉里鎮民生街52巷13號</x:v>
      </x:c>
      <x:c r="V125" s="34" t="str">
        <x:v>https://www.google.com/maps/search/?api=1&amp;query=%E7%8E%89%E9%87%8C%E5%8D%94%E5%A4%A9%E5%AE%AE%20%E8%8A%B1%E8%93%AE%E7%B8%A3%20%E7%8E%89%E9%87%8C%E9%8E%AE</x:v>
      </x:c>
      <x:c r="W125" s="34" t="str">
        <x:v>https://www.google.com/maps?q=23.331634,121.314959</x:v>
      </x:c>
      <x:c r="X125" s="34" t="str">
        <x:v>Google Maps POI 主定位＋政府宗教資料／官方廟方資料交叉整理</x:v>
      </x:c>
      <x:c r="Y125" s="34" t="str">
        <x:v>2026-07-13</x:v>
      </x:c>
      <x:c r="Z125" s="34" t="str">
        <x:v>V4-宮廟知名地點池</x:v>
      </x:c>
      <x:c r="AA125" s="34" t="str">
        <x:v>以正式廟名、所在縣市與 Google Maps POI 區分同名宮廟。</x:v>
      </x:c>
      <x:c r="AB125" s="34" t="str">
        <x:v>正式上線前點開 Google Maps 連結，確認主入口、廟埕與任務圓心沒有落在後殿、停車場或山區道路。</x:v>
      </x:c>
    </x:row>
    <x:row r="126">
      <x:c r="A126" s="34" t="n">
        <x:v>125</x:v>
      </x:c>
      <x:c r="B126" s="34" t="str">
        <x:v>DOR-TTT-M001</x:v>
      </x:c>
      <x:c r="C126" s="34" t="str">
        <x:v>臺東縣</x:v>
      </x:c>
      <x:c r="D126" s="34" t="str">
        <x:v>臺東市</x:v>
      </x:c>
      <x:c r="E126" s="34" t="str">
        <x:v>媽祖廟／古蹟</x:v>
      </x:c>
      <x:c r="F126" s="34" t="str">
        <x:v>臺東天后宮</x:v>
      </x:c>
      <x:c r="G126" s="34" t="str">
        <x:v>主要入口／廟埕代表點</x:v>
      </x:c>
      <x:c r="H126" s="38" t="n">
        <x:v>22.75724</x:v>
      </x:c>
      <x:c r="I126" s="38" t="n">
        <x:v>121.15498</x:v>
      </x:c>
      <x:c r="J126" s="42" t="n">
        <x:v>5</x:v>
      </x:c>
      <x:c r="K126" s="34" t="str">
        <x:v>★★★★★</x:v>
      </x:c>
      <x:c r="L126" s="34" t="str">
        <x:v>全國級</x:v>
      </x:c>
      <x:c r="M126" s="34" t="str">
        <x:v>天上聖母</x:v>
      </x:c>
      <x:c r="N126" s="34" t="str">
        <x:v>東臺灣具代表性的媽祖廟，歷史與市中心可達性高。</x:v>
      </x:c>
      <x:c r="O126" s="34" t="str">
        <x:v>文化主線任務｜完成正門打卡、代表建築拍照與周邊街區散步，解鎖宮廟文化徽章。</x:v>
      </x:c>
      <x:c r="P126" s="34" t="str">
        <x:v>宗教場所通常對外開放；祭典、法會、整修或人流管制請依廟方與 Google Maps 最新公告。</x:v>
      </x:c>
      <x:c r="Q126" s="42" t="n">
        <x:v>55</x:v>
      </x:c>
      <x:c r="R126" s="34" t="str">
        <x:v>A</x:v>
      </x:c>
      <x:c r="S126" s="34" t="str">
        <x:v>Google Maps POI 圖釘；以廟埕或主要入口作為任務代表點</x:v>
      </x:c>
      <x:c r="T126" s="34" t="str">
        <x:v>宮廟／宗教文化</x:v>
      </x:c>
      <x:c r="U126" s="34" t="str">
        <x:v>臺東縣臺東市中華路一段222號</x:v>
      </x:c>
      <x:c r="V126" s="34" t="str">
        <x:v>https://www.google.com/maps/search/?api=1&amp;query=%E8%87%BA%E6%9D%B1%E5%A4%A9%E5%90%8E%E5%AE%AE%20%E8%87%BA%E6%9D%B1%E7%B8%A3%20%E8%87%BA%E6%9D%B1%E5%B8%82</x:v>
      </x:c>
      <x:c r="W126" s="34" t="str">
        <x:v>https://www.google.com/maps?q=22.757240,121.154980</x:v>
      </x:c>
      <x:c r="X126" s="34" t="str">
        <x:v>Google Maps POI 主定位＋政府宗教資料／官方廟方資料交叉整理</x:v>
      </x:c>
      <x:c r="Y126" s="34" t="str">
        <x:v>2026-07-13</x:v>
      </x:c>
      <x:c r="Z126" s="34" t="str">
        <x:v>V4-宮廟知名地點池</x:v>
      </x:c>
      <x:c r="AA126" s="34" t="str">
        <x:v>以正式廟名、所在縣市與 Google Maps POI 區分同名宮廟。</x:v>
      </x:c>
      <x:c r="AB126" s="34" t="str">
        <x:v>正式上線前點開 Google Maps 連結，確認主入口、廟埕與任務圓心沒有落在後殿、停車場或山區道路。</x:v>
      </x:c>
    </x:row>
    <x:row r="127">
      <x:c r="A127" s="34" t="n">
        <x:v>126</x:v>
      </x:c>
      <x:c r="B127" s="34" t="str">
        <x:v>DOR-TTT-M002</x:v>
      </x:c>
      <x:c r="C127" s="34" t="str">
        <x:v>臺東縣</x:v>
      </x:c>
      <x:c r="D127" s="34" t="str">
        <x:v>臺東市</x:v>
      </x:c>
      <x:c r="E127" s="34" t="str">
        <x:v>佛寺／古蹟</x:v>
      </x:c>
      <x:c r="F127" s="34" t="str">
        <x:v>臺東海山寺</x:v>
      </x:c>
      <x:c r="G127" s="34" t="str">
        <x:v>主要入口／廟埕代表點</x:v>
      </x:c>
      <x:c r="H127" s="38" t="n">
        <x:v>22.754409</x:v>
      </x:c>
      <x:c r="I127" s="38" t="n">
        <x:v>121.15383</x:v>
      </x:c>
      <x:c r="J127" s="42" t="n">
        <x:v>4</x:v>
      </x:c>
      <x:c r="K127" s="34" t="str">
        <x:v>★★★★☆</x:v>
      </x:c>
      <x:c r="L127" s="34" t="str">
        <x:v>區域代表級</x:v>
      </x:c>
      <x:c r="M127" s="34" t="str">
        <x:v>觀世音菩薩</x:v>
      </x:c>
      <x:c r="N127" s="34" t="str">
        <x:v>臺東市歷史佛寺，鄰近舊市區與海濱生活圈。</x:v>
      </x:c>
      <x:c r="O127" s="34" t="str">
        <x:v>文化探索任務｜完成廟埕打卡，沿周邊老街、聚落或生活圈步行探索。</x:v>
      </x:c>
      <x:c r="P127" s="34" t="str">
        <x:v>宗教場所通常對外開放；祭典、法會、整修或人流管制請依廟方與 Google Maps 最新公告。</x:v>
      </x:c>
      <x:c r="Q127" s="42" t="n">
        <x:v>50</x:v>
      </x:c>
      <x:c r="R127" s="34" t="str">
        <x:v>A</x:v>
      </x:c>
      <x:c r="S127" s="34" t="str">
        <x:v>Google Maps POI 圖釘；以廟埕或主要入口作為任務代表點</x:v>
      </x:c>
      <x:c r="T127" s="34" t="str">
        <x:v>宮廟／宗教文化</x:v>
      </x:c>
      <x:c r="U127" s="34" t="str">
        <x:v>臺東縣臺東市中正路88號</x:v>
      </x:c>
      <x:c r="V127" s="34" t="str">
        <x:v>https://www.google.com/maps/search/?api=1&amp;query=%E8%87%BA%E6%9D%B1%E6%B5%B7%E5%B1%B1%E5%AF%BA%20%E8%87%BA%E6%9D%B1%E7%B8%A3%20%E8%87%BA%E6%9D%B1%E5%B8%82</x:v>
      </x:c>
      <x:c r="W127" s="34" t="str">
        <x:v>https://www.google.com/maps?q=22.754409,121.153830</x:v>
      </x:c>
      <x:c r="X127" s="34" t="str">
        <x:v>Google Maps POI 主定位＋政府宗教資料／官方廟方資料交叉整理</x:v>
      </x:c>
      <x:c r="Y127" s="34" t="str">
        <x:v>2026-07-13</x:v>
      </x:c>
      <x:c r="Z127" s="34" t="str">
        <x:v>V4-宮廟知名地點池</x:v>
      </x:c>
      <x:c r="AA127" s="34" t="str">
        <x:v>以正式廟名、所在縣市與 Google Maps POI 區分同名宮廟。</x:v>
      </x:c>
      <x:c r="AB127" s="34" t="str">
        <x:v>正式上線前點開 Google Maps 連結，確認主入口、廟埕與任務圓心沒有落在後殿、停車場或山區道路。</x:v>
      </x:c>
    </x:row>
    <x:row r="128">
      <x:c r="A128" s="34" t="n">
        <x:v>127</x:v>
      </x:c>
      <x:c r="B128" s="34" t="str">
        <x:v>DOR-TTT-M003</x:v>
      </x:c>
      <x:c r="C128" s="34" t="str">
        <x:v>臺東縣</x:v>
      </x:c>
      <x:c r="D128" s="34" t="str">
        <x:v>卑南鄉</x:v>
      </x:c>
      <x:c r="E128" s="34" t="str">
        <x:v>宮廟</x:v>
      </x:c>
      <x:c r="F128" s="34" t="str">
        <x:v>卑南南清宮</x:v>
      </x:c>
      <x:c r="G128" s="34" t="str">
        <x:v>主要入口／廟埕代表點</x:v>
      </x:c>
      <x:c r="H128" s="38" t="n">
        <x:v>22.783707</x:v>
      </x:c>
      <x:c r="I128" s="38" t="n">
        <x:v>121.111084</x:v>
      </x:c>
      <x:c r="J128" s="42" t="n">
        <x:v>4</x:v>
      </x:c>
      <x:c r="K128" s="34" t="str">
        <x:v>★★★★☆</x:v>
      </x:c>
      <x:c r="L128" s="34" t="str">
        <x:v>區域代表級</x:v>
      </x:c>
      <x:c r="M128" s="34" t="str">
        <x:v>天上聖母</x:v>
      </x:c>
      <x:c r="N128" s="34" t="str">
        <x:v>卑南地方重要信仰中心，適合市郊散步打卡。</x:v>
      </x:c>
      <x:c r="O128" s="34" t="str">
        <x:v>文化探索任務｜完成廟埕打卡，沿周邊老街、聚落或生活圈步行探索。</x:v>
      </x:c>
      <x:c r="P128" s="34" t="str">
        <x:v>宗教場所通常對外開放；祭典、法會、整修或人流管制請依廟方與 Google Maps 最新公告。</x:v>
      </x:c>
      <x:c r="Q128" s="42" t="n">
        <x:v>60</x:v>
      </x:c>
      <x:c r="R128" s="34" t="str">
        <x:v>A</x:v>
      </x:c>
      <x:c r="S128" s="34" t="str">
        <x:v>Google Maps POI 圖釘；以廟埕或主要入口作為任務代表點</x:v>
      </x:c>
      <x:c r="T128" s="34" t="str">
        <x:v>宮廟／宗教文化</x:v>
      </x:c>
      <x:c r="U128" s="34" t="str">
        <x:v>臺東縣卑南鄉太平路567號</x:v>
      </x:c>
      <x:c r="V128" s="34" t="str">
        <x:v>https://www.google.com/maps/search/?api=1&amp;query=%E5%8D%91%E5%8D%97%E5%8D%97%E6%B8%85%E5%AE%AE%20%E8%87%BA%E6%9D%B1%E7%B8%A3%20%E5%8D%91%E5%8D%97%E9%84%89</x:v>
      </x:c>
      <x:c r="W128" s="34" t="str">
        <x:v>https://www.google.com/maps?q=22.783707,121.111084</x:v>
      </x:c>
      <x:c r="X128" s="34" t="str">
        <x:v>Google Maps POI 主定位＋政府宗教資料／官方廟方資料交叉整理</x:v>
      </x:c>
      <x:c r="Y128" s="34" t="str">
        <x:v>2026-07-13</x:v>
      </x:c>
      <x:c r="Z128" s="34" t="str">
        <x:v>V4-宮廟知名地點池</x:v>
      </x:c>
      <x:c r="AA128" s="34" t="str">
        <x:v>以正式廟名、所在縣市與 Google Maps POI 區分同名宮廟。</x:v>
      </x:c>
      <x:c r="AB128" s="34" t="str">
        <x:v>正式上線前點開 Google Maps 連結，確認主入口、廟埕與任務圓心沒有落在後殿、停車場或山區道路。</x:v>
      </x:c>
    </x:row>
    <x:row r="129">
      <x:c r="A129" s="34" t="n">
        <x:v>128</x:v>
      </x:c>
      <x:c r="B129" s="34" t="str">
        <x:v>DOR-TTT-M004</x:v>
      </x:c>
      <x:c r="C129" s="34" t="str">
        <x:v>臺東縣</x:v>
      </x:c>
      <x:c r="D129" s="34" t="str">
        <x:v>成功鎮</x:v>
      </x:c>
      <x:c r="E129" s="34" t="str">
        <x:v>媽祖廟</x:v>
      </x:c>
      <x:c r="F129" s="34" t="str">
        <x:v>成功鎮天后宮</x:v>
      </x:c>
      <x:c r="G129" s="34" t="str">
        <x:v>主要入口／廟埕代表點</x:v>
      </x:c>
      <x:c r="H129" s="38" t="n">
        <x:v>23.100765</x:v>
      </x:c>
      <x:c r="I129" s="38" t="n">
        <x:v>121.376244</x:v>
      </x:c>
      <x:c r="J129" s="42" t="n">
        <x:v>4</x:v>
      </x:c>
      <x:c r="K129" s="34" t="str">
        <x:v>★★★★☆</x:v>
      </x:c>
      <x:c r="L129" s="34" t="str">
        <x:v>區域代表級</x:v>
      </x:c>
      <x:c r="M129" s="34" t="str">
        <x:v>天上聖母</x:v>
      </x:c>
      <x:c r="N129" s="34" t="str">
        <x:v>成功漁港與海岸聚落重要媽祖信仰地標。</x:v>
      </x:c>
      <x:c r="O129" s="34" t="str">
        <x:v>文化探索任務｜完成廟埕打卡，沿周邊老街、聚落或生活圈步行探索。</x:v>
      </x:c>
      <x:c r="P129" s="34" t="str">
        <x:v>宗教場所通常對外開放；祭典、法會、整修或人流管制請依廟方與 Google Maps 最新公告。</x:v>
      </x:c>
      <x:c r="Q129" s="42" t="n">
        <x:v>55</x:v>
      </x:c>
      <x:c r="R129" s="34" t="str">
        <x:v>A</x:v>
      </x:c>
      <x:c r="S129" s="34" t="str">
        <x:v>Google Maps POI 圖釘；以廟埕或主要入口作為任務代表點</x:v>
      </x:c>
      <x:c r="T129" s="34" t="str">
        <x:v>宮廟／宗教文化</x:v>
      </x:c>
      <x:c r="U129" s="34" t="str">
        <x:v>臺東縣成功鎮中華路1號</x:v>
      </x:c>
      <x:c r="V129" s="34" t="str">
        <x:v>https://www.google.com/maps/search/?api=1&amp;query=%E6%88%90%E5%8A%9F%E9%8E%AE%E5%A4%A9%E5%90%8E%E5%AE%AE%20%E8%87%BA%E6%9D%B1%E7%B8%A3%20%E6%88%90%E5%8A%9F%E9%8E%AE</x:v>
      </x:c>
      <x:c r="W129" s="34" t="str">
        <x:v>https://www.google.com/maps?q=23.100765,121.376244</x:v>
      </x:c>
      <x:c r="X129" s="34" t="str">
        <x:v>Google Maps POI 主定位＋政府宗教資料／官方廟方資料交叉整理</x:v>
      </x:c>
      <x:c r="Y129" s="34" t="str">
        <x:v>2026-07-13</x:v>
      </x:c>
      <x:c r="Z129" s="34" t="str">
        <x:v>V4-宮廟知名地點池</x:v>
      </x:c>
      <x:c r="AA129" s="34" t="str">
        <x:v>以正式廟名、所在縣市與 Google Maps POI 區分同名宮廟。</x:v>
      </x:c>
      <x:c r="AB129" s="34" t="str">
        <x:v>正式上線前點開 Google Maps 連結，確認主入口、廟埕與任務圓心沒有落在後殿、停車場或山區道路。</x:v>
      </x:c>
    </x:row>
    <x:row r="130">
      <x:c r="A130" s="34" t="n">
        <x:v>129</x:v>
      </x:c>
      <x:c r="B130" s="34" t="str">
        <x:v>DOR-TTT-M005</x:v>
      </x:c>
      <x:c r="C130" s="34" t="str">
        <x:v>臺東縣</x:v>
      </x:c>
      <x:c r="D130" s="34" t="str">
        <x:v>池上鄉</x:v>
      </x:c>
      <x:c r="E130" s="34" t="str">
        <x:v>媽祖廟</x:v>
      </x:c>
      <x:c r="F130" s="34" t="str">
        <x:v>池上福原慈后宮</x:v>
      </x:c>
      <x:c r="G130" s="34" t="str">
        <x:v>主要入口／廟埕代表點</x:v>
      </x:c>
      <x:c r="H130" s="38" t="n">
        <x:v>23.124417</x:v>
      </x:c>
      <x:c r="I130" s="38" t="n">
        <x:v>121.219219</x:v>
      </x:c>
      <x:c r="J130" s="42" t="n">
        <x:v>4</x:v>
      </x:c>
      <x:c r="K130" s="34" t="str">
        <x:v>★★★★☆</x:v>
      </x:c>
      <x:c r="L130" s="34" t="str">
        <x:v>區域代表級</x:v>
      </x:c>
      <x:c r="M130" s="34" t="str">
        <x:v>天上聖母</x:v>
      </x:c>
      <x:c r="N130" s="34" t="str">
        <x:v>池上市區代表性廟宇，可與車站、稻田街區串聯。</x:v>
      </x:c>
      <x:c r="O130" s="34" t="str">
        <x:v>文化探索任務｜完成廟埕打卡，沿周邊老街、聚落或生活圈步行探索。</x:v>
      </x:c>
      <x:c r="P130" s="34" t="str">
        <x:v>宗教場所通常對外開放；祭典、法會、整修或人流管制請依廟方與 Google Maps 最新公告。</x:v>
      </x:c>
      <x:c r="Q130" s="42" t="n">
        <x:v>50</x:v>
      </x:c>
      <x:c r="R130" s="34" t="str">
        <x:v>A</x:v>
      </x:c>
      <x:c r="S130" s="34" t="str">
        <x:v>Google Maps POI 圖釘；以廟埕或主要入口作為任務代表點</x:v>
      </x:c>
      <x:c r="T130" s="34" t="str">
        <x:v>宮廟／宗教文化</x:v>
      </x:c>
      <x:c r="U130" s="34" t="str">
        <x:v>臺東縣池上鄉慶福路10號</x:v>
      </x:c>
      <x:c r="V130" s="34" t="str">
        <x:v>https://www.google.com/maps/search/?api=1&amp;query=%E6%B1%A0%E4%B8%8A%E7%A6%8F%E5%8E%9F%E6%85%88%E5%90%8E%E5%AE%AE%20%E8%87%BA%E6%9D%B1%E7%B8%A3%20%E6%B1%A0%E4%B8%8A%E9%84%89</x:v>
      </x:c>
      <x:c r="W130" s="34" t="str">
        <x:v>https://www.google.com/maps?q=23.124417,121.219219</x:v>
      </x:c>
      <x:c r="X130" s="34" t="str">
        <x:v>Google Maps POI 主定位＋政府宗教資料／官方廟方資料交叉整理</x:v>
      </x:c>
      <x:c r="Y130" s="34" t="str">
        <x:v>2026-07-13</x:v>
      </x:c>
      <x:c r="Z130" s="34" t="str">
        <x:v>V4-宮廟知名地點池</x:v>
      </x:c>
      <x:c r="AA130" s="34" t="str">
        <x:v>以正式廟名、所在縣市與 Google Maps POI 區分同名宮廟。</x:v>
      </x:c>
      <x:c r="AB130" s="34" t="str">
        <x:v>正式上線前點開 Google Maps 連結，確認主入口、廟埕與任務圓心沒有落在後殿、停車場或山區道路。</x:v>
      </x:c>
    </x:row>
    <x:row r="131">
      <x:c r="A131" s="34" t="n">
        <x:v>130</x:v>
      </x:c>
      <x:c r="B131" s="34" t="str">
        <x:v>DOR-PEN-M001</x:v>
      </x:c>
      <x:c r="C131" s="34" t="str">
        <x:v>澎湖縣</x:v>
      </x:c>
      <x:c r="D131" s="34" t="str">
        <x:v>馬公市</x:v>
      </x:c>
      <x:c r="E131" s="34" t="str">
        <x:v>媽祖廟／國定古蹟</x:v>
      </x:c>
      <x:c r="F131" s="34" t="str">
        <x:v>澎湖天后宮</x:v>
      </x:c>
      <x:c r="G131" s="34" t="str">
        <x:v>主要入口／廟埕代表點</x:v>
      </x:c>
      <x:c r="H131" s="38" t="n">
        <x:v>23.56469</x:v>
      </x:c>
      <x:c r="I131" s="38" t="n">
        <x:v>119.56404</x:v>
      </x:c>
      <x:c r="J131" s="42" t="n">
        <x:v>5</x:v>
      </x:c>
      <x:c r="K131" s="34" t="str">
        <x:v>★★★★★</x:v>
      </x:c>
      <x:c r="L131" s="34" t="str">
        <x:v>全國級</x:v>
      </x:c>
      <x:c r="M131" s="34" t="str">
        <x:v>天上聖母</x:v>
      </x:c>
      <x:c r="N131" s="34" t="str">
        <x:v>臺灣最早媽祖廟，馬公中央老街核心文化地標。</x:v>
      </x:c>
      <x:c r="O131" s="34" t="str">
        <x:v>文化主線任務｜完成正門打卡、代表建築拍照與周邊街區散步，解鎖宮廟文化徽章。</x:v>
      </x:c>
      <x:c r="P131" s="34" t="str">
        <x:v>宗教場所通常對外開放；祭典、法會、整修或人流管制請依廟方與 Google Maps 最新公告。</x:v>
      </x:c>
      <x:c r="Q131" s="42" t="n">
        <x:v>55</x:v>
      </x:c>
      <x:c r="R131" s="34" t="str">
        <x:v>A</x:v>
      </x:c>
      <x:c r="S131" s="34" t="str">
        <x:v>Google Maps POI 圖釘；以廟埕或主要入口作為任務代表點</x:v>
      </x:c>
      <x:c r="T131" s="34" t="str">
        <x:v>宮廟／宗教文化</x:v>
      </x:c>
      <x:c r="U131" s="34" t="str">
        <x:v>澎湖縣馬公市正義街1號</x:v>
      </x:c>
      <x:c r="V131" s="34" t="str">
        <x:v>https://www.google.com/maps/search/?api=1&amp;query=%E6%BE%8E%E6%B9%96%E5%A4%A9%E5%90%8E%E5%AE%AE%20%E6%BE%8E%E6%B9%96%E7%B8%A3%20%E9%A6%AC%E5%85%AC%E5%B8%82</x:v>
      </x:c>
      <x:c r="W131" s="34" t="str">
        <x:v>https://www.google.com/maps?q=23.564690,119.564040</x:v>
      </x:c>
      <x:c r="X131" s="34" t="str">
        <x:v>Google Maps POI 主定位＋政府宗教資料／官方廟方資料交叉整理</x:v>
      </x:c>
      <x:c r="Y131" s="34" t="str">
        <x:v>2026-07-13</x:v>
      </x:c>
      <x:c r="Z131" s="34" t="str">
        <x:v>V4-宮廟知名地點池</x:v>
      </x:c>
      <x:c r="AA131" s="34" t="str">
        <x:v>以正式廟名、所在縣市與 Google Maps POI 區分同名宮廟。</x:v>
      </x:c>
      <x:c r="AB131" s="34" t="str">
        <x:v>正式上線前點開 Google Maps 連結，確認主入口、廟埕與任務圓心沒有落在後殿、停車場或山區道路。</x:v>
      </x:c>
    </x:row>
    <x:row r="132">
      <x:c r="A132" s="34" t="n">
        <x:v>131</x:v>
      </x:c>
      <x:c r="B132" s="34" t="str">
        <x:v>DOR-PEN-M002</x:v>
      </x:c>
      <x:c r="C132" s="34" t="str">
        <x:v>澎湖縣</x:v>
      </x:c>
      <x:c r="D132" s="34" t="str">
        <x:v>馬公市</x:v>
      </x:c>
      <x:c r="E132" s="34" t="str">
        <x:v>城隍廟／古蹟</x:v>
      </x:c>
      <x:c r="F132" s="34" t="str">
        <x:v>文澳城隍廟</x:v>
      </x:c>
      <x:c r="G132" s="34" t="str">
        <x:v>主要入口／廟埕代表點</x:v>
      </x:c>
      <x:c r="H132" s="38" t="n">
        <x:v>23.567779</x:v>
      </x:c>
      <x:c r="I132" s="38" t="n">
        <x:v>119.586613</x:v>
      </x:c>
      <x:c r="J132" s="42" t="n">
        <x:v>4</x:v>
      </x:c>
      <x:c r="K132" s="34" t="str">
        <x:v>★★★★☆</x:v>
      </x:c>
      <x:c r="L132" s="34" t="str">
        <x:v>區域代表級</x:v>
      </x:c>
      <x:c r="M132" s="34" t="str">
        <x:v>城隍尊神</x:v>
      </x:c>
      <x:c r="N132" s="34" t="str">
        <x:v>澎湖早期官祀城隍信仰地標，地方歷史代表性高。</x:v>
      </x:c>
      <x:c r="O132" s="34" t="str">
        <x:v>文化探索任務｜完成廟埕打卡，沿周邊老街、聚落或生活圈步行探索。</x:v>
      </x:c>
      <x:c r="P132" s="34" t="str">
        <x:v>宗教場所通常對外開放；祭典、法會、整修或人流管制請依廟方與 Google Maps 最新公告。</x:v>
      </x:c>
      <x:c r="Q132" s="42" t="n">
        <x:v>50</x:v>
      </x:c>
      <x:c r="R132" s="34" t="str">
        <x:v>A</x:v>
      </x:c>
      <x:c r="S132" s="34" t="str">
        <x:v>Google Maps POI 圖釘；以廟埕或主要入口作為任務代表點</x:v>
      </x:c>
      <x:c r="T132" s="34" t="str">
        <x:v>宮廟／宗教文化</x:v>
      </x:c>
      <x:c r="U132" s="34" t="str">
        <x:v>澎湖縣馬公市西文里25號</x:v>
      </x:c>
      <x:c r="V132" s="34" t="str">
        <x:v>https://www.google.com/maps/search/?api=1&amp;query=%E6%96%87%E6%BE%B3%E5%9F%8E%E9%9A%8D%E5%BB%9F%20%E6%BE%8E%E6%B9%96%E7%B8%A3%20%E9%A6%AC%E5%85%AC%E5%B8%82</x:v>
      </x:c>
      <x:c r="W132" s="34" t="str">
        <x:v>https://www.google.com/maps?q=23.567779,119.586613</x:v>
      </x:c>
      <x:c r="X132" s="34" t="str">
        <x:v>Google Maps POI 主定位＋政府宗教資料／官方廟方資料交叉整理</x:v>
      </x:c>
      <x:c r="Y132" s="34" t="str">
        <x:v>2026-07-13</x:v>
      </x:c>
      <x:c r="Z132" s="34" t="str">
        <x:v>V4-宮廟知名地點池</x:v>
      </x:c>
      <x:c r="AA132" s="34" t="str">
        <x:v>以正式廟名、所在縣市與 Google Maps POI 區分同名宮廟。</x:v>
      </x:c>
      <x:c r="AB132" s="34" t="str">
        <x:v>正式上線前點開 Google Maps 連結，確認主入口、廟埕與任務圓心沒有落在後殿、停車場或山區道路。</x:v>
      </x:c>
    </x:row>
    <x:row r="133">
      <x:c r="A133" s="34" t="n">
        <x:v>132</x:v>
      </x:c>
      <x:c r="B133" s="34" t="str">
        <x:v>DOR-PEN-M003</x:v>
      </x:c>
      <x:c r="C133" s="34" t="str">
        <x:v>澎湖縣</x:v>
      </x:c>
      <x:c r="D133" s="34" t="str">
        <x:v>馬公市</x:v>
      </x:c>
      <x:c r="E133" s="34" t="str">
        <x:v>城隍廟</x:v>
      </x:c>
      <x:c r="F133" s="34" t="str">
        <x:v>馬公城隍廟</x:v>
      </x:c>
      <x:c r="G133" s="34" t="str">
        <x:v>主要入口／廟埕代表點</x:v>
      </x:c>
      <x:c r="H133" s="38" t="n">
        <x:v>23.566255</x:v>
      </x:c>
      <x:c r="I133" s="38" t="n">
        <x:v>119.566853</x:v>
      </x:c>
      <x:c r="J133" s="42" t="n">
        <x:v>4</x:v>
      </x:c>
      <x:c r="K133" s="34" t="str">
        <x:v>★★★★☆</x:v>
      </x:c>
      <x:c r="L133" s="34" t="str">
        <x:v>區域代表級</x:v>
      </x:c>
      <x:c r="M133" s="34" t="str">
        <x:v>城隍尊神</x:v>
      </x:c>
      <x:c r="N133" s="34" t="str">
        <x:v>馬公市區重要城隍廟，可與中央街及港區串聯。</x:v>
      </x:c>
      <x:c r="O133" s="34" t="str">
        <x:v>文化探索任務｜完成廟埕打卡，沿周邊老街、聚落或生活圈步行探索。</x:v>
      </x:c>
      <x:c r="P133" s="34" t="str">
        <x:v>宗教場所通常對外開放；祭典、法會、整修或人流管制請依廟方與 Google Maps 最新公告。</x:v>
      </x:c>
      <x:c r="Q133" s="42" t="n">
        <x:v>45</x:v>
      </x:c>
      <x:c r="R133" s="34" t="str">
        <x:v>A</x:v>
      </x:c>
      <x:c r="S133" s="34" t="str">
        <x:v>Google Maps POI 圖釘；以廟埕或主要入口作為任務代表點</x:v>
      </x:c>
      <x:c r="T133" s="34" t="str">
        <x:v>宮廟／宗教文化</x:v>
      </x:c>
      <x:c r="U133" s="34" t="str">
        <x:v>澎湖縣馬公市光明路20號</x:v>
      </x:c>
      <x:c r="V133" s="34" t="str">
        <x:v>https://www.google.com/maps/search/?api=1&amp;query=%E9%A6%AC%E5%85%AC%E5%9F%8E%E9%9A%8D%E5%BB%9F%20%E6%BE%8E%E6%B9%96%E7%B8%A3%20%E9%A6%AC%E5%85%AC%E5%B8%82</x:v>
      </x:c>
      <x:c r="W133" s="34" t="str">
        <x:v>https://www.google.com/maps?q=23.566255,119.566853</x:v>
      </x:c>
      <x:c r="X133" s="34" t="str">
        <x:v>Google Maps POI 主定位＋政府宗教資料／官方廟方資料交叉整理</x:v>
      </x:c>
      <x:c r="Y133" s="34" t="str">
        <x:v>2026-07-13</x:v>
      </x:c>
      <x:c r="Z133" s="34" t="str">
        <x:v>V4-宮廟知名地點池</x:v>
      </x:c>
      <x:c r="AA133" s="34" t="str">
        <x:v>以正式廟名、所在縣市與 Google Maps POI 區分同名宮廟。</x:v>
      </x:c>
      <x:c r="AB133" s="34" t="str">
        <x:v>正式上線前點開 Google Maps 連結，確認主入口、廟埕與任務圓心沒有落在後殿、停車場或山區道路。</x:v>
      </x:c>
    </x:row>
    <x:row r="134">
      <x:c r="A134" s="34" t="n">
        <x:v>133</x:v>
      </x:c>
      <x:c r="B134" s="34" t="str">
        <x:v>DOR-PEN-M004</x:v>
      </x:c>
      <x:c r="C134" s="34" t="str">
        <x:v>澎湖縣</x:v>
      </x:c>
      <x:c r="D134" s="34" t="str">
        <x:v>馬公市</x:v>
      </x:c>
      <x:c r="E134" s="34" t="str">
        <x:v>觀音廟／古蹟</x:v>
      </x:c>
      <x:c r="F134" s="34" t="str">
        <x:v>澎湖觀音亭</x:v>
      </x:c>
      <x:c r="G134" s="34" t="str">
        <x:v>主要入口／廟埕代表點</x:v>
      </x:c>
      <x:c r="H134" s="38" t="n">
        <x:v>23.568653</x:v>
      </x:c>
      <x:c r="I134" s="38" t="n">
        <x:v>119.564469</x:v>
      </x:c>
      <x:c r="J134" s="42" t="n">
        <x:v>5</x:v>
      </x:c>
      <x:c r="K134" s="34" t="str">
        <x:v>★★★★★</x:v>
      </x:c>
      <x:c r="L134" s="34" t="str">
        <x:v>全國級</x:v>
      </x:c>
      <x:c r="M134" s="34" t="str">
        <x:v>觀世音菩薩</x:v>
      </x:c>
      <x:c r="N134" s="34" t="str">
        <x:v>海灣夕陽與古廟結合，澎湖最成熟散步打卡點之一。</x:v>
      </x:c>
      <x:c r="O134" s="34" t="str">
        <x:v>文化主線任務｜完成正門打卡、代表建築拍照與周邊街區散步，解鎖宮廟文化徽章。</x:v>
      </x:c>
      <x:c r="P134" s="34" t="str">
        <x:v>宗教場所通常對外開放；祭典、法會、整修或人流管制請依廟方與 Google Maps 最新公告。</x:v>
      </x:c>
      <x:c r="Q134" s="42" t="n">
        <x:v>60</x:v>
      </x:c>
      <x:c r="R134" s="34" t="str">
        <x:v>A</x:v>
      </x:c>
      <x:c r="S134" s="34" t="str">
        <x:v>Google Maps POI 圖釘；以廟埕或主要入口作為任務代表點</x:v>
      </x:c>
      <x:c r="T134" s="34" t="str">
        <x:v>宮廟／宗教文化</x:v>
      </x:c>
      <x:c r="U134" s="34" t="str">
        <x:v>澎湖縣馬公市介壽路7號</x:v>
      </x:c>
      <x:c r="V134" s="34" t="str">
        <x:v>https://www.google.com/maps/search/?api=1&amp;query=%E6%BE%8E%E6%B9%96%E8%A7%80%E9%9F%B3%E4%BA%AD%20%E6%BE%8E%E6%B9%96%E7%B8%A3%20%E9%A6%AC%E5%85%AC%E5%B8%82</x:v>
      </x:c>
      <x:c r="W134" s="34" t="str">
        <x:v>https://www.google.com/maps?q=23.568653,119.564469</x:v>
      </x:c>
      <x:c r="X134" s="34" t="str">
        <x:v>Google Maps POI 主定位＋政府宗教資料／官方廟方資料交叉整理</x:v>
      </x:c>
      <x:c r="Y134" s="34" t="str">
        <x:v>2026-07-13</x:v>
      </x:c>
      <x:c r="Z134" s="34" t="str">
        <x:v>V4-宮廟知名地點池</x:v>
      </x:c>
      <x:c r="AA134" s="34" t="str">
        <x:v>以正式廟名、所在縣市與 Google Maps POI 區分同名宮廟。</x:v>
      </x:c>
      <x:c r="AB134" s="34" t="str">
        <x:v>正式上線前點開 Google Maps 連結，確認主入口、廟埕與任務圓心沒有落在後殿、停車場或山區道路。</x:v>
      </x:c>
    </x:row>
    <x:row r="135">
      <x:c r="A135" s="34" t="n">
        <x:v>134</x:v>
      </x:c>
      <x:c r="B135" s="34" t="str">
        <x:v>DOR-PEN-M005</x:v>
      </x:c>
      <x:c r="C135" s="34" t="str">
        <x:v>澎湖縣</x:v>
      </x:c>
      <x:c r="D135" s="34" t="str">
        <x:v>白沙鄉</x:v>
      </x:c>
      <x:c r="E135" s="34" t="str">
        <x:v>王爺廟／古蹟</x:v>
      </x:c>
      <x:c r="F135" s="34" t="str">
        <x:v>通梁保安宮</x:v>
      </x:c>
      <x:c r="G135" s="34" t="str">
        <x:v>主要入口／廟埕代表點</x:v>
      </x:c>
      <x:c r="H135" s="38" t="n">
        <x:v>23.649445</x:v>
      </x:c>
      <x:c r="I135" s="38" t="n">
        <x:v>119.555089</x:v>
      </x:c>
      <x:c r="J135" s="42" t="n">
        <x:v>4</x:v>
      </x:c>
      <x:c r="K135" s="34" t="str">
        <x:v>★★★★☆</x:v>
      </x:c>
      <x:c r="L135" s="34" t="str">
        <x:v>區域代表級</x:v>
      </x:c>
      <x:c r="M135" s="34" t="str">
        <x:v>康府王爺</x:v>
      </x:c>
      <x:c r="N135" s="34" t="str">
        <x:v>通梁古榕與廟宇形成高辨識度聚落景觀。</x:v>
      </x:c>
      <x:c r="O135" s="34" t="str">
        <x:v>文化探索任務｜完成廟埕打卡，沿周邊老街、聚落或生活圈步行探索。</x:v>
      </x:c>
      <x:c r="P135" s="34" t="str">
        <x:v>宗教場所通常對外開放；祭典、法會、整修或人流管制請依廟方與 Google Maps 最新公告。</x:v>
      </x:c>
      <x:c r="Q135" s="42" t="n">
        <x:v>60</x:v>
      </x:c>
      <x:c r="R135" s="34" t="str">
        <x:v>A</x:v>
      </x:c>
      <x:c r="S135" s="34" t="str">
        <x:v>Google Maps POI 圖釘；以廟埕或主要入口作為任務代表點</x:v>
      </x:c>
      <x:c r="T135" s="34" t="str">
        <x:v>宮廟／宗教文化</x:v>
      </x:c>
      <x:c r="U135" s="34" t="str">
        <x:v>澎湖縣白沙鄉通梁村69之1號</x:v>
      </x:c>
      <x:c r="V135" s="34" t="str">
        <x:v>https://www.google.com/maps/search/?api=1&amp;query=%E9%80%9A%E6%A2%81%E4%BF%9D%E5%AE%89%E5%AE%AE%20%E6%BE%8E%E6%B9%96%E7%B8%A3%20%E7%99%BD%E6%B2%99%E9%84%89</x:v>
      </x:c>
      <x:c r="W135" s="34" t="str">
        <x:v>https://www.google.com/maps?q=23.649445,119.555089</x:v>
      </x:c>
      <x:c r="X135" s="34" t="str">
        <x:v>Google Maps POI 主定位＋政府宗教資料／官方廟方資料交叉整理</x:v>
      </x:c>
      <x:c r="Y135" s="34" t="str">
        <x:v>2026-07-13</x:v>
      </x:c>
      <x:c r="Z135" s="34" t="str">
        <x:v>V4-宮廟知名地點池</x:v>
      </x:c>
      <x:c r="AA135" s="34" t="str">
        <x:v>以正式廟名、所在縣市與 Google Maps POI 區分同名宮廟。</x:v>
      </x:c>
      <x:c r="AB135" s="34" t="str">
        <x:v>正式上線前點開 Google Maps 連結，確認主入口、廟埕與任務圓心沒有落在後殿、停車場或山區道路。</x:v>
      </x:c>
    </x:row>
    <x:row r="136">
      <x:c r="A136" s="34" t="n">
        <x:v>135</x:v>
      </x:c>
      <x:c r="B136" s="34" t="str">
        <x:v>DOR-PEN-M006</x:v>
      </x:c>
      <x:c r="C136" s="34" t="str">
        <x:v>澎湖縣</x:v>
      </x:c>
      <x:c r="D136" s="34" t="str">
        <x:v>西嶼鄉</x:v>
      </x:c>
      <x:c r="E136" s="34" t="str">
        <x:v>宮廟</x:v>
      </x:c>
      <x:c r="F136" s="34" t="str">
        <x:v>西嶼大義宮</x:v>
      </x:c>
      <x:c r="G136" s="34" t="str">
        <x:v>主要入口／廟埕代表點</x:v>
      </x:c>
      <x:c r="H136" s="38" t="n">
        <x:v>23.599896</x:v>
      </x:c>
      <x:c r="I136" s="38" t="n">
        <x:v>119.516471</x:v>
      </x:c>
      <x:c r="J136" s="42" t="n">
        <x:v>4</x:v>
      </x:c>
      <x:c r="K136" s="34" t="str">
        <x:v>★★★★☆</x:v>
      </x:c>
      <x:c r="L136" s="34" t="str">
        <x:v>區域代表級</x:v>
      </x:c>
      <x:c r="M136" s="34" t="str">
        <x:v>關聖帝君</x:v>
      </x:c>
      <x:c r="N136" s="34" t="str">
        <x:v>地下珊瑚洞與海龜景觀知名，適合離島文化探索。</x:v>
      </x:c>
      <x:c r="O136" s="34" t="str">
        <x:v>文化探索任務｜完成廟埕打卡，沿周邊老街、聚落或生活圈步行探索。</x:v>
      </x:c>
      <x:c r="P136" s="34" t="str">
        <x:v>宗教場所通常對外開放；祭典、法會、整修或人流管制請依廟方與 Google Maps 最新公告。</x:v>
      </x:c>
      <x:c r="Q136" s="42" t="n">
        <x:v>60</x:v>
      </x:c>
      <x:c r="R136" s="34" t="str">
        <x:v>A</x:v>
      </x:c>
      <x:c r="S136" s="34" t="str">
        <x:v>Google Maps POI 圖釘；以廟埕或主要入口作為任務代表點</x:v>
      </x:c>
      <x:c r="T136" s="34" t="str">
        <x:v>宮廟／宗教文化</x:v>
      </x:c>
      <x:c r="U136" s="34" t="str">
        <x:v>澎湖縣西嶼鄉竹灣村76號</x:v>
      </x:c>
      <x:c r="V136" s="34" t="str">
        <x:v>https://www.google.com/maps/search/?api=1&amp;query=%E8%A5%BF%E5%B6%BC%E5%A4%A7%E7%BE%A9%E5%AE%AE%20%E6%BE%8E%E6%B9%96%E7%B8%A3%20%E8%A5%BF%E5%B6%BC%E9%84%89</x:v>
      </x:c>
      <x:c r="W136" s="34" t="str">
        <x:v>https://www.google.com/maps?q=23.599896,119.516471</x:v>
      </x:c>
      <x:c r="X136" s="34" t="str">
        <x:v>Google Maps POI 主定位＋政府宗教資料／官方廟方資料交叉整理</x:v>
      </x:c>
      <x:c r="Y136" s="34" t="str">
        <x:v>2026-07-13</x:v>
      </x:c>
      <x:c r="Z136" s="34" t="str">
        <x:v>V4-宮廟知名地點池</x:v>
      </x:c>
      <x:c r="AA136" s="34" t="str">
        <x:v>以正式廟名、所在縣市與 Google Maps POI 區分同名宮廟。</x:v>
      </x:c>
      <x:c r="AB136" s="34" t="str">
        <x:v>正式上線前點開 Google Maps 連結，確認主入口、廟埕與任務圓心沒有落在後殿、停車場或山區道路。</x:v>
      </x:c>
    </x:row>
    <x:row r="137">
      <x:c r="A137" s="34" t="n">
        <x:v>136</x:v>
      </x:c>
      <x:c r="B137" s="34" t="str">
        <x:v>DOR-KIN-M001</x:v>
      </x:c>
      <x:c r="C137" s="34" t="str">
        <x:v>金門縣</x:v>
      </x:c>
      <x:c r="D137" s="34" t="str">
        <x:v>金城鎮</x:v>
      </x:c>
      <x:c r="E137" s="34" t="str">
        <x:v>城隍廟</x:v>
      </x:c>
      <x:c r="F137" s="34" t="str">
        <x:v>浯島城隍廟</x:v>
      </x:c>
      <x:c r="G137" s="34" t="str">
        <x:v>主要入口／廟埕代表點</x:v>
      </x:c>
      <x:c r="H137" s="38" t="n">
        <x:v>24.432616</x:v>
      </x:c>
      <x:c r="I137" s="38" t="n">
        <x:v>118.317552</x:v>
      </x:c>
      <x:c r="J137" s="42" t="n">
        <x:v>5</x:v>
      </x:c>
      <x:c r="K137" s="34" t="str">
        <x:v>★★★★★</x:v>
      </x:c>
      <x:c r="L137" s="34" t="str">
        <x:v>全國級</x:v>
      </x:c>
      <x:c r="M137" s="34" t="str">
        <x:v>城隍尊神</x:v>
      </x:c>
      <x:c r="N137" s="34" t="str">
        <x:v>金門迎城隍慶典核心，金城老街文化辨識度高。</x:v>
      </x:c>
      <x:c r="O137" s="34" t="str">
        <x:v>文化主線任務｜完成正門打卡、代表建築拍照與周邊街區散步，解鎖宮廟文化徽章。</x:v>
      </x:c>
      <x:c r="P137" s="34" t="str">
        <x:v>宗教場所通常對外開放；祭典、法會、整修或人流管制請依廟方與 Google Maps 最新公告。</x:v>
      </x:c>
      <x:c r="Q137" s="42" t="n">
        <x:v>55</x:v>
      </x:c>
      <x:c r="R137" s="34" t="str">
        <x:v>A</x:v>
      </x:c>
      <x:c r="S137" s="34" t="str">
        <x:v>Google Maps POI 圖釘；以廟埕或主要入口作為任務代表點</x:v>
      </x:c>
      <x:c r="T137" s="34" t="str">
        <x:v>宮廟／宗教文化</x:v>
      </x:c>
      <x:c r="U137" s="34" t="str">
        <x:v>金門縣金城鎮光前路40號</x:v>
      </x:c>
      <x:c r="V137" s="34" t="str">
        <x:v>https://www.google.com/maps/search/?api=1&amp;query=%E6%B5%AF%E5%B3%B6%E5%9F%8E%E9%9A%8D%E5%BB%9F%20%E9%87%91%E9%96%80%E7%B8%A3%20%E9%87%91%E5%9F%8E%E9%8E%AE</x:v>
      </x:c>
      <x:c r="W137" s="34" t="str">
        <x:v>https://www.google.com/maps?q=24.432616,118.317552</x:v>
      </x:c>
      <x:c r="X137" s="34" t="str">
        <x:v>Google Maps POI 主定位＋政府宗教資料／官方廟方資料交叉整理</x:v>
      </x:c>
      <x:c r="Y137" s="34" t="str">
        <x:v>2026-07-13</x:v>
      </x:c>
      <x:c r="Z137" s="34" t="str">
        <x:v>V4-宮廟知名地點池</x:v>
      </x:c>
      <x:c r="AA137" s="34" t="str">
        <x:v>以正式廟名、所在縣市與 Google Maps POI 區分同名宮廟。</x:v>
      </x:c>
      <x:c r="AB137" s="34" t="str">
        <x:v>正式上線前點開 Google Maps 連結，確認主入口、廟埕與任務圓心沒有落在後殿、停車場或山區道路。</x:v>
      </x:c>
    </x:row>
    <x:row r="138">
      <x:c r="A138" s="34" t="n">
        <x:v>137</x:v>
      </x:c>
      <x:c r="B138" s="34" t="str">
        <x:v>DOR-KIN-M002</x:v>
      </x:c>
      <x:c r="C138" s="34" t="str">
        <x:v>金門縣</x:v>
      </x:c>
      <x:c r="D138" s="34" t="str">
        <x:v>金湖鎮</x:v>
      </x:c>
      <x:c r="E138" s="34" t="str">
        <x:v>佛寺</x:v>
      </x:c>
      <x:c r="F138" s="34" t="str">
        <x:v>太武山海印寺</x:v>
      </x:c>
      <x:c r="G138" s="34" t="str">
        <x:v>主要入口／廟埕代表點</x:v>
      </x:c>
      <x:c r="H138" s="38" t="n">
        <x:v>24.446704</x:v>
      </x:c>
      <x:c r="I138" s="38" t="n">
        <x:v>118.478981</x:v>
      </x:c>
      <x:c r="J138" s="42" t="n">
        <x:v>5</x:v>
      </x:c>
      <x:c r="K138" s="34" t="str">
        <x:v>★★★★★</x:v>
      </x:c>
      <x:c r="L138" s="34" t="str">
        <x:v>全國級</x:v>
      </x:c>
      <x:c r="M138" s="34" t="str">
        <x:v>觀世音菩薩</x:v>
      </x:c>
      <x:c r="N138" s="34" t="str">
        <x:v>太武山登山與佛寺地景結合，是金門代表性宗教景點。</x:v>
      </x:c>
      <x:c r="O138" s="34" t="str">
        <x:v>文化主線任務｜完成正門打卡、代表建築拍照與周邊街區散步，解鎖宮廟文化徽章。</x:v>
      </x:c>
      <x:c r="P138" s="34" t="str">
        <x:v>宗教場所通常對外開放；祭典、法會、整修或人流管制請依廟方與 Google Maps 最新公告。</x:v>
      </x:c>
      <x:c r="Q138" s="42" t="n">
        <x:v>100</x:v>
      </x:c>
      <x:c r="R138" s="34" t="str">
        <x:v>B</x:v>
      </x:c>
      <x:c r="S138" s="34" t="str">
        <x:v>Google Maps 海印寺主地標；山區步道任務以登山口或寺前平台為代表點</x:v>
      </x:c>
      <x:c r="T138" s="34" t="str">
        <x:v>宮廟／宗教文化</x:v>
      </x:c>
      <x:c r="U138" s="34" t="str">
        <x:v>金門縣金湖鎮太武山</x:v>
      </x:c>
      <x:c r="V138" s="34" t="str">
        <x:v>https://www.google.com/maps/search/?api=1&amp;query=%E5%A4%AA%E6%AD%A6%E5%B1%B1%E6%B5%B7%E5%8D%B0%E5%AF%BA%20%E9%87%91%E9%96%80%E7%B8%A3%20%E9%87%91%E6%B9%96%E9%8E%AE</x:v>
      </x:c>
      <x:c r="W138" s="34" t="str">
        <x:v>https://www.google.com/maps?q=24.446704,118.478981</x:v>
      </x:c>
      <x:c r="X138" s="34" t="str">
        <x:v>Google Maps POI 主定位＋政府宗教資料／官方廟方資料交叉整理</x:v>
      </x:c>
      <x:c r="Y138" s="34" t="str">
        <x:v>2026-07-13</x:v>
      </x:c>
      <x:c r="Z138" s="34" t="str">
        <x:v>V4-宮廟知名地點池</x:v>
      </x:c>
      <x:c r="AA138" s="34" t="str">
        <x:v>以正式廟名、所在縣市與 Google Maps POI 區分同名宮廟。</x:v>
      </x:c>
      <x:c r="AB138" s="34" t="str">
        <x:v>正式上線前點開 Google Maps 連結，確認主入口、廟埕與任務圓心沒有落在後殿、停車場或山區道路。</x:v>
      </x:c>
    </x:row>
    <x:row r="139">
      <x:c r="A139" s="34" t="n">
        <x:v>138</x:v>
      </x:c>
      <x:c r="B139" s="34" t="str">
        <x:v>DOR-KIN-M003</x:v>
      </x:c>
      <x:c r="C139" s="34" t="str">
        <x:v>金門縣</x:v>
      </x:c>
      <x:c r="D139" s="34" t="str">
        <x:v>金城鎮</x:v>
      </x:c>
      <x:c r="E139" s="34" t="str">
        <x:v>宮廟</x:v>
      </x:c>
      <x:c r="F139" s="34" t="str">
        <x:v>金城北鎮廟</x:v>
      </x:c>
      <x:c r="G139" s="34" t="str">
        <x:v>主要入口／廟埕代表點</x:v>
      </x:c>
      <x:c r="H139" s="38" t="n">
        <x:v>24.433863</x:v>
      </x:c>
      <x:c r="I139" s="38" t="n">
        <x:v>118.318239</x:v>
      </x:c>
      <x:c r="J139" s="42" t="n">
        <x:v>4</x:v>
      </x:c>
      <x:c r="K139" s="34" t="str">
        <x:v>★★★★☆</x:v>
      </x:c>
      <x:c r="L139" s="34" t="str">
        <x:v>區域代表級</x:v>
      </x:c>
      <x:c r="M139" s="34" t="str">
        <x:v>玄天上帝</x:v>
      </x:c>
      <x:c r="N139" s="34" t="str">
        <x:v>金城老城區重要廟宇，可與模範街、城隍廟串聯。</x:v>
      </x:c>
      <x:c r="O139" s="34" t="str">
        <x:v>文化探索任務｜完成廟埕打卡，沿周邊老街、聚落或生活圈步行探索。</x:v>
      </x:c>
      <x:c r="P139" s="34" t="str">
        <x:v>宗教場所通常對外開放；祭典、法會、整修或人流管制請依廟方與 Google Maps 最新公告。</x:v>
      </x:c>
      <x:c r="Q139" s="42" t="n">
        <x:v>45</x:v>
      </x:c>
      <x:c r="R139" s="34" t="str">
        <x:v>A</x:v>
      </x:c>
      <x:c r="S139" s="34" t="str">
        <x:v>Google Maps POI 圖釘；以廟埕或主要入口作為任務代表點</x:v>
      </x:c>
      <x:c r="T139" s="34" t="str">
        <x:v>宮廟／宗教文化</x:v>
      </x:c>
      <x:c r="U139" s="34" t="str">
        <x:v>金門縣金城鎮中興路146巷1號</x:v>
      </x:c>
      <x:c r="V139" s="34" t="str">
        <x:v>https://www.google.com/maps/search/?api=1&amp;query=%E9%87%91%E5%9F%8E%E5%8C%97%E9%8E%AE%E5%BB%9F%20%E9%87%91%E9%96%80%E7%B8%A3%20%E9%87%91%E5%9F%8E%E9%8E%AE</x:v>
      </x:c>
      <x:c r="W139" s="34" t="str">
        <x:v>https://www.google.com/maps?q=24.433863,118.318239</x:v>
      </x:c>
      <x:c r="X139" s="34" t="str">
        <x:v>Google Maps POI 主定位＋政府宗教資料／官方廟方資料交叉整理</x:v>
      </x:c>
      <x:c r="Y139" s="34" t="str">
        <x:v>2026-07-13</x:v>
      </x:c>
      <x:c r="Z139" s="34" t="str">
        <x:v>V4-宮廟知名地點池</x:v>
      </x:c>
      <x:c r="AA139" s="34" t="str">
        <x:v>以正式廟名、所在縣市與 Google Maps POI 區分同名宮廟。</x:v>
      </x:c>
      <x:c r="AB139" s="34" t="str">
        <x:v>正式上線前點開 Google Maps 連結，確認主入口、廟埕與任務圓心沒有落在後殿、停車場或山區道路。</x:v>
      </x:c>
    </x:row>
    <x:row r="140">
      <x:c r="A140" s="34" t="n">
        <x:v>139</x:v>
      </x:c>
      <x:c r="B140" s="34" t="str">
        <x:v>DOR-KIN-M004</x:v>
      </x:c>
      <x:c r="C140" s="34" t="str">
        <x:v>金門縣</x:v>
      </x:c>
      <x:c r="D140" s="34" t="str">
        <x:v>金沙鎮</x:v>
      </x:c>
      <x:c r="E140" s="34" t="str">
        <x:v>三忠廟</x:v>
      </x:c>
      <x:c r="F140" s="34" t="str">
        <x:v>沙美萬安堂</x:v>
      </x:c>
      <x:c r="G140" s="34" t="str">
        <x:v>主要入口／廟埕代表點</x:v>
      </x:c>
      <x:c r="H140" s="38" t="n">
        <x:v>24.489143</x:v>
      </x:c>
      <x:c r="I140" s="38" t="n">
        <x:v>118.414827</x:v>
      </x:c>
      <x:c r="J140" s="42" t="n">
        <x:v>4</x:v>
      </x:c>
      <x:c r="K140" s="34" t="str">
        <x:v>★★★★☆</x:v>
      </x:c>
      <x:c r="L140" s="34" t="str">
        <x:v>區域代表級</x:v>
      </x:c>
      <x:c r="M140" s="34" t="str">
        <x:v>三忠王</x:v>
      </x:c>
      <x:c r="N140" s="34" t="str">
        <x:v>現代三忠廟建築造型特殊，沙美老街文化辨識度高。</x:v>
      </x:c>
      <x:c r="O140" s="34" t="str">
        <x:v>文化探索任務｜完成廟埕打卡，沿周邊老街、聚落或生活圈步行探索。</x:v>
      </x:c>
      <x:c r="P140" s="34" t="str">
        <x:v>宗教場所通常對外開放；祭典、法會、整修或人流管制請依廟方與 Google Maps 最新公告。</x:v>
      </x:c>
      <x:c r="Q140" s="42" t="n">
        <x:v>55</x:v>
      </x:c>
      <x:c r="R140" s="34" t="str">
        <x:v>A</x:v>
      </x:c>
      <x:c r="S140" s="34" t="str">
        <x:v>Google Maps POI 圖釘；以廟埕或主要入口作為任務代表點</x:v>
      </x:c>
      <x:c r="T140" s="34" t="str">
        <x:v>宮廟／宗教文化</x:v>
      </x:c>
      <x:c r="U140" s="34" t="str">
        <x:v>金門縣金沙鎮沙美市街</x:v>
      </x:c>
      <x:c r="V140" s="34" t="str">
        <x:v>https://www.google.com/maps/search/?api=1&amp;query=%E6%B2%99%E7%BE%8E%E8%90%AC%E5%AE%89%E5%A0%82%20%E9%87%91%E9%96%80%E7%B8%A3%20%E9%87%91%E6%B2%99%E9%8E%AE</x:v>
      </x:c>
      <x:c r="W140" s="34" t="str">
        <x:v>https://www.google.com/maps?q=24.489143,118.414827</x:v>
      </x:c>
      <x:c r="X140" s="34" t="str">
        <x:v>Google Maps POI 主定位＋政府宗教資料／官方廟方資料交叉整理</x:v>
      </x:c>
      <x:c r="Y140" s="34" t="str">
        <x:v>2026-07-13</x:v>
      </x:c>
      <x:c r="Z140" s="34" t="str">
        <x:v>V4-宮廟知名地點池</x:v>
      </x:c>
      <x:c r="AA140" s="34" t="str">
        <x:v>以正式廟名、所在縣市與 Google Maps POI 區分同名宮廟。</x:v>
      </x:c>
      <x:c r="AB140" s="34" t="str">
        <x:v>正式上線前點開 Google Maps 連結，確認主入口、廟埕與任務圓心沒有落在後殿、停車場或山區道路。</x:v>
      </x:c>
    </x:row>
    <x:row r="141">
      <x:c r="A141" s="34" t="n">
        <x:v>140</x:v>
      </x:c>
      <x:c r="B141" s="34" t="str">
        <x:v>DOR-KIN-M005</x:v>
      </x:c>
      <x:c r="C141" s="34" t="str">
        <x:v>金門縣</x:v>
      </x:c>
      <x:c r="D141" s="34" t="str">
        <x:v>烈嶼鄉</x:v>
      </x:c>
      <x:c r="E141" s="34" t="str">
        <x:v>保生大帝廟</x:v>
      </x:c>
      <x:c r="F141" s="34" t="str">
        <x:v>烈嶼保生大帝廟</x:v>
      </x:c>
      <x:c r="G141" s="34" t="str">
        <x:v>主要入口／廟埕代表點</x:v>
      </x:c>
      <x:c r="H141" s="38" t="n">
        <x:v>24.431235</x:v>
      </x:c>
      <x:c r="I141" s="38" t="n">
        <x:v>118.23755</x:v>
      </x:c>
      <x:c r="J141" s="42" t="n">
        <x:v>4</x:v>
      </x:c>
      <x:c r="K141" s="34" t="str">
        <x:v>★★★★☆</x:v>
      </x:c>
      <x:c r="L141" s="34" t="str">
        <x:v>區域代表級</x:v>
      </x:c>
      <x:c r="M141" s="34" t="str">
        <x:v>保生大帝</x:v>
      </x:c>
      <x:c r="N141" s="34" t="str">
        <x:v>烈嶼具代表性的地方信仰中心，適合離島聚落探索。</x:v>
      </x:c>
      <x:c r="O141" s="34" t="str">
        <x:v>文化探索任務｜完成廟埕打卡，沿周邊老街、聚落或生活圈步行探索。</x:v>
      </x:c>
      <x:c r="P141" s="34" t="str">
        <x:v>宗教場所通常對外開放；祭典、法會、整修或人流管制請依廟方與 Google Maps 最新公告。</x:v>
      </x:c>
      <x:c r="Q141" s="42" t="n">
        <x:v>55</x:v>
      </x:c>
      <x:c r="R141" s="34" t="str">
        <x:v>A</x:v>
      </x:c>
      <x:c r="S141" s="34" t="str">
        <x:v>Google Maps POI 圖釘；以廟埕或主要入口作為任務代表點</x:v>
      </x:c>
      <x:c r="T141" s="34" t="str">
        <x:v>宮廟／宗教文化</x:v>
      </x:c>
      <x:c r="U141" s="34" t="str">
        <x:v>金門縣烈嶼鄉上林村</x:v>
      </x:c>
      <x:c r="V141" s="34" t="str">
        <x:v>https://www.google.com/maps/search/?api=1&amp;query=%E7%83%88%E5%B6%BC%E4%BF%9D%E7%94%9F%E5%A4%A7%E5%B8%9D%E5%BB%9F%20%E9%87%91%E9%96%80%E7%B8%A3%20%E7%83%88%E5%B6%BC%E9%84%89</x:v>
      </x:c>
      <x:c r="W141" s="34" t="str">
        <x:v>https://www.google.com/maps?q=24.431235,118.237550</x:v>
      </x:c>
      <x:c r="X141" s="34" t="str">
        <x:v>Google Maps POI 主定位＋政府宗教資料／官方廟方資料交叉整理</x:v>
      </x:c>
      <x:c r="Y141" s="34" t="str">
        <x:v>2026-07-13</x:v>
      </x:c>
      <x:c r="Z141" s="34" t="str">
        <x:v>V4-宮廟知名地點池</x:v>
      </x:c>
      <x:c r="AA141" s="34" t="str">
        <x:v>以正式廟名、所在縣市與 Google Maps POI 區分同名宮廟。</x:v>
      </x:c>
      <x:c r="AB141" s="34" t="str">
        <x:v>正式上線前點開 Google Maps 連結，確認主入口、廟埕與任務圓心沒有落在後殿、停車場或山區道路。</x:v>
      </x:c>
    </x:row>
    <x:row r="142">
      <x:c r="A142" s="34" t="n">
        <x:v>141</x:v>
      </x:c>
      <x:c r="B142" s="34" t="str">
        <x:v>DOR-LIE-M001</x:v>
      </x:c>
      <x:c r="C142" s="34" t="str">
        <x:v>連江縣</x:v>
      </x:c>
      <x:c r="D142" s="34" t="str">
        <x:v>南竿鄉</x:v>
      </x:c>
      <x:c r="E142" s="34" t="str">
        <x:v>媽祖廟</x:v>
      </x:c>
      <x:c r="F142" s="34" t="str">
        <x:v>馬祖境天后宮</x:v>
      </x:c>
      <x:c r="G142" s="34" t="str">
        <x:v>主要入口／廟埕代表點</x:v>
      </x:c>
      <x:c r="H142" s="38" t="n">
        <x:v>26.15784</x:v>
      </x:c>
      <x:c r="I142" s="38" t="n">
        <x:v>119.919342</x:v>
      </x:c>
      <x:c r="J142" s="42" t="n">
        <x:v>5</x:v>
      </x:c>
      <x:c r="K142" s="34" t="str">
        <x:v>★★★★★</x:v>
      </x:c>
      <x:c r="L142" s="34" t="str">
        <x:v>全國級</x:v>
      </x:c>
      <x:c r="M142" s="34" t="str">
        <x:v>天上聖母</x:v>
      </x:c>
      <x:c r="N142" s="34" t="str">
        <x:v>馬祖地名與媽祖信仰核心地標，宗教與地方認同高度連結。</x:v>
      </x:c>
      <x:c r="O142" s="34" t="str">
        <x:v>文化主線任務｜完成正門打卡、代表建築拍照與周邊街區散步，解鎖宮廟文化徽章。</x:v>
      </x:c>
      <x:c r="P142" s="34" t="str">
        <x:v>宗教場所通常對外開放；祭典、法會、整修或人流管制請依廟方與 Google Maps 最新公告。</x:v>
      </x:c>
      <x:c r="Q142" s="42" t="n">
        <x:v>65</x:v>
      </x:c>
      <x:c r="R142" s="34" t="str">
        <x:v>A</x:v>
      </x:c>
      <x:c r="S142" s="34" t="str">
        <x:v>Google Maps POI 圖釘；以廟埕或主要入口作為任務代表點</x:v>
      </x:c>
      <x:c r="T142" s="34" t="str">
        <x:v>宮廟／宗教文化</x:v>
      </x:c>
      <x:c r="U142" s="34" t="str">
        <x:v>連江縣南竿鄉馬祖村4之1號</x:v>
      </x:c>
      <x:c r="V142" s="34" t="str">
        <x:v>https://www.google.com/maps/search/?api=1&amp;query=%E9%A6%AC%E7%A5%96%E5%A2%83%E5%A4%A9%E5%90%8E%E5%AE%AE%20%E9%80%A3%E6%B1%9F%E7%B8%A3%20%E5%8D%97%E7%AB%BF%E9%84%89</x:v>
      </x:c>
      <x:c r="W142" s="34" t="str">
        <x:v>https://www.google.com/maps?q=26.157840,119.919342</x:v>
      </x:c>
      <x:c r="X142" s="34" t="str">
        <x:v>Google Maps POI 主定位＋政府宗教資料／官方廟方資料交叉整理</x:v>
      </x:c>
      <x:c r="Y142" s="34" t="str">
        <x:v>2026-07-13</x:v>
      </x:c>
      <x:c r="Z142" s="34" t="str">
        <x:v>V4-宮廟知名地點池</x:v>
      </x:c>
      <x:c r="AA142" s="34" t="str">
        <x:v>以正式廟名、所在縣市與 Google Maps POI 區分同名宮廟。</x:v>
      </x:c>
      <x:c r="AB142" s="34" t="str">
        <x:v>正式上線前點開 Google Maps 連結，確認主入口、廟埕與任務圓心沒有落在後殿、停車場或山區道路。</x:v>
      </x:c>
    </x:row>
    <x:row r="143">
      <x:c r="A143" s="34" t="n">
        <x:v>142</x:v>
      </x:c>
      <x:c r="B143" s="34" t="str">
        <x:v>DOR-LIE-M002</x:v>
      </x:c>
      <x:c r="C143" s="34" t="str">
        <x:v>連江縣</x:v>
      </x:c>
      <x:c r="D143" s="34" t="str">
        <x:v>南竿鄉</x:v>
      </x:c>
      <x:c r="E143" s="34" t="str">
        <x:v>媽祖廟／文化景觀</x:v>
      </x:c>
      <x:c r="F143" s="34" t="str">
        <x:v>金板境天后宮</x:v>
      </x:c>
      <x:c r="G143" s="34" t="str">
        <x:v>主要入口／廟埕代表點</x:v>
      </x:c>
      <x:c r="H143" s="38" t="n">
        <x:v>26.14215</x:v>
      </x:c>
      <x:c r="I143" s="38" t="n">
        <x:v>119.92454</x:v>
      </x:c>
      <x:c r="J143" s="42" t="n">
        <x:v>4</x:v>
      </x:c>
      <x:c r="K143" s="34" t="str">
        <x:v>★★★★☆</x:v>
      </x:c>
      <x:c r="L143" s="34" t="str">
        <x:v>區域代表級</x:v>
      </x:c>
      <x:c r="M143" s="34" t="str">
        <x:v>天上聖母</x:v>
      </x:c>
      <x:c r="N143" s="34" t="str">
        <x:v>閩東式封火山牆與燒塔文化具高度辨識度。</x:v>
      </x:c>
      <x:c r="O143" s="34" t="str">
        <x:v>文化探索任務｜完成廟埕打卡，沿周邊老街、聚落或生活圈步行探索。</x:v>
      </x:c>
      <x:c r="P143" s="34" t="str">
        <x:v>宗教場所通常對外開放；祭典、法會、整修或人流管制請依廟方與 Google Maps 最新公告。</x:v>
      </x:c>
      <x:c r="Q143" s="42" t="n">
        <x:v>55</x:v>
      </x:c>
      <x:c r="R143" s="34" t="str">
        <x:v>A</x:v>
      </x:c>
      <x:c r="S143" s="34" t="str">
        <x:v>Google Maps POI 圖釘；以廟埕或主要入口作為任務代表點</x:v>
      </x:c>
      <x:c r="T143" s="34" t="str">
        <x:v>宮廟／宗教文化</x:v>
      </x:c>
      <x:c r="U143" s="34" t="str">
        <x:v>連江縣南竿鄉仁愛村59之2號</x:v>
      </x:c>
      <x:c r="V143" s="34" t="str">
        <x:v>https://www.google.com/maps/search/?api=1&amp;query=%E9%87%91%E6%9D%BF%E5%A2%83%E5%A4%A9%E5%90%8E%E5%AE%AE%20%E9%80%A3%E6%B1%9F%E7%B8%A3%20%E5%8D%97%E7%AB%BF%E9%84%89</x:v>
      </x:c>
      <x:c r="W143" s="34" t="str">
        <x:v>https://www.google.com/maps?q=26.142150,119.924540</x:v>
      </x:c>
      <x:c r="X143" s="34" t="str">
        <x:v>Google Maps POI 主定位＋政府宗教資料／官方廟方資料交叉整理</x:v>
      </x:c>
      <x:c r="Y143" s="34" t="str">
        <x:v>2026-07-13</x:v>
      </x:c>
      <x:c r="Z143" s="34" t="str">
        <x:v>V4-宮廟知名地點池</x:v>
      </x:c>
      <x:c r="AA143" s="34" t="str">
        <x:v>以正式廟名、所在縣市與 Google Maps POI 區分同名宮廟。</x:v>
      </x:c>
      <x:c r="AB143" s="34" t="str">
        <x:v>正式上線前點開 Google Maps 連結，確認主入口、廟埕與任務圓心沒有落在後殿、停車場或山區道路。</x:v>
      </x:c>
    </x:row>
    <x:row r="144">
      <x:c r="A144" s="34" t="n">
        <x:v>143</x:v>
      </x:c>
      <x:c r="B144" s="34" t="str">
        <x:v>DOR-LIE-M003</x:v>
      </x:c>
      <x:c r="C144" s="34" t="str">
        <x:v>連江縣</x:v>
      </x:c>
      <x:c r="D144" s="34" t="str">
        <x:v>北竿鄉</x:v>
      </x:c>
      <x:c r="E144" s="34" t="str">
        <x:v>媽祖廟</x:v>
      </x:c>
      <x:c r="F144" s="34" t="str">
        <x:v>芹壁天后宮</x:v>
      </x:c>
      <x:c r="G144" s="34" t="str">
        <x:v>主要入口／廟埕代表點</x:v>
      </x:c>
      <x:c r="H144" s="38" t="n">
        <x:v>26.224287</x:v>
      </x:c>
      <x:c r="I144" s="38" t="n">
        <x:v>119.982315</x:v>
      </x:c>
      <x:c r="J144" s="42" t="n">
        <x:v>4</x:v>
      </x:c>
      <x:c r="K144" s="34" t="str">
        <x:v>★★★★☆</x:v>
      </x:c>
      <x:c r="L144" s="34" t="str">
        <x:v>區域代表級</x:v>
      </x:c>
      <x:c r="M144" s="34" t="str">
        <x:v>天上聖母</x:v>
      </x:c>
      <x:c r="N144" s="34" t="str">
        <x:v>芹壁石屋聚落中的代表廟宇，適合山城步行探索。</x:v>
      </x:c>
      <x:c r="O144" s="34" t="str">
        <x:v>文化探索任務｜完成廟埕打卡，沿周邊老街、聚落或生活圈步行探索。</x:v>
      </x:c>
      <x:c r="P144" s="34" t="str">
        <x:v>宗教場所通常對外開放；祭典、法會、整修或人流管制請依廟方與 Google Maps 最新公告。</x:v>
      </x:c>
      <x:c r="Q144" s="42" t="n">
        <x:v>55</x:v>
      </x:c>
      <x:c r="R144" s="34" t="str">
        <x:v>A</x:v>
      </x:c>
      <x:c r="S144" s="34" t="str">
        <x:v>Google Maps POI 圖釘；以廟埕或主要入口作為任務代表點</x:v>
      </x:c>
      <x:c r="T144" s="34" t="str">
        <x:v>宮廟／宗教文化</x:v>
      </x:c>
      <x:c r="U144" s="34" t="str">
        <x:v>連江縣北竿鄉芹壁村</x:v>
      </x:c>
      <x:c r="V144" s="34" t="str">
        <x:v>https://www.google.com/maps/search/?api=1&amp;query=%E8%8A%B9%E5%A3%81%E5%A4%A9%E5%90%8E%E5%AE%AE%20%E9%80%A3%E6%B1%9F%E7%B8%A3%20%E5%8C%97%E7%AB%BF%E9%84%89</x:v>
      </x:c>
      <x:c r="W144" s="34" t="str">
        <x:v>https://www.google.com/maps?q=26.224287,119.982315</x:v>
      </x:c>
      <x:c r="X144" s="34" t="str">
        <x:v>Google Maps POI 主定位＋政府宗教資料／官方廟方資料交叉整理</x:v>
      </x:c>
      <x:c r="Y144" s="34" t="str">
        <x:v>2026-07-13</x:v>
      </x:c>
      <x:c r="Z144" s="34" t="str">
        <x:v>V4-宮廟知名地點池</x:v>
      </x:c>
      <x:c r="AA144" s="34" t="str">
        <x:v>以正式廟名、所在縣市與 Google Maps POI 區分同名宮廟。</x:v>
      </x:c>
      <x:c r="AB144" s="34" t="str">
        <x:v>正式上線前點開 Google Maps 連結，確認主入口、廟埕與任務圓心沒有落在後殿、停車場或山區道路。</x:v>
      </x:c>
    </x:row>
    <x:row r="145">
      <x:c r="A145" s="34" t="n">
        <x:v>144</x:v>
      </x:c>
      <x:c r="B145" s="34" t="str">
        <x:v>DOR-LIE-M004</x:v>
      </x:c>
      <x:c r="C145" s="34" t="str">
        <x:v>連江縣</x:v>
      </x:c>
      <x:c r="D145" s="34" t="str">
        <x:v>南竿鄉</x:v>
      </x:c>
      <x:c r="E145" s="34" t="str">
        <x:v>白馬尊王廟</x:v>
      </x:c>
      <x:c r="F145" s="34" t="str">
        <x:v>介壽白馬尊王廟</x:v>
      </x:c>
      <x:c r="G145" s="34" t="str">
        <x:v>主要入口／廟埕代表點</x:v>
      </x:c>
      <x:c r="H145" s="38" t="n">
        <x:v>26.1605</x:v>
      </x:c>
      <x:c r="I145" s="38" t="n">
        <x:v>119.9525</x:v>
      </x:c>
      <x:c r="J145" s="42" t="n">
        <x:v>4</x:v>
      </x:c>
      <x:c r="K145" s="34" t="str">
        <x:v>★★★★☆</x:v>
      </x:c>
      <x:c r="L145" s="34" t="str">
        <x:v>區域代表級</x:v>
      </x:c>
      <x:c r="M145" s="34" t="str">
        <x:v>白馬尊王</x:v>
      </x:c>
      <x:c r="N145" s="34" t="str">
        <x:v>馬祖常見白馬尊王信仰的代表性據點，鄰近行政生活圈。</x:v>
      </x:c>
      <x:c r="O145" s="34" t="str">
        <x:v>文化探索任務｜完成廟埕打卡，沿周邊老街、聚落或生活圈步行探索。</x:v>
      </x:c>
      <x:c r="P145" s="34" t="str">
        <x:v>宗教場所通常對外開放；祭典、法會、整修或人流管制請依廟方與 Google Maps 最新公告。</x:v>
      </x:c>
      <x:c r="Q145" s="42" t="n">
        <x:v>50</x:v>
      </x:c>
      <x:c r="R145" s="34" t="str">
        <x:v>A</x:v>
      </x:c>
      <x:c r="S145" s="34" t="str">
        <x:v>Google Maps POI 圖釘；以廟埕或主要入口作為任務代表點</x:v>
      </x:c>
      <x:c r="T145" s="34" t="str">
        <x:v>宮廟／宗教文化</x:v>
      </x:c>
      <x:c r="U145" s="34" t="str">
        <x:v>連江縣南竿鄉介壽村</x:v>
      </x:c>
      <x:c r="V145" s="34" t="str">
        <x:v>https://www.google.com/maps/search/?api=1&amp;query=%E4%BB%8B%E5%A3%BD%E7%99%BD%E9%A6%AC%E5%B0%8A%E7%8E%8B%E5%BB%9F%20%E9%80%A3%E6%B1%9F%E7%B8%A3%20%E5%8D%97%E7%AB%BF%E9%84%89</x:v>
      </x:c>
      <x:c r="W145" s="34" t="str">
        <x:v>https://www.google.com/maps?q=26.160500,119.952500</x:v>
      </x:c>
      <x:c r="X145" s="34" t="str">
        <x:v>Google Maps POI 主定位＋政府宗教資料／官方廟方資料交叉整理</x:v>
      </x:c>
      <x:c r="Y145" s="34" t="str">
        <x:v>2026-07-13</x:v>
      </x:c>
      <x:c r="Z145" s="34" t="str">
        <x:v>V4-宮廟知名地點池</x:v>
      </x:c>
      <x:c r="AA145" s="34" t="str">
        <x:v>以正式廟名、所在縣市與 Google Maps POI 區分同名宮廟。</x:v>
      </x:c>
      <x:c r="AB145" s="34" t="str">
        <x:v>正式上線前點開 Google Maps 連結，確認主入口、廟埕與任務圓心沒有落在後殿、停車場或山區道路。</x:v>
      </x:c>
    </x:row>
    <x:row r="146">
      <x:c r="A146" s="36" t="n">
        <x:v>145</x:v>
      </x:c>
      <x:c r="B146" s="36" t="str">
        <x:v>DOR-LIE-M005</x:v>
      </x:c>
      <x:c r="C146" s="36" t="str">
        <x:v>連江縣</x:v>
      </x:c>
      <x:c r="D146" s="36" t="str">
        <x:v>東引鄉</x:v>
      </x:c>
      <x:c r="E146" s="36" t="str">
        <x:v>媽祖廟</x:v>
      </x:c>
      <x:c r="F146" s="36" t="str">
        <x:v>東引天后宮</x:v>
      </x:c>
      <x:c r="G146" s="36" t="str">
        <x:v>主要入口／廟埕代表點</x:v>
      </x:c>
      <x:c r="H146" s="39" t="n">
        <x:v>26.367733</x:v>
      </x:c>
      <x:c r="I146" s="39" t="n">
        <x:v>120.488981</x:v>
      </x:c>
      <x:c r="J146" s="43" t="n">
        <x:v>4</x:v>
      </x:c>
      <x:c r="K146" s="36" t="str">
        <x:v>★★★★☆</x:v>
      </x:c>
      <x:c r="L146" s="36" t="str">
        <x:v>區域代表級</x:v>
      </x:c>
      <x:c r="M146" s="36" t="str">
        <x:v>天上聖母</x:v>
      </x:c>
      <x:c r="N146" s="36" t="str">
        <x:v>東引重要媽祖信仰地標，可串聯島上聚落與海岸景觀。</x:v>
      </x:c>
      <x:c r="O146" s="36" t="str">
        <x:v>文化探索任務｜完成廟埕打卡，沿周邊老街、聚落或生活圈步行探索。</x:v>
      </x:c>
      <x:c r="P146" s="36" t="str">
        <x:v>宗教場所通常對外開放；祭典、法會、整修或人流管制請依廟方與 Google Maps 最新公告。</x:v>
      </x:c>
      <x:c r="Q146" s="43" t="n">
        <x:v>55</x:v>
      </x:c>
      <x:c r="R146" s="36" t="str">
        <x:v>A</x:v>
      </x:c>
      <x:c r="S146" s="36" t="str">
        <x:v>Google Maps POI 圖釘；以廟埕或主要入口作為任務代表點</x:v>
      </x:c>
      <x:c r="T146" s="36" t="str">
        <x:v>宮廟／宗教文化</x:v>
      </x:c>
      <x:c r="U146" s="36" t="str">
        <x:v>連江縣東引鄉中柳村</x:v>
      </x:c>
      <x:c r="V146" s="36" t="str">
        <x:v>https://www.google.com/maps/search/?api=1&amp;query=%E6%9D%B1%E5%BC%95%E5%A4%A9%E5%90%8E%E5%AE%AE%20%E9%80%A3%E6%B1%9F%E7%B8%A3%20%E6%9D%B1%E5%BC%95%E9%84%89</x:v>
      </x:c>
      <x:c r="W146" s="36" t="str">
        <x:v>https://www.google.com/maps?q=26.367733,120.488981</x:v>
      </x:c>
      <x:c r="X146" s="36" t="str">
        <x:v>Google Maps POI 主定位＋政府宗教資料／官方廟方資料交叉整理</x:v>
      </x:c>
      <x:c r="Y146" s="36" t="str">
        <x:v>2026-07-13</x:v>
      </x:c>
      <x:c r="Z146" s="36" t="str">
        <x:v>V4-宮廟知名地點池</x:v>
      </x:c>
      <x:c r="AA146" s="36" t="str">
        <x:v>以正式廟名、所在縣市與 Google Maps POI 區分同名宮廟。</x:v>
      </x:c>
      <x:c r="AB146" s="36" t="str">
        <x:v>正式上線前點開 Google Maps 連結，確認主入口、廟埕與任務圓心沒有落在後殿、停車場或山區道路。</x:v>
      </x:c>
    </x:row>
  </x:sheetData>
  <x:conditionalFormatting sqref="J2:J146">
    <x:cfRule type="colorScale" priority="1">
      <x:colorScale>
        <x:cfvo type="min"/>
        <x:cfvo type="percentile" val="50"/>
        <x:cfvo type="max"/>
        <x:color rgb="FFFDE68A"/>
        <x:color rgb="FFFDBA74"/>
        <x:color rgb="FFFCA5A5"/>
      </x:colorScale>
    </x:cfRule>
  </x:conditionalFormatting>
  <x:conditionalFormatting sqref="R2:R146">
    <x:cfRule type="expression" dxfId="0" priority="2">
      <x:formula>R2="B"</x:formula>
    </x:cfRule>
  </x:conditionalFormatting>
  <x:conditionalFormatting sqref="L2:L146">
    <x:cfRule type="expression" dxfId="1" priority="3">
      <x:formula>L2="全國級"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4fa83a433042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13" t="str">
        <x:v>縣市</x:v>
      </x:c>
      <x:c r="B1" s="14" t="str">
        <x:v>收錄筆數</x:v>
      </x:c>
      <x:c r="C1" s="14" t="str">
        <x:v>全國級</x:v>
      </x:c>
      <x:c r="D1" s="14" t="str">
        <x:v>區域代表級</x:v>
      </x:c>
      <x:c r="E1" s="15" t="str">
        <x:v>平均星等</x:v>
      </x:c>
    </x:row>
    <x:row r="2">
      <x:c r="A2" s="55" t="str">
        <x:v>基隆市</x:v>
      </x:c>
      <x:c r="B2" s="55" t="n">
        <x:f>COUNTIF('宮廟打卡點清單'!$C:$C,A2)</x:f>
        <x:v>4</x:v>
      </x:c>
      <x:c r="C2" s="55" t="n">
        <x:f>COUNTIFS('宮廟打卡點清單'!$C:$C,A2,'宮廟打卡點清單'!$L:$L,"全國級")</x:f>
        <x:v>1</x:v>
      </x:c>
      <x:c r="D2" s="55" t="n">
        <x:f>COUNTIFS('宮廟打卡點清單'!$C:$C,A2,'宮廟打卡點清單'!$L:$L,"區域代表級")</x:f>
        <x:v>3</x:v>
      </x:c>
      <x:c r="E2" s="59" t="n">
        <x:f>IFERROR(AVERAGEIF('宮廟打卡點清單'!$C:$C,A2,'宮廟打卡點清單'!$J:$J),0)</x:f>
        <x:v>4.25</x:v>
      </x:c>
    </x:row>
    <x:row r="3">
      <x:c r="A3" s="55" t="str">
        <x:v>臺北市</x:v>
      </x:c>
      <x:c r="B3" s="55" t="n">
        <x:f>COUNTIF('宮廟打卡點清單'!$C:$C,A3)</x:f>
        <x:v>8</x:v>
      </x:c>
      <x:c r="C3" s="55" t="n">
        <x:f>COUNTIFS('宮廟打卡點清單'!$C:$C,A3,'宮廟打卡點清單'!$L:$L,"全國級")</x:f>
        <x:v>7</x:v>
      </x:c>
      <x:c r="D3" s="55" t="n">
        <x:f>COUNTIFS('宮廟打卡點清單'!$C:$C,A3,'宮廟打卡點清單'!$L:$L,"區域代表級")</x:f>
        <x:v>1</x:v>
      </x:c>
      <x:c r="E3" s="59" t="n">
        <x:f>IFERROR(AVERAGEIF('宮廟打卡點清單'!$C:$C,A3,'宮廟打卡點清單'!$J:$J),0)</x:f>
        <x:v>4.875</x:v>
      </x:c>
    </x:row>
    <x:row r="4">
      <x:c r="A4" s="55" t="str">
        <x:v>新北市</x:v>
      </x:c>
      <x:c r="B4" s="55" t="n">
        <x:f>COUNTIF('宮廟打卡點清單'!$C:$C,A4)</x:f>
        <x:v>8</x:v>
      </x:c>
      <x:c r="C4" s="55" t="n">
        <x:f>COUNTIFS('宮廟打卡點清單'!$C:$C,A4,'宮廟打卡點清單'!$L:$L,"全國級")</x:f>
        <x:v>2</x:v>
      </x:c>
      <x:c r="D4" s="55" t="n">
        <x:f>COUNTIFS('宮廟打卡點清單'!$C:$C,A4,'宮廟打卡點清單'!$L:$L,"區域代表級")</x:f>
        <x:v>6</x:v>
      </x:c>
      <x:c r="E4" s="59" t="n">
        <x:f>IFERROR(AVERAGEIF('宮廟打卡點清單'!$C:$C,A4,'宮廟打卡點清單'!$J:$J),0)</x:f>
        <x:v>4.25</x:v>
      </x:c>
    </x:row>
    <x:row r="5">
      <x:c r="A5" s="55" t="str">
        <x:v>桃園市</x:v>
      </x:c>
      <x:c r="B5" s="55" t="n">
        <x:f>COUNTIF('宮廟打卡點清單'!$C:$C,A5)</x:f>
        <x:v>6</x:v>
      </x:c>
      <x:c r="C5" s="55" t="n">
        <x:f>COUNTIFS('宮廟打卡點清單'!$C:$C,A5,'宮廟打卡點清單'!$L:$L,"全國級")</x:f>
        <x:v>2</x:v>
      </x:c>
      <x:c r="D5" s="55" t="n">
        <x:f>COUNTIFS('宮廟打卡點清單'!$C:$C,A5,'宮廟打卡點清單'!$L:$L,"區域代表級")</x:f>
        <x:v>4</x:v>
      </x:c>
      <x:c r="E5" s="59" t="n">
        <x:f>IFERROR(AVERAGEIF('宮廟打卡點清單'!$C:$C,A5,'宮廟打卡點清單'!$J:$J),0)</x:f>
        <x:v>4.333333333333333</x:v>
      </x:c>
    </x:row>
    <x:row r="6">
      <x:c r="A6" s="55" t="str">
        <x:v>新竹市</x:v>
      </x:c>
      <x:c r="B6" s="55" t="n">
        <x:f>COUNTIF('宮廟打卡點清單'!$C:$C,A6)</x:f>
        <x:v>5</x:v>
      </x:c>
      <x:c r="C6" s="55" t="n">
        <x:f>COUNTIFS('宮廟打卡點清單'!$C:$C,A6,'宮廟打卡點清單'!$L:$L,"全國級")</x:f>
        <x:v>1</x:v>
      </x:c>
      <x:c r="D6" s="55" t="n">
        <x:f>COUNTIFS('宮廟打卡點清單'!$C:$C,A6,'宮廟打卡點清單'!$L:$L,"區域代表級")</x:f>
        <x:v>4</x:v>
      </x:c>
      <x:c r="E6" s="59" t="n">
        <x:f>IFERROR(AVERAGEIF('宮廟打卡點清單'!$C:$C,A6,'宮廟打卡點清單'!$J:$J),0)</x:f>
        <x:v>4.2</x:v>
      </x:c>
    </x:row>
    <x:row r="7">
      <x:c r="A7" s="55" t="str">
        <x:v>新竹縣</x:v>
      </x:c>
      <x:c r="B7" s="55" t="n">
        <x:f>COUNTIF('宮廟打卡點清單'!$C:$C,A7)</x:f>
        <x:v>5</x:v>
      </x:c>
      <x:c r="C7" s="55" t="n">
        <x:f>COUNTIFS('宮廟打卡點清單'!$C:$C,A7,'宮廟打卡點清單'!$L:$L,"全國級")</x:f>
        <x:v>1</x:v>
      </x:c>
      <x:c r="D7" s="55" t="n">
        <x:f>COUNTIFS('宮廟打卡點清單'!$C:$C,A7,'宮廟打卡點清單'!$L:$L,"區域代表級")</x:f>
        <x:v>4</x:v>
      </x:c>
      <x:c r="E7" s="59" t="n">
        <x:f>IFERROR(AVERAGEIF('宮廟打卡點清單'!$C:$C,A7,'宮廟打卡點清單'!$J:$J),0)</x:f>
        <x:v>4.2</x:v>
      </x:c>
    </x:row>
    <x:row r="8">
      <x:c r="A8" s="55" t="str">
        <x:v>苗栗縣</x:v>
      </x:c>
      <x:c r="B8" s="55" t="n">
        <x:f>COUNTIF('宮廟打卡點清單'!$C:$C,A8)</x:f>
        <x:v>6</x:v>
      </x:c>
      <x:c r="C8" s="55" t="n">
        <x:f>COUNTIFS('宮廟打卡點清單'!$C:$C,A8,'宮廟打卡點清單'!$L:$L,"全國級")</x:f>
        <x:v>1</x:v>
      </x:c>
      <x:c r="D8" s="55" t="n">
        <x:f>COUNTIFS('宮廟打卡點清單'!$C:$C,A8,'宮廟打卡點清單'!$L:$L,"區域代表級")</x:f>
        <x:v>5</x:v>
      </x:c>
      <x:c r="E8" s="59" t="n">
        <x:f>IFERROR(AVERAGEIF('宮廟打卡點清單'!$C:$C,A8,'宮廟打卡點清單'!$J:$J),0)</x:f>
        <x:v>4.166666666666667</x:v>
      </x:c>
    </x:row>
    <x:row r="9">
      <x:c r="A9" s="55" t="str">
        <x:v>臺中市</x:v>
      </x:c>
      <x:c r="B9" s="55" t="n">
        <x:f>COUNTIF('宮廟打卡點清單'!$C:$C,A9)</x:f>
        <x:v>8</x:v>
      </x:c>
      <x:c r="C9" s="55" t="n">
        <x:f>COUNTIFS('宮廟打卡點清單'!$C:$C,A9,'宮廟打卡點清單'!$L:$L,"全國級")</x:f>
        <x:v>2</x:v>
      </x:c>
      <x:c r="D9" s="55" t="n">
        <x:f>COUNTIFS('宮廟打卡點清單'!$C:$C,A9,'宮廟打卡點清單'!$L:$L,"區域代表級")</x:f>
        <x:v>6</x:v>
      </x:c>
      <x:c r="E9" s="59" t="n">
        <x:f>IFERROR(AVERAGEIF('宮廟打卡點清單'!$C:$C,A9,'宮廟打卡點清單'!$J:$J),0)</x:f>
        <x:v>4.25</x:v>
      </x:c>
    </x:row>
    <x:row r="10">
      <x:c r="A10" s="55" t="str">
        <x:v>彰化縣</x:v>
      </x:c>
      <x:c r="B10" s="55" t="n">
        <x:f>COUNTIF('宮廟打卡點清單'!$C:$C,A10)</x:f>
        <x:v>8</x:v>
      </x:c>
      <x:c r="C10" s="55" t="n">
        <x:f>COUNTIFS('宮廟打卡點清單'!$C:$C,A10,'宮廟打卡點清單'!$L:$L,"全國級")</x:f>
        <x:v>3</x:v>
      </x:c>
      <x:c r="D10" s="55" t="n">
        <x:f>COUNTIFS('宮廟打卡點清單'!$C:$C,A10,'宮廟打卡點清單'!$L:$L,"區域代表級")</x:f>
        <x:v>5</x:v>
      </x:c>
      <x:c r="E10" s="59" t="n">
        <x:f>IFERROR(AVERAGEIF('宮廟打卡點清單'!$C:$C,A10,'宮廟打卡點清單'!$J:$J),0)</x:f>
        <x:v>4.375</x:v>
      </x:c>
    </x:row>
    <x:row r="11">
      <x:c r="A11" s="55" t="str">
        <x:v>南投縣</x:v>
      </x:c>
      <x:c r="B11" s="55" t="n">
        <x:f>COUNTIF('宮廟打卡點清單'!$C:$C,A11)</x:f>
        <x:v>6</x:v>
      </x:c>
      <x:c r="C11" s="55" t="n">
        <x:f>COUNTIFS('宮廟打卡點清單'!$C:$C,A11,'宮廟打卡點清單'!$L:$L,"全國級")</x:f>
        <x:v>5</x:v>
      </x:c>
      <x:c r="D11" s="55" t="n">
        <x:f>COUNTIFS('宮廟打卡點清單'!$C:$C,A11,'宮廟打卡點清單'!$L:$L,"區域代表級")</x:f>
        <x:v>1</x:v>
      </x:c>
      <x:c r="E11" s="59" t="n">
        <x:f>IFERROR(AVERAGEIF('宮廟打卡點清單'!$C:$C,A11,'宮廟打卡點清單'!$J:$J),0)</x:f>
        <x:v>4.833333333333333</x:v>
      </x:c>
    </x:row>
    <x:row r="12">
      <x:c r="A12" s="55" t="str">
        <x:v>雲林縣</x:v>
      </x:c>
      <x:c r="B12" s="55" t="n">
        <x:f>COUNTIF('宮廟打卡點清單'!$C:$C,A12)</x:f>
        <x:v>7</x:v>
      </x:c>
      <x:c r="C12" s="55" t="n">
        <x:f>COUNTIFS('宮廟打卡點清單'!$C:$C,A12,'宮廟打卡點清單'!$L:$L,"全國級")</x:f>
        <x:v>4</x:v>
      </x:c>
      <x:c r="D12" s="55" t="n">
        <x:f>COUNTIFS('宮廟打卡點清單'!$C:$C,A12,'宮廟打卡點清單'!$L:$L,"區域代表級")</x:f>
        <x:v>3</x:v>
      </x:c>
      <x:c r="E12" s="59" t="n">
        <x:f>IFERROR(AVERAGEIF('宮廟打卡點清單'!$C:$C,A12,'宮廟打卡點清單'!$J:$J),0)</x:f>
        <x:v>4.571428571428571</x:v>
      </x:c>
    </x:row>
    <x:row r="13">
      <x:c r="A13" s="55" t="str">
        <x:v>嘉義市</x:v>
      </x:c>
      <x:c r="B13" s="55" t="n">
        <x:f>COUNTIF('宮廟打卡點清單'!$C:$C,A13)</x:f>
        <x:v>4</x:v>
      </x:c>
      <x:c r="C13" s="55" t="n">
        <x:f>COUNTIFS('宮廟打卡點清單'!$C:$C,A13,'宮廟打卡點清單'!$L:$L,"全國級")</x:f>
        <x:v>1</x:v>
      </x:c>
      <x:c r="D13" s="55" t="n">
        <x:f>COUNTIFS('宮廟打卡點清單'!$C:$C,A13,'宮廟打卡點清單'!$L:$L,"區域代表級")</x:f>
        <x:v>3</x:v>
      </x:c>
      <x:c r="E13" s="59" t="n">
        <x:f>IFERROR(AVERAGEIF('宮廟打卡點清單'!$C:$C,A13,'宮廟打卡點清單'!$J:$J),0)</x:f>
        <x:v>4.25</x:v>
      </x:c>
    </x:row>
    <x:row r="14">
      <x:c r="A14" s="55" t="str">
        <x:v>嘉義縣</x:v>
      </x:c>
      <x:c r="B14" s="55" t="n">
        <x:f>COUNTIF('宮廟打卡點清單'!$C:$C,A14)</x:f>
        <x:v>7</x:v>
      </x:c>
      <x:c r="C14" s="55" t="n">
        <x:f>COUNTIFS('宮廟打卡點清單'!$C:$C,A14,'宮廟打卡點清單'!$L:$L,"全國級")</x:f>
        <x:v>3</x:v>
      </x:c>
      <x:c r="D14" s="55" t="n">
        <x:f>COUNTIFS('宮廟打卡點清單'!$C:$C,A14,'宮廟打卡點清單'!$L:$L,"區域代表級")</x:f>
        <x:v>4</x:v>
      </x:c>
      <x:c r="E14" s="59" t="n">
        <x:f>IFERROR(AVERAGEIF('宮廟打卡點清單'!$C:$C,A14,'宮廟打卡點清單'!$J:$J),0)</x:f>
        <x:v>4.428571428571429</x:v>
      </x:c>
    </x:row>
    <x:row r="15">
      <x:c r="A15" s="55" t="str">
        <x:v>臺南市</x:v>
      </x:c>
      <x:c r="B15" s="55" t="n">
        <x:f>COUNTIF('宮廟打卡點清單'!$C:$C,A15)</x:f>
        <x:v>12</x:v>
      </x:c>
      <x:c r="C15" s="55" t="n">
        <x:f>COUNTIFS('宮廟打卡點清單'!$C:$C,A15,'宮廟打卡點清單'!$L:$L,"全國級")</x:f>
        <x:v>10</x:v>
      </x:c>
      <x:c r="D15" s="55" t="n">
        <x:f>COUNTIFS('宮廟打卡點清單'!$C:$C,A15,'宮廟打卡點清單'!$L:$L,"區域代表級")</x:f>
        <x:v>2</x:v>
      </x:c>
      <x:c r="E15" s="59" t="n">
        <x:f>IFERROR(AVERAGEIF('宮廟打卡點清單'!$C:$C,A15,'宮廟打卡點清單'!$J:$J),0)</x:f>
        <x:v>4.833333333333333</x:v>
      </x:c>
    </x:row>
    <x:row r="16">
      <x:c r="A16" s="55" t="str">
        <x:v>高雄市</x:v>
      </x:c>
      <x:c r="B16" s="55" t="n">
        <x:f>COUNTIF('宮廟打卡點清單'!$C:$C,A16)</x:f>
        <x:v>10</x:v>
      </x:c>
      <x:c r="C16" s="55" t="n">
        <x:f>COUNTIFS('宮廟打卡點清單'!$C:$C,A16,'宮廟打卡點清單'!$L:$L,"全國級")</x:f>
        <x:v>4</x:v>
      </x:c>
      <x:c r="D16" s="55" t="n">
        <x:f>COUNTIFS('宮廟打卡點清單'!$C:$C,A16,'宮廟打卡點清單'!$L:$L,"區域代表級")</x:f>
        <x:v>6</x:v>
      </x:c>
      <x:c r="E16" s="59" t="n">
        <x:f>IFERROR(AVERAGEIF('宮廟打卡點清單'!$C:$C,A16,'宮廟打卡點清單'!$J:$J),0)</x:f>
        <x:v>4.4</x:v>
      </x:c>
    </x:row>
    <x:row r="17">
      <x:c r="A17" s="55" t="str">
        <x:v>屏東縣</x:v>
      </x:c>
      <x:c r="B17" s="55" t="n">
        <x:f>COUNTIF('宮廟打卡點清單'!$C:$C,A17)</x:f>
        <x:v>8</x:v>
      </x:c>
      <x:c r="C17" s="55" t="n">
        <x:f>COUNTIFS('宮廟打卡點清單'!$C:$C,A17,'宮廟打卡點清單'!$L:$L,"全國級")</x:f>
        <x:v>3</x:v>
      </x:c>
      <x:c r="D17" s="55" t="n">
        <x:f>COUNTIFS('宮廟打卡點清單'!$C:$C,A17,'宮廟打卡點清單'!$L:$L,"區域代表級")</x:f>
        <x:v>5</x:v>
      </x:c>
      <x:c r="E17" s="59" t="n">
        <x:f>IFERROR(AVERAGEIF('宮廟打卡點清單'!$C:$C,A17,'宮廟打卡點清單'!$J:$J),0)</x:f>
        <x:v>4.375</x:v>
      </x:c>
    </x:row>
    <x:row r="18">
      <x:c r="A18" s="55" t="str">
        <x:v>宜蘭縣</x:v>
      </x:c>
      <x:c r="B18" s="55" t="n">
        <x:f>COUNTIF('宮廟打卡點清單'!$C:$C,A18)</x:f>
        <x:v>7</x:v>
      </x:c>
      <x:c r="C18" s="55" t="n">
        <x:f>COUNTIFS('宮廟打卡點清單'!$C:$C,A18,'宮廟打卡點清單'!$L:$L,"全國級")</x:f>
        <x:v>3</x:v>
      </x:c>
      <x:c r="D18" s="55" t="n">
        <x:f>COUNTIFS('宮廟打卡點清單'!$C:$C,A18,'宮廟打卡點清單'!$L:$L,"區域代表級")</x:f>
        <x:v>4</x:v>
      </x:c>
      <x:c r="E18" s="59" t="n">
        <x:f>IFERROR(AVERAGEIF('宮廟打卡點清單'!$C:$C,A18,'宮廟打卡點清單'!$J:$J),0)</x:f>
        <x:v>4.428571428571429</x:v>
      </x:c>
    </x:row>
    <x:row r="19">
      <x:c r="A19" s="55" t="str">
        <x:v>花蓮縣</x:v>
      </x:c>
      <x:c r="B19" s="55" t="n">
        <x:f>COUNTIF('宮廟打卡點清單'!$C:$C,A19)</x:f>
        <x:v>5</x:v>
      </x:c>
      <x:c r="C19" s="55" t="n">
        <x:f>COUNTIFS('宮廟打卡點清單'!$C:$C,A19,'宮廟打卡點清單'!$L:$L,"全國級")</x:f>
        <x:v>2</x:v>
      </x:c>
      <x:c r="D19" s="55" t="n">
        <x:f>COUNTIFS('宮廟打卡點清單'!$C:$C,A19,'宮廟打卡點清單'!$L:$L,"區域代表級")</x:f>
        <x:v>3</x:v>
      </x:c>
      <x:c r="E19" s="59" t="n">
        <x:f>IFERROR(AVERAGEIF('宮廟打卡點清單'!$C:$C,A19,'宮廟打卡點清單'!$J:$J),0)</x:f>
        <x:v>4.4</x:v>
      </x:c>
    </x:row>
    <x:row r="20">
      <x:c r="A20" s="55" t="str">
        <x:v>臺東縣</x:v>
      </x:c>
      <x:c r="B20" s="55" t="n">
        <x:f>COUNTIF('宮廟打卡點清單'!$C:$C,A20)</x:f>
        <x:v>5</x:v>
      </x:c>
      <x:c r="C20" s="55" t="n">
        <x:f>COUNTIFS('宮廟打卡點清單'!$C:$C,A20,'宮廟打卡點清單'!$L:$L,"全國級")</x:f>
        <x:v>1</x:v>
      </x:c>
      <x:c r="D20" s="55" t="n">
        <x:f>COUNTIFS('宮廟打卡點清單'!$C:$C,A20,'宮廟打卡點清單'!$L:$L,"區域代表級")</x:f>
        <x:v>4</x:v>
      </x:c>
      <x:c r="E20" s="59" t="n">
        <x:f>IFERROR(AVERAGEIF('宮廟打卡點清單'!$C:$C,A20,'宮廟打卡點清單'!$J:$J),0)</x:f>
        <x:v>4.2</x:v>
      </x:c>
    </x:row>
    <x:row r="21">
      <x:c r="A21" s="55" t="str">
        <x:v>澎湖縣</x:v>
      </x:c>
      <x:c r="B21" s="55" t="n">
        <x:f>COUNTIF('宮廟打卡點清單'!$C:$C,A21)</x:f>
        <x:v>6</x:v>
      </x:c>
      <x:c r="C21" s="55" t="n">
        <x:f>COUNTIFS('宮廟打卡點清單'!$C:$C,A21,'宮廟打卡點清單'!$L:$L,"全國級")</x:f>
        <x:v>2</x:v>
      </x:c>
      <x:c r="D21" s="55" t="n">
        <x:f>COUNTIFS('宮廟打卡點清單'!$C:$C,A21,'宮廟打卡點清單'!$L:$L,"區域代表級")</x:f>
        <x:v>4</x:v>
      </x:c>
      <x:c r="E21" s="59" t="n">
        <x:f>IFERROR(AVERAGEIF('宮廟打卡點清單'!$C:$C,A21,'宮廟打卡點清單'!$J:$J),0)</x:f>
        <x:v>4.333333333333333</x:v>
      </x:c>
    </x:row>
    <x:row r="22">
      <x:c r="A22" s="55" t="str">
        <x:v>金門縣</x:v>
      </x:c>
      <x:c r="B22" s="55" t="n">
        <x:f>COUNTIF('宮廟打卡點清單'!$C:$C,A22)</x:f>
        <x:v>5</x:v>
      </x:c>
      <x:c r="C22" s="55" t="n">
        <x:f>COUNTIFS('宮廟打卡點清單'!$C:$C,A22,'宮廟打卡點清單'!$L:$L,"全國級")</x:f>
        <x:v>2</x:v>
      </x:c>
      <x:c r="D22" s="55" t="n">
        <x:f>COUNTIFS('宮廟打卡點清單'!$C:$C,A22,'宮廟打卡點清單'!$L:$L,"區域代表級")</x:f>
        <x:v>3</x:v>
      </x:c>
      <x:c r="E22" s="59" t="n">
        <x:f>IFERROR(AVERAGEIF('宮廟打卡點清單'!$C:$C,A22,'宮廟打卡點清單'!$J:$J),0)</x:f>
        <x:v>4.4</x:v>
      </x:c>
    </x:row>
    <x:row r="23">
      <x:c r="A23" s="55" t="str">
        <x:v>連江縣</x:v>
      </x:c>
      <x:c r="B23" s="55" t="n">
        <x:f>COUNTIF('宮廟打卡點清單'!$C:$C,A23)</x:f>
        <x:v>5</x:v>
      </x:c>
      <x:c r="C23" s="55" t="n">
        <x:f>COUNTIFS('宮廟打卡點清單'!$C:$C,A23,'宮廟打卡點清單'!$L:$L,"全國級")</x:f>
        <x:v>1</x:v>
      </x:c>
      <x:c r="D23" s="55" t="n">
        <x:f>COUNTIFS('宮廟打卡點清單'!$C:$C,A23,'宮廟打卡點清單'!$L:$L,"區域代表級")</x:f>
        <x:v>4</x:v>
      </x:c>
      <x:c r="E23" s="59" t="n">
        <x:f>IFERROR(AVERAGEIF('宮廟打卡點清單'!$C:$C,A23,'宮廟打卡點清單'!$J:$J),0)</x:f>
        <x:v>4.2</x:v>
      </x:c>
    </x:row>
    <x:row r="24">
      <x:c r="A24" s="56" t="str">
        <x:v>全台總計</x:v>
      </x:c>
      <x:c r="B24" s="56" t="n">
        <x:f>SUM(B2:B23)</x:f>
        <x:v>145</x:v>
      </x:c>
      <x:c r="C24" s="56" t="n">
        <x:f>SUM(C2:C23)</x:f>
        <x:v>61</x:v>
      </x:c>
      <x:c r="D24" s="56" t="n">
        <x:f>SUM(D2:D23)</x:f>
        <x:v>84</x:v>
      </x:c>
      <x:c r="E24" s="60" t="n">
        <x:f>AVERAGE(E2:E23)</x:f>
        <x:v>4.388798701298702</x:v>
      </x:c>
    </x:row>
  </x:sheetData>
  <x:pageMargins left="0.7" right="0.7" top="0.75" bottom="0.75" header="0.3" footer="0.3"/>
  <x:drawing xmlns:r="http://schemas.openxmlformats.org/officeDocument/2006/relationships" r:id="R456dff62e5f549a1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24" hidden="0" customWidth="1"/>
    <x:col min="5" max="5" width="14" hidden="0" customWidth="1"/>
    <x:col min="6" max="6" width="14" hidden="0" customWidth="1"/>
    <x:col min="7" max="7" width="15" hidden="0" customWidth="1"/>
    <x:col min="8" max="8" width="44" hidden="0" customWidth="1"/>
    <x:col min="9" max="9" width="46" hidden="0" customWidth="1"/>
    <x:col min="10" max="10" width="46" hidden="0" customWidth="1"/>
  </x:cols>
  <x:sheetData>
    <x:row r="1">
      <x:c r="A1" s="13" t="str">
        <x:v>地點ID</x:v>
      </x:c>
      <x:c r="B1" s="14" t="str">
        <x:v>縣市</x:v>
      </x:c>
      <x:c r="C1" s="14" t="str">
        <x:v>行政區</x:v>
      </x:c>
      <x:c r="D1" s="14" t="str">
        <x:v>地點名稱</x:v>
      </x:c>
      <x:c r="E1" s="14" t="str">
        <x:v>緯度</x:v>
      </x:c>
      <x:c r="F1" s="14" t="str">
        <x:v>經度</x:v>
      </x:c>
      <x:c r="G1" s="14" t="str">
        <x:v>GPS半徑建議m</x:v>
      </x:c>
      <x:c r="H1" s="14" t="str">
        <x:v>座標設定說明</x:v>
      </x:c>
      <x:c r="I1" s="14" t="str">
        <x:v>Google Maps座標連結</x:v>
      </x:c>
      <x:c r="J1" s="15" t="str">
        <x:v>資料複核建議</x:v>
      </x:c>
    </x:row>
    <x:row r="2">
      <x:c r="A2" s="30" t="str">
        <x:v>DOR-TPE-M006</x:v>
      </x:c>
      <x:c r="B2" s="30" t="str">
        <x:v>臺北市</x:v>
      </x:c>
      <x:c r="C2" s="30" t="str">
        <x:v>文山區</x:v>
      </x:c>
      <x:c r="D2" s="30" t="str">
        <x:v>指南宮</x:v>
      </x:c>
      <x:c r="E2" s="63" t="n">
        <x:v>24.979441</x:v>
      </x:c>
      <x:c r="F2" s="63" t="n">
        <x:v>121.586623</x:v>
      </x:c>
      <x:c r="G2" s="30" t="n">
        <x:v>100</x:v>
      </x:c>
      <x:c r="H2" s="30" t="str">
        <x:v>Google Maps 指南宮主地標；大型山區廟區以主要參拜入口作任務代表點</x:v>
      </x:c>
      <x:c r="I2" s="30" t="str">
        <x:v>https://www.google.com/maps?q=24.979441,121.586623</x:v>
      </x:c>
      <x:c r="J2" s="30" t="str">
        <x:v>正式上線前點開 Google Maps 連結，確認主入口、廟埕與任務圓心沒有落在後殿、停車場或山區道路。</x:v>
      </x:c>
    </x:row>
    <x:row r="3">
      <x:c r="A3" s="30" t="str">
        <x:v>DOR-TPE-M007</x:v>
      </x:c>
      <x:c r="B3" s="30" t="str">
        <x:v>臺北市</x:v>
      </x:c>
      <x:c r="C3" s="30" t="str">
        <x:v>北投區</x:v>
      </x:c>
      <x:c r="D3" s="30" t="str">
        <x:v>關渡宮</x:v>
      </x:c>
      <x:c r="E3" s="63" t="n">
        <x:v>25.117956</x:v>
      </x:c>
      <x:c r="F3" s="63" t="n">
        <x:v>121.464258</x:v>
      </x:c>
      <x:c r="G3" s="30" t="n">
        <x:v>90</x:v>
      </x:c>
      <x:c r="H3" s="30" t="str">
        <x:v>Google Maps 關渡宮主地標；任務圓心建議放在正門廟埕</x:v>
      </x:c>
      <x:c r="I3" s="30" t="str">
        <x:v>https://www.google.com/maps?q=25.117956,121.464258</x:v>
      </x:c>
      <x:c r="J3" s="30" t="str">
        <x:v>正式上線前點開 Google Maps 連結，確認主入口、廟埕與任務圓心沒有落在後殿、停車場或山區道路。</x:v>
      </x:c>
    </x:row>
    <x:row r="4">
      <x:c r="A4" s="30" t="str">
        <x:v>DOR-NTP-M002</x:v>
      </x:c>
      <x:c r="B4" s="30" t="str">
        <x:v>新北市</x:v>
      </x:c>
      <x:c r="C4" s="30" t="str">
        <x:v>中和區</x:v>
      </x:c>
      <x:c r="D4" s="30" t="str">
        <x:v>烘爐地南山福德宮</x:v>
      </x:c>
      <x:c r="E4" s="63" t="n">
        <x:v>24.991179</x:v>
      </x:c>
      <x:c r="F4" s="63" t="n">
        <x:v>121.494702</x:v>
      </x:c>
      <x:c r="G4" s="30" t="n">
        <x:v>100</x:v>
      </x:c>
      <x:c r="H4" s="30" t="str">
        <x:v>Google Maps 南山福德宮主地標；山區大型廟區建議以牌樓或主殿前平台為圓心</x:v>
      </x:c>
      <x:c r="I4" s="30" t="str">
        <x:v>https://www.google.com/maps?q=24.991179,121.494702</x:v>
      </x:c>
      <x:c r="J4" s="30" t="str">
        <x:v>正式上線前點開 Google Maps 連結，確認主入口、廟埕與任務圓心沒有落在後殿、停車場或山區道路。</x:v>
      </x:c>
    </x:row>
    <x:row r="5">
      <x:c r="A5" s="30" t="str">
        <x:v>DOR-KEE-M004</x:v>
      </x:c>
      <x:c r="B5" s="30" t="str">
        <x:v>基隆市</x:v>
      </x:c>
      <x:c r="C5" s="30" t="str">
        <x:v>中山區</x:v>
      </x:c>
      <x:c r="D5" s="30" t="str">
        <x:v>仙洞巖</x:v>
      </x:c>
      <x:c r="E5" s="63" t="n">
        <x:v>25.145117</x:v>
      </x:c>
      <x:c r="F5" s="63" t="n">
        <x:v>121.748502</x:v>
      </x:c>
      <x:c r="G5" s="30" t="n">
        <x:v>80</x:v>
      </x:c>
      <x:c r="H5" s="30" t="str">
        <x:v>Google Maps POI 圖釘；以廟埕或主要入口作為任務代表點</x:v>
      </x:c>
      <x:c r="I5" s="30" t="str">
        <x:v>https://www.google.com/maps?q=25.145117,121.748502</x:v>
      </x:c>
      <x:c r="J5" s="30" t="str">
        <x:v>正式上線前點開 Google Maps 連結，確認主入口、廟埕與任務圓心沒有落在後殿、停車場或山區道路。</x:v>
      </x:c>
    </x:row>
    <x:row r="6">
      <x:c r="A6" s="30" t="str">
        <x:v>DOR-TAO-M004</x:v>
      </x:c>
      <x:c r="B6" s="30" t="str">
        <x:v>桃園市</x:v>
      </x:c>
      <x:c r="C6" s="30" t="str">
        <x:v>龜山區</x:v>
      </x:c>
      <x:c r="D6" s="30" t="str">
        <x:v>壽山巖觀音寺</x:v>
      </x:c>
      <x:c r="E6" s="63" t="n">
        <x:v>25.018655</x:v>
      </x:c>
      <x:c r="F6" s="63" t="n">
        <x:v>121.365358</x:v>
      </x:c>
      <x:c r="G6" s="30" t="n">
        <x:v>80</x:v>
      </x:c>
      <x:c r="H6" s="30" t="str">
        <x:v>Google Maps POI 圖釘；以廟埕或主要入口作為任務代表點</x:v>
      </x:c>
      <x:c r="I6" s="30" t="str">
        <x:v>https://www.google.com/maps?q=25.018655,121.365358</x:v>
      </x:c>
      <x:c r="J6" s="30" t="str">
        <x:v>正式上線前點開 Google Maps 連結，確認主入口、廟埕與任務圓心沒有落在後殿、停車場或山區道路。</x:v>
      </x:c>
    </x:row>
    <x:row r="7">
      <x:c r="A7" s="30" t="str">
        <x:v>DOR-HSQ-M001</x:v>
      </x:c>
      <x:c r="B7" s="30" t="str">
        <x:v>新竹縣</x:v>
      </x:c>
      <x:c r="C7" s="30" t="str">
        <x:v>新埔鎮</x:v>
      </x:c>
      <x:c r="D7" s="30" t="str">
        <x:v>褒忠亭義民廟</x:v>
      </x:c>
      <x:c r="E7" s="63" t="n">
        <x:v>24.841222</x:v>
      </x:c>
      <x:c r="F7" s="63" t="n">
        <x:v>121.071943</x:v>
      </x:c>
      <x:c r="G7" s="30" t="n">
        <x:v>80</x:v>
      </x:c>
      <x:c r="H7" s="30" t="str">
        <x:v>Google Maps POI 圖釘；以廟埕或主要入口作為任務代表點</x:v>
      </x:c>
      <x:c r="I7" s="30" t="str">
        <x:v>https://www.google.com/maps?q=24.841222,121.071943</x:v>
      </x:c>
      <x:c r="J7" s="30" t="str">
        <x:v>正式上線前點開 Google Maps 連結，確認主入口、廟埕與任務圓心沒有落在後殿、停車場或山區道路。</x:v>
      </x:c>
    </x:row>
    <x:row r="8">
      <x:c r="A8" s="30" t="str">
        <x:v>DOR-MIA-M004</x:v>
      </x:c>
      <x:c r="B8" s="30" t="str">
        <x:v>苗栗縣</x:v>
      </x:c>
      <x:c r="C8" s="30" t="str">
        <x:v>獅潭鄉</x:v>
      </x:c>
      <x:c r="D8" s="30" t="str">
        <x:v>仙山靈洞宮</x:v>
      </x:c>
      <x:c r="E8" s="63" t="n">
        <x:v>24.546787</x:v>
      </x:c>
      <x:c r="F8" s="63" t="n">
        <x:v>120.944363</x:v>
      </x:c>
      <x:c r="G8" s="30" t="n">
        <x:v>90</x:v>
      </x:c>
      <x:c r="H8" s="30" t="str">
        <x:v>Google Maps 靈洞宮主地標；山區廟區以主入口或停車場步行入口為任務代表點</x:v>
      </x:c>
      <x:c r="I8" s="30" t="str">
        <x:v>https://www.google.com/maps?q=24.546787,120.944363</x:v>
      </x:c>
      <x:c r="J8" s="30" t="str">
        <x:v>正式上線前點開 Google Maps 連結，確認主入口、廟埕與任務圓心沒有落在後殿、停車場或山區道路。</x:v>
      </x:c>
    </x:row>
    <x:row r="9">
      <x:c r="A9" s="30" t="str">
        <x:v>DOR-CHA-M008</x:v>
      </x:c>
      <x:c r="B9" s="30" t="str">
        <x:v>彰化縣</x:v>
      </x:c>
      <x:c r="C9" s="30" t="str">
        <x:v>社頭鄉</x:v>
      </x:c>
      <x:c r="D9" s="30" t="str">
        <x:v>社頭清水巖寺</x:v>
      </x:c>
      <x:c r="E9" s="63" t="n">
        <x:v>23.886343</x:v>
      </x:c>
      <x:c r="F9" s="63" t="n">
        <x:v>120.608317</x:v>
      </x:c>
      <x:c r="G9" s="30" t="n">
        <x:v>80</x:v>
      </x:c>
      <x:c r="H9" s="30" t="str">
        <x:v>Google Maps POI 圖釘；以廟埕或主要入口作為任務代表點</x:v>
      </x:c>
      <x:c r="I9" s="30" t="str">
        <x:v>https://www.google.com/maps?q=23.886343,120.608317</x:v>
      </x:c>
      <x:c r="J9" s="30" t="str">
        <x:v>正式上線前點開 Google Maps 連結，確認主入口、廟埕與任務圓心沒有落在後殿、停車場或山區道路。</x:v>
      </x:c>
    </x:row>
    <x:row r="10">
      <x:c r="A10" s="30" t="str">
        <x:v>DOR-NAN-M002</x:v>
      </x:c>
      <x:c r="B10" s="30" t="str">
        <x:v>南投縣</x:v>
      </x:c>
      <x:c r="C10" s="30" t="str">
        <x:v>魚池鄉</x:v>
      </x:c>
      <x:c r="D10" s="30" t="str">
        <x:v>日月潭文武廟</x:v>
      </x:c>
      <x:c r="E10" s="63" t="n">
        <x:v>23.869178</x:v>
      </x:c>
      <x:c r="F10" s="63" t="n">
        <x:v>120.927269</x:v>
      </x:c>
      <x:c r="G10" s="30" t="n">
        <x:v>90</x:v>
      </x:c>
      <x:c r="H10" s="30" t="str">
        <x:v>Google Maps 文武廟主地標；大型廟區以主入口廣場作任務代表點</x:v>
      </x:c>
      <x:c r="I10" s="30" t="str">
        <x:v>https://www.google.com/maps?q=23.869178,120.927269</x:v>
      </x:c>
      <x:c r="J10" s="30" t="str">
        <x:v>正式上線前點開 Google Maps 連結，確認主入口、廟埕與任務圓心沒有落在後殿、停車場或山區道路。</x:v>
      </x:c>
    </x:row>
    <x:row r="11">
      <x:c r="A11" s="30" t="str">
        <x:v>DOR-NAN-M003</x:v>
      </x:c>
      <x:c r="B11" s="30" t="str">
        <x:v>南投縣</x:v>
      </x:c>
      <x:c r="C11" s="30" t="str">
        <x:v>埔里鎮</x:v>
      </x:c>
      <x:c r="D11" s="30" t="str">
        <x:v>中台禪寺</x:v>
      </x:c>
      <x:c r="E11" s="63" t="n">
        <x:v>24.009296</x:v>
      </x:c>
      <x:c r="F11" s="63" t="n">
        <x:v>120.944473</x:v>
      </x:c>
      <x:c r="G11" s="30" t="n">
        <x:v>100</x:v>
      </x:c>
      <x:c r="H11" s="30" t="str">
        <x:v>Google Maps 中台禪寺主地標；大型園區以遊客入口或大門為圓心</x:v>
      </x:c>
      <x:c r="I11" s="30" t="str">
        <x:v>https://www.google.com/maps?q=24.009296,120.944473</x:v>
      </x:c>
      <x:c r="J11" s="30" t="str">
        <x:v>正式上線前點開 Google Maps 連結，確認主入口、廟埕與任務圓心沒有落在後殿、停車場或山區道路。</x:v>
      </x:c>
    </x:row>
    <x:row r="12">
      <x:c r="A12" s="30" t="str">
        <x:v>DOR-NAN-M006</x:v>
      </x:c>
      <x:c r="B12" s="30" t="str">
        <x:v>南投縣</x:v>
      </x:c>
      <x:c r="C12" s="30" t="str">
        <x:v>埔里鎮</x:v>
      </x:c>
      <x:c r="D12" s="30" t="str">
        <x:v>寶湖宮天地堂地母廟</x:v>
      </x:c>
      <x:c r="E12" s="63" t="n">
        <x:v>23.990867</x:v>
      </x:c>
      <x:c r="F12" s="63" t="n">
        <x:v>120.964092</x:v>
      </x:c>
      <x:c r="G12" s="30" t="n">
        <x:v>80</x:v>
      </x:c>
      <x:c r="H12" s="30" t="str">
        <x:v>Google Maps POI 圖釘；以廟埕或主要入口作為任務代表點</x:v>
      </x:c>
      <x:c r="I12" s="30" t="str">
        <x:v>https://www.google.com/maps?q=23.990867,120.964092</x:v>
      </x:c>
      <x:c r="J12" s="30" t="str">
        <x:v>正式上線前點開 Google Maps 連結，確認主入口、廟埕與任務圓心沒有落在後殿、停車場或山區道路。</x:v>
      </x:c>
    </x:row>
    <x:row r="13">
      <x:c r="A13" s="30" t="str">
        <x:v>DOR-TNN-M010</x:v>
      </x:c>
      <x:c r="B13" s="30" t="str">
        <x:v>臺南市</x:v>
      </x:c>
      <x:c r="C13" s="30" t="str">
        <x:v>安南區</x:v>
      </x:c>
      <x:c r="D13" s="30" t="str">
        <x:v>正統鹿耳門聖母廟</x:v>
      </x:c>
      <x:c r="E13" s="63" t="n">
        <x:v>23.066829</x:v>
      </x:c>
      <x:c r="F13" s="63" t="n">
        <x:v>120.127296</x:v>
      </x:c>
      <x:c r="G13" s="30" t="n">
        <x:v>100</x:v>
      </x:c>
      <x:c r="H13" s="30" t="str">
        <x:v>Google Maps 正統鹿耳門聖母廟主地標；大型廟區以正門或廟埕中心為任務圓心</x:v>
      </x:c>
      <x:c r="I13" s="30" t="str">
        <x:v>https://www.google.com/maps?q=23.066829,120.127296</x:v>
      </x:c>
      <x:c r="J13" s="30" t="str">
        <x:v>正式上線前點開 Google Maps 連結，確認主入口、廟埕與任務圓心沒有落在後殿、停車場或山區道路。</x:v>
      </x:c>
    </x:row>
    <x:row r="14">
      <x:c r="A14" s="30" t="str">
        <x:v>DOR-TNN-M011</x:v>
      </x:c>
      <x:c r="B14" s="30" t="str">
        <x:v>臺南市</x:v>
      </x:c>
      <x:c r="C14" s="30" t="str">
        <x:v>北門區</x:v>
      </x:c>
      <x:c r="D14" s="30" t="str">
        <x:v>南鯤鯓代天府</x:v>
      </x:c>
      <x:c r="E14" s="63" t="n">
        <x:v>23.28584</x:v>
      </x:c>
      <x:c r="F14" s="63" t="n">
        <x:v>120.14337</x:v>
      </x:c>
      <x:c r="G14" s="30" t="n">
        <x:v>100</x:v>
      </x:c>
      <x:c r="H14" s="30" t="str">
        <x:v>Google Maps 南鯤鯓代天府主地標；大型園區以牌樓內主參拜動線為任務代表點</x:v>
      </x:c>
      <x:c r="I14" s="30" t="str">
        <x:v>https://www.google.com/maps?q=23.285840,120.143370</x:v>
      </x:c>
      <x:c r="J14" s="30" t="str">
        <x:v>正式上線前點開 Google Maps 連結，確認主入口、廟埕與任務圓心沒有落在後殿、停車場或山區道路。</x:v>
      </x:c>
    </x:row>
    <x:row r="15">
      <x:c r="A15" s="30" t="str">
        <x:v>DOR-TNN-M012</x:v>
      </x:c>
      <x:c r="B15" s="30" t="str">
        <x:v>臺南市</x:v>
      </x:c>
      <x:c r="C15" s="30" t="str">
        <x:v>麻豆區</x:v>
      </x:c>
      <x:c r="D15" s="30" t="str">
        <x:v>麻豆代天府</x:v>
      </x:c>
      <x:c r="E15" s="63" t="n">
        <x:v>23.183359</x:v>
      </x:c>
      <x:c r="F15" s="63" t="n">
        <x:v>120.245958</x:v>
      </x:c>
      <x:c r="G15" s="30" t="n">
        <x:v>90</x:v>
      </x:c>
      <x:c r="H15" s="30" t="str">
        <x:v>Google Maps POI 圖釘；以廟埕或主要入口作為任務代表點</x:v>
      </x:c>
      <x:c r="I15" s="30" t="str">
        <x:v>https://www.google.com/maps?q=23.183359,120.245958</x:v>
      </x:c>
      <x:c r="J15" s="30" t="str">
        <x:v>正式上線前點開 Google Maps 連結，確認主入口、廟埕與任務圓心沒有落在後殿、停車場或山區道路。</x:v>
      </x:c>
    </x:row>
    <x:row r="16">
      <x:c r="A16" s="30" t="str">
        <x:v>DOR-KHH-M001</x:v>
      </x:c>
      <x:c r="B16" s="30" t="str">
        <x:v>高雄市</x:v>
      </x:c>
      <x:c r="C16" s="30" t="str">
        <x:v>大樹區</x:v>
      </x:c>
      <x:c r="D16" s="30" t="str">
        <x:v>佛光山佛陀紀念館</x:v>
      </x:c>
      <x:c r="E16" s="63" t="n">
        <x:v>22.75506</x:v>
      </x:c>
      <x:c r="F16" s="63" t="n">
        <x:v>120.445593</x:v>
      </x:c>
      <x:c r="G16" s="30" t="n">
        <x:v>150</x:v>
      </x:c>
      <x:c r="H16" s="30" t="str">
        <x:v>Google Maps 佛陀紀念館主地標；大型園區建議以禮敬大廳入口為任務代表點</x:v>
      </x:c>
      <x:c r="I16" s="30" t="str">
        <x:v>https://www.google.com/maps?q=22.755060,120.445593</x:v>
      </x:c>
      <x:c r="J16" s="30" t="str">
        <x:v>正式上線前點開 Google Maps 連結，確認主入口、廟埕與任務圓心沒有落在後殿、停車場或山區道路。</x:v>
      </x:c>
    </x:row>
    <x:row r="17">
      <x:c r="A17" s="30" t="str">
        <x:v>DOR-KHH-M010</x:v>
      </x:c>
      <x:c r="B17" s="30" t="str">
        <x:v>高雄市</x:v>
      </x:c>
      <x:c r="C17" s="30" t="str">
        <x:v>大樹區</x:v>
      </x:c>
      <x:c r="D17" s="30" t="str">
        <x:v>東照山關帝廟</x:v>
      </x:c>
      <x:c r="E17" s="63" t="n">
        <x:v>22.73124</x:v>
      </x:c>
      <x:c r="F17" s="63" t="n">
        <x:v>120.433995</x:v>
      </x:c>
      <x:c r="G17" s="30" t="n">
        <x:v>80</x:v>
      </x:c>
      <x:c r="H17" s="30" t="str">
        <x:v>Google Maps POI 圖釘；以廟埕或主要入口作為任務代表點</x:v>
      </x:c>
      <x:c r="I17" s="30" t="str">
        <x:v>https://www.google.com/maps?q=22.731240,120.433995</x:v>
      </x:c>
      <x:c r="J17" s="30" t="str">
        <x:v>正式上線前點開 Google Maps 連結，確認主入口、廟埕與任務圓心沒有落在後殿、停車場或山區道路。</x:v>
      </x:c>
    </x:row>
    <x:row r="18">
      <x:c r="A18" s="30" t="str">
        <x:v>DOR-KIN-M002</x:v>
      </x:c>
      <x:c r="B18" s="30" t="str">
        <x:v>金門縣</x:v>
      </x:c>
      <x:c r="C18" s="30" t="str">
        <x:v>金湖鎮</x:v>
      </x:c>
      <x:c r="D18" s="30" t="str">
        <x:v>太武山海印寺</x:v>
      </x:c>
      <x:c r="E18" s="63" t="n">
        <x:v>24.446704</x:v>
      </x:c>
      <x:c r="F18" s="63" t="n">
        <x:v>118.478981</x:v>
      </x:c>
      <x:c r="G18" s="30" t="n">
        <x:v>100</x:v>
      </x:c>
      <x:c r="H18" s="30" t="str">
        <x:v>Google Maps 海印寺主地標；山區步道任務以登山口或寺前平台為代表點</x:v>
      </x:c>
      <x:c r="I18" s="30" t="str">
        <x:v>https://www.google.com/maps?q=24.446704,118.478981</x:v>
      </x:c>
      <x:c r="J18" s="30" t="str">
        <x:v>正式上線前點開 Google Maps 連結，確認主入口、廟埕與任務圓心沒有落在後殿、停車場或山區道路。</x:v>
      </x:c>
    </x:row>
  </x:sheetData>
  <x:pageMargins left="0.7" right="0.7" top="0.75" bottom="0.75" header="0.3" footer="0.3"/>
  <x:tableParts count="1">
    <x:tablePart xmlns:r="http://schemas.openxmlformats.org/officeDocument/2006/relationships" r:id="Re65fa08aaaff40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32" customHeight="1">
      <x:c r="A1" s="77" t="str">
        <x:v>DOR 城市探索｜全台知名宮廟打卡點清單 V4</x:v>
      </x:c>
      <x:c r="B1" s="30" t="str"/>
    </x:row>
    <x:row r="2">
      <x:c r="A2" s="78" t="str">
        <x:v>整理日期</x:v>
      </x:c>
      <x:c r="B2" s="30" t="str">
        <x:v>2026-07-13</x:v>
      </x:c>
    </x:row>
    <x:row r="3">
      <x:c r="A3" s="78" t="str">
        <x:v>總筆數</x:v>
      </x:c>
      <x:c r="B3" s="30" t="n">
        <x:v>145</x:v>
      </x:c>
    </x:row>
    <x:row r="4">
      <x:c r="A4" s="78" t="str">
        <x:v>涵蓋範圍</x:v>
      </x:c>
      <x:c r="B4" s="30" t="str">
        <x:v>臺灣本島與離島 22 縣市。</x:v>
      </x:c>
    </x:row>
    <x:row r="5">
      <x:c r="A5" s="78" t="str">
        <x:v>收錄原則</x:v>
      </x:c>
      <x:c r="B5" s="30" t="str">
        <x:v>以全國級香火中心、縣市代表宮廟、重要古蹟寺廟、具高度辨識度的土地公廟為主；排除知名度過低、僅服務極小里鄰範圍的地方小廟。</x:v>
      </x:c>
    </x:row>
    <x:row r="6">
      <x:c r="A6" s="78" t="str">
        <x:v>座標原則</x:v>
      </x:c>
      <x:c r="B6" s="30" t="str">
        <x:v>緯度、經度以 Google Maps POI 圖釘或大型廟區主要入口／廟埕代表點整理，保留 6 位小數。</x:v>
      </x:c>
    </x:row>
    <x:row r="7">
      <x:c r="A7" s="78" t="str">
        <x:v>大型場域</x:v>
      </x:c>
      <x:c r="B7" s="30" t="str">
        <x:v>大型佛教園區、山區宮觀或廟區標為座標可信度 B，另列於「大型場域複核」，避免把建築中心、停車場或後殿直接當成任務圓心。</x:v>
      </x:c>
    </x:row>
    <x:row r="8">
      <x:c r="A8" s="78" t="str">
        <x:v>地點ID</x:v>
      </x:c>
      <x:c r="B8" s="30" t="str">
        <x:v>採 DOR-縣市代碼-M流水號，M 表示宮廟類別，避免與原有公園、田徑場編號衝突。</x:v>
      </x:c>
    </x:row>
    <x:row r="9">
      <x:c r="A9" s="78" t="str">
        <x:v>星等</x:v>
      </x:c>
      <x:c r="B9" s="30" t="str">
        <x:v>全國級為 5 星；區域代表級為 4 星。本檔不收錄一般低知名度地方廟。</x:v>
      </x:c>
    </x:row>
    <x:row r="10">
      <x:c r="A10" s="78" t="str">
        <x:v>正式上線提醒</x:v>
      </x:c>
      <x:c r="B10" s="30" t="str">
        <x:v>Google Maps 的 POI、入口與道路動線可能調整；正式上線前仍應逐筆點開地圖連結，確認任務圓心與手機 GPS 漂移範圍。</x:v>
      </x:c>
    </x:row>
    <x:row r="11">
      <x:c r="A11" s="30" t="str"/>
      <x:c r="B11" s="30" t="str"/>
    </x:row>
    <x:row r="12">
      <x:c r="A12" s="13" t="str">
        <x:v>資料來源</x:v>
      </x:c>
      <x:c r="B12" s="15" t="str">
        <x:v>網址</x:v>
      </x:c>
    </x:row>
    <x:row r="13">
      <x:c r="A13" s="30" t="str">
        <x:v>Google Maps 搜尋</x:v>
      </x:c>
      <x:c r="B13" s="30" t="str">
        <x:v>https://www.google.com/maps</x:v>
      </x:c>
    </x:row>
    <x:row r="14">
      <x:c r="A14" s="30" t="str">
        <x:v>Google Maps 經緯度說明</x:v>
      </x:c>
      <x:c r="B14" s="30" t="str">
        <x:v>https://support.google.com/maps/answer/18539?hl=zh-Hant</x:v>
      </x:c>
    </x:row>
    <x:row r="15">
      <x:c r="A15" s="30" t="str">
        <x:v>Google Maps URL 規格</x:v>
      </x:c>
      <x:c r="B15" s="30" t="str">
        <x:v>https://developers.google.com/maps/documentation/urls/get-started?hl=zh-tw</x:v>
      </x:c>
    </x:row>
    <x:row r="16">
      <x:c r="A16" s="30" t="str">
        <x:v>政府資料開放平臺｜全國宗教資訊系統資料-寺廟</x:v>
      </x:c>
      <x:c r="B16" s="30" t="str">
        <x:v>https://data.gov.tw/dataset/8203</x:v>
      </x:c>
    </x:row>
    <x:row r="17">
      <x:c r="A17" s="30" t="str">
        <x:v>內政部臺灣宗教文化地圖</x:v>
      </x:c>
      <x:c r="B17" s="30" t="str">
        <x:v>https://taiwangods.moi.gov.tw/</x:v>
      </x:c>
    </x:row>
    <x:row r="18">
      <x:c r="A18" s="30" t="str">
        <x:v>開源臺灣宗教地圖資料</x:v>
      </x:c>
      <x:c r="B18" s="30" t="str">
        <x:v>https://github.com/kiang/religion</x:v>
      </x:c>
    </x:row>
  </x:sheetData>
  <x:mergeCells>
    <x:mergeCell ref="A1:B1"/>
  </x:mergeCells>
  <x:pageMargins left="0.7" right="0.7" top="0.75" bottom="0.75" header="0.3" footer="0.3"/>
</x:worksheet>
</file>